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46165</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46165</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46165</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46165</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46165</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46165</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46165</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11088-2025</t>
        </is>
      </c>
      <c r="B9" s="1" t="n">
        <v>45723.57364583333</v>
      </c>
      <c r="C9" s="1" t="n">
        <v>46165</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46165</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46165</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46165</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46165</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46165</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46165</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46165</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46165</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46165</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46165</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46165</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11213-2022</t>
        </is>
      </c>
      <c r="B21" s="1" t="n">
        <v>44629</v>
      </c>
      <c r="C21" s="1" t="n">
        <v>46165</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16264-2026</t>
        </is>
      </c>
      <c r="B22" s="1" t="n">
        <v>46111.4796875</v>
      </c>
      <c r="C22" s="1" t="n">
        <v>46165</v>
      </c>
      <c r="D22" t="inlineStr">
        <is>
          <t>VÄSTERNORRLANDS LÄN</t>
        </is>
      </c>
      <c r="E22" t="inlineStr">
        <is>
          <t>SUNDSVALL</t>
        </is>
      </c>
      <c r="G22" t="n">
        <v>3.9</v>
      </c>
      <c r="H22" t="n">
        <v>1</v>
      </c>
      <c r="I22" t="n">
        <v>3</v>
      </c>
      <c r="J22" t="n">
        <v>12</v>
      </c>
      <c r="K22" t="n">
        <v>0</v>
      </c>
      <c r="L22" t="n">
        <v>0</v>
      </c>
      <c r="M22" t="n">
        <v>0</v>
      </c>
      <c r="N22" t="n">
        <v>0</v>
      </c>
      <c r="O22" t="n">
        <v>12</v>
      </c>
      <c r="P22" t="n">
        <v>0</v>
      </c>
      <c r="Q22" t="n">
        <v>15</v>
      </c>
      <c r="R22" s="2" t="inlineStr">
        <is>
          <t>Apelsinticka
Brunpudrad nållav
Dvärgbägarlav
Garnlav
Kortskaftad ärgspik
Lunglav
Tallticka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30473-2024</t>
        </is>
      </c>
      <c r="B23" s="1" t="n">
        <v>45491</v>
      </c>
      <c r="C23" s="1" t="n">
        <v>46165</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46165</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46165</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29076-2024</t>
        </is>
      </c>
      <c r="B26" s="1" t="n">
        <v>45481</v>
      </c>
      <c r="C26" s="1" t="n">
        <v>46165</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46165</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50551-2024</t>
        </is>
      </c>
      <c r="B28" s="1" t="n">
        <v>45600</v>
      </c>
      <c r="C28" s="1" t="n">
        <v>46165</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46165</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46165</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42203-2025</t>
        </is>
      </c>
      <c r="B31" s="1" t="n">
        <v>45904.49039351852</v>
      </c>
      <c r="C31" s="1" t="n">
        <v>46165</v>
      </c>
      <c r="D31" t="inlineStr">
        <is>
          <t>VÄSTERNORRLANDS LÄN</t>
        </is>
      </c>
      <c r="E31" t="inlineStr">
        <is>
          <t>SUNDSVALL</t>
        </is>
      </c>
      <c r="F31" t="inlineStr">
        <is>
          <t>SCA</t>
        </is>
      </c>
      <c r="G31" t="n">
        <v>3.7</v>
      </c>
      <c r="H31" t="n">
        <v>3</v>
      </c>
      <c r="I31" t="n">
        <v>3</v>
      </c>
      <c r="J31" t="n">
        <v>8</v>
      </c>
      <c r="K31" t="n">
        <v>0</v>
      </c>
      <c r="L31" t="n">
        <v>0</v>
      </c>
      <c r="M31" t="n">
        <v>0</v>
      </c>
      <c r="N31" t="n">
        <v>0</v>
      </c>
      <c r="O31" t="n">
        <v>8</v>
      </c>
      <c r="P31" t="n">
        <v>0</v>
      </c>
      <c r="Q31" t="n">
        <v>12</v>
      </c>
      <c r="R31" s="2" t="inlineStr">
        <is>
          <t>Garnlav
Granticka
Kolflarnlav
Lunglav
Mörk kolflarnlav
Rosenticka
Spillkråka
Tretåig hackspett
Bollvitmossa
Norrlandslav
Vedticka
Tjäder</t>
        </is>
      </c>
      <c r="S31">
        <f>HYPERLINK("https://klasma.github.io/Logging_2281/artfynd/A 42203-2025 artfynd.xlsx", "A 42203-2025")</f>
        <v/>
      </c>
      <c r="T31">
        <f>HYPERLINK("https://klasma.github.io/Logging_2281/kartor/A 42203-2025 karta.png", "A 42203-2025")</f>
        <v/>
      </c>
      <c r="V31">
        <f>HYPERLINK("https://klasma.github.io/Logging_2281/klagomål/A 42203-2025 FSC-klagomål.docx", "A 42203-2025")</f>
        <v/>
      </c>
      <c r="W31">
        <f>HYPERLINK("https://klasma.github.io/Logging_2281/klagomålsmail/A 42203-2025 FSC-klagomål mail.docx", "A 42203-2025")</f>
        <v/>
      </c>
      <c r="X31">
        <f>HYPERLINK("https://klasma.github.io/Logging_2281/tillsyn/A 42203-2025 tillsynsbegäran.docx", "A 42203-2025")</f>
        <v/>
      </c>
      <c r="Y31">
        <f>HYPERLINK("https://klasma.github.io/Logging_2281/tillsynsmail/A 42203-2025 tillsynsbegäran mail.docx", "A 42203-2025")</f>
        <v/>
      </c>
      <c r="Z31">
        <f>HYPERLINK("https://klasma.github.io/Logging_2281/fåglar/A 42203-2025 prioriterade fågelarter.docx", "A 42203-2025")</f>
        <v/>
      </c>
    </row>
    <row r="32" ht="15" customHeight="1">
      <c r="A32" t="inlineStr">
        <is>
          <t>A 48783-2023</t>
        </is>
      </c>
      <c r="B32" s="1" t="n">
        <v>45208</v>
      </c>
      <c r="C32" s="1" t="n">
        <v>46165</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46165</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46165</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46165</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46165</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9201-2022</t>
        </is>
      </c>
      <c r="B37" s="1" t="n">
        <v>44615.92618055556</v>
      </c>
      <c r="C37" s="1" t="n">
        <v>46165</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45572-2025</t>
        </is>
      </c>
      <c r="B38" s="1" t="n">
        <v>45922</v>
      </c>
      <c r="C38" s="1" t="n">
        <v>46165</v>
      </c>
      <c r="D38" t="inlineStr">
        <is>
          <t>VÄSTERNORRLANDS LÄN</t>
        </is>
      </c>
      <c r="E38" t="inlineStr">
        <is>
          <t>SUNDSVALL</t>
        </is>
      </c>
      <c r="F38" t="inlineStr">
        <is>
          <t>SCA</t>
        </is>
      </c>
      <c r="G38" t="n">
        <v>4.1</v>
      </c>
      <c r="H38" t="n">
        <v>5</v>
      </c>
      <c r="I38" t="n">
        <v>3</v>
      </c>
      <c r="J38" t="n">
        <v>5</v>
      </c>
      <c r="K38" t="n">
        <v>0</v>
      </c>
      <c r="L38" t="n">
        <v>0</v>
      </c>
      <c r="M38" t="n">
        <v>0</v>
      </c>
      <c r="N38" t="n">
        <v>0</v>
      </c>
      <c r="O38" t="n">
        <v>5</v>
      </c>
      <c r="P38" t="n">
        <v>0</v>
      </c>
      <c r="Q38" t="n">
        <v>10</v>
      </c>
      <c r="R38" s="2" t="inlineStr">
        <is>
          <t>Lunglav
Spillkråka
Talltita
Tretåig hackspett
Ullticka
Bårdlav
Stuplav
Vedticka
Tjäder
Revlummer</t>
        </is>
      </c>
      <c r="S38">
        <f>HYPERLINK("https://klasma.github.io/Logging_2281/artfynd/A 45572-2025 artfynd.xlsx", "A 45572-2025")</f>
        <v/>
      </c>
      <c r="T38">
        <f>HYPERLINK("https://klasma.github.io/Logging_2281/kartor/A 45572-2025 karta.png", "A 45572-2025")</f>
        <v/>
      </c>
      <c r="V38">
        <f>HYPERLINK("https://klasma.github.io/Logging_2281/klagomål/A 45572-2025 FSC-klagomål.docx", "A 45572-2025")</f>
        <v/>
      </c>
      <c r="W38">
        <f>HYPERLINK("https://klasma.github.io/Logging_2281/klagomålsmail/A 45572-2025 FSC-klagomål mail.docx", "A 45572-2025")</f>
        <v/>
      </c>
      <c r="X38">
        <f>HYPERLINK("https://klasma.github.io/Logging_2281/tillsyn/A 45572-2025 tillsynsbegäran.docx", "A 45572-2025")</f>
        <v/>
      </c>
      <c r="Y38">
        <f>HYPERLINK("https://klasma.github.io/Logging_2281/tillsynsmail/A 45572-2025 tillsynsbegäran mail.docx", "A 45572-2025")</f>
        <v/>
      </c>
      <c r="Z38">
        <f>HYPERLINK("https://klasma.github.io/Logging_2281/fåglar/A 45572-2025 prioriterade fågelarter.docx", "A 45572-2025")</f>
        <v/>
      </c>
    </row>
    <row r="39" ht="15" customHeight="1">
      <c r="A39" t="inlineStr">
        <is>
          <t>A 50817-2025</t>
        </is>
      </c>
      <c r="B39" s="1" t="n">
        <v>45946.53168981482</v>
      </c>
      <c r="C39" s="1" t="n">
        <v>46165</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19827-2025</t>
        </is>
      </c>
      <c r="B40" s="1" t="n">
        <v>45771.46918981482</v>
      </c>
      <c r="C40" s="1" t="n">
        <v>46165</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48961-2024</t>
        </is>
      </c>
      <c r="B41" s="1" t="n">
        <v>45594</v>
      </c>
      <c r="C41" s="1" t="n">
        <v>46165</v>
      </c>
      <c r="D41" t="inlineStr">
        <is>
          <t>VÄSTERNORRLANDS LÄN</t>
        </is>
      </c>
      <c r="E41" t="inlineStr">
        <is>
          <t>SUNDSVALL</t>
        </is>
      </c>
      <c r="F41" t="inlineStr">
        <is>
          <t>SCA</t>
        </is>
      </c>
      <c r="G41" t="n">
        <v>4.5</v>
      </c>
      <c r="H41" t="n">
        <v>7</v>
      </c>
      <c r="I41" t="n">
        <v>0</v>
      </c>
      <c r="J41" t="n">
        <v>7</v>
      </c>
      <c r="K41" t="n">
        <v>1</v>
      </c>
      <c r="L41" t="n">
        <v>0</v>
      </c>
      <c r="M41" t="n">
        <v>0</v>
      </c>
      <c r="N41" t="n">
        <v>0</v>
      </c>
      <c r="O41" t="n">
        <v>8</v>
      </c>
      <c r="P41" t="n">
        <v>1</v>
      </c>
      <c r="Q41" t="n">
        <v>10</v>
      </c>
      <c r="R41" s="2" t="inlineStr">
        <is>
          <t>Knärot
Garnlav
Järpe
Lunglav
Spillkråka
Svartvit flugsnappare
Tretåig hackspett
Ullticka
Tjäder
Revlummer</t>
        </is>
      </c>
      <c r="S41">
        <f>HYPERLINK("https://klasma.github.io/Logging_2281/artfynd/A 48961-2024 artfynd.xlsx", "A 48961-2024")</f>
        <v/>
      </c>
      <c r="T41">
        <f>HYPERLINK("https://klasma.github.io/Logging_2281/kartor/A 48961-2024 karta.png", "A 48961-2024")</f>
        <v/>
      </c>
      <c r="U41">
        <f>HYPERLINK("https://klasma.github.io/Logging_2281/knärot/A 48961-2024 karta knärot.png", "A 48961-2024")</f>
        <v/>
      </c>
      <c r="V41">
        <f>HYPERLINK("https://klasma.github.io/Logging_2281/klagomål/A 48961-2024 FSC-klagomål.docx", "A 48961-2024")</f>
        <v/>
      </c>
      <c r="W41">
        <f>HYPERLINK("https://klasma.github.io/Logging_2281/klagomålsmail/A 48961-2024 FSC-klagomål mail.docx", "A 48961-2024")</f>
        <v/>
      </c>
      <c r="X41">
        <f>HYPERLINK("https://klasma.github.io/Logging_2281/tillsyn/A 48961-2024 tillsynsbegäran.docx", "A 48961-2024")</f>
        <v/>
      </c>
      <c r="Y41">
        <f>HYPERLINK("https://klasma.github.io/Logging_2281/tillsynsmail/A 48961-2024 tillsynsbegäran mail.docx", "A 48961-2024")</f>
        <v/>
      </c>
      <c r="Z41">
        <f>HYPERLINK("https://klasma.github.io/Logging_2281/fåglar/A 48961-2024 prioriterade fågelarter.docx", "A 48961-2024")</f>
        <v/>
      </c>
    </row>
    <row r="42" ht="15" customHeight="1">
      <c r="A42" t="inlineStr">
        <is>
          <t>A 45976-2024</t>
        </is>
      </c>
      <c r="B42" s="1" t="n">
        <v>45580</v>
      </c>
      <c r="C42" s="1" t="n">
        <v>46165</v>
      </c>
      <c r="D42" t="inlineStr">
        <is>
          <t>VÄSTERNORRLANDS LÄN</t>
        </is>
      </c>
      <c r="E42" t="inlineStr">
        <is>
          <t>SUNDSVALL</t>
        </is>
      </c>
      <c r="F42" t="inlineStr">
        <is>
          <t>SCA</t>
        </is>
      </c>
      <c r="G42" t="n">
        <v>3</v>
      </c>
      <c r="H42" t="n">
        <v>6</v>
      </c>
      <c r="I42" t="n">
        <v>2</v>
      </c>
      <c r="J42" t="n">
        <v>5</v>
      </c>
      <c r="K42" t="n">
        <v>1</v>
      </c>
      <c r="L42" t="n">
        <v>0</v>
      </c>
      <c r="M42" t="n">
        <v>0</v>
      </c>
      <c r="N42" t="n">
        <v>0</v>
      </c>
      <c r="O42" t="n">
        <v>6</v>
      </c>
      <c r="P42" t="n">
        <v>1</v>
      </c>
      <c r="Q42" t="n">
        <v>10</v>
      </c>
      <c r="R42" s="2" t="inlineStr">
        <is>
          <t>Knärot
Lunglav
Spillkråka
Talltita
Tretåig hackspett
Ullticka
Grönpyrola
Jättesvampmal
Tjäder
Revlummer</t>
        </is>
      </c>
      <c r="S42">
        <f>HYPERLINK("https://klasma.github.io/Logging_2281/artfynd/A 45976-2024 artfynd.xlsx", "A 45976-2024")</f>
        <v/>
      </c>
      <c r="T42">
        <f>HYPERLINK("https://klasma.github.io/Logging_2281/kartor/A 45976-2024 karta.png", "A 45976-2024")</f>
        <v/>
      </c>
      <c r="U42">
        <f>HYPERLINK("https://klasma.github.io/Logging_2281/knärot/A 45976-2024 karta knärot.png", "A 45976-2024")</f>
        <v/>
      </c>
      <c r="V42">
        <f>HYPERLINK("https://klasma.github.io/Logging_2281/klagomål/A 45976-2024 FSC-klagomål.docx", "A 45976-2024")</f>
        <v/>
      </c>
      <c r="W42">
        <f>HYPERLINK("https://klasma.github.io/Logging_2281/klagomålsmail/A 45976-2024 FSC-klagomål mail.docx", "A 45976-2024")</f>
        <v/>
      </c>
      <c r="X42">
        <f>HYPERLINK("https://klasma.github.io/Logging_2281/tillsyn/A 45976-2024 tillsynsbegäran.docx", "A 45976-2024")</f>
        <v/>
      </c>
      <c r="Y42">
        <f>HYPERLINK("https://klasma.github.io/Logging_2281/tillsynsmail/A 45976-2024 tillsynsbegäran mail.docx", "A 45976-2024")</f>
        <v/>
      </c>
      <c r="Z42">
        <f>HYPERLINK("https://klasma.github.io/Logging_2281/fåglar/A 45976-2024 prioriterade fågelarter.docx", "A 45976-2024")</f>
        <v/>
      </c>
    </row>
    <row r="43" ht="15" customHeight="1">
      <c r="A43" t="inlineStr">
        <is>
          <t>A 16147-2022</t>
        </is>
      </c>
      <c r="B43" s="1" t="n">
        <v>44665</v>
      </c>
      <c r="C43" s="1" t="n">
        <v>46165</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16398-2023</t>
        </is>
      </c>
      <c r="B44" s="1" t="n">
        <v>45022</v>
      </c>
      <c r="C44" s="1" t="n">
        <v>46165</v>
      </c>
      <c r="D44" t="inlineStr">
        <is>
          <t>VÄSTERNORRLANDS LÄN</t>
        </is>
      </c>
      <c r="E44" t="inlineStr">
        <is>
          <t>SUNDSVALL</t>
        </is>
      </c>
      <c r="G44" t="n">
        <v>10</v>
      </c>
      <c r="H44" t="n">
        <v>1</v>
      </c>
      <c r="I44" t="n">
        <v>4</v>
      </c>
      <c r="J44" t="n">
        <v>5</v>
      </c>
      <c r="K44" t="n">
        <v>1</v>
      </c>
      <c r="L44" t="n">
        <v>0</v>
      </c>
      <c r="M44" t="n">
        <v>0</v>
      </c>
      <c r="N44" t="n">
        <v>0</v>
      </c>
      <c r="O44" t="n">
        <v>6</v>
      </c>
      <c r="P44" t="n">
        <v>1</v>
      </c>
      <c r="Q44" t="n">
        <v>10</v>
      </c>
      <c r="R44" s="2" t="inlineStr">
        <is>
          <t>Knärot
Garnlav
Ullticka
Vedflamlav
Vedskivlav
Violettgrå tagellav
Björksplintborre
Bronshjon
Grönpyrola
Vågbandad barkbock</t>
        </is>
      </c>
      <c r="S44">
        <f>HYPERLINK("https://klasma.github.io/Logging_2281/artfynd/A 16398-2023 artfynd.xlsx", "A 16398-2023")</f>
        <v/>
      </c>
      <c r="T44">
        <f>HYPERLINK("https://klasma.github.io/Logging_2281/kartor/A 16398-2023 karta.png", "A 16398-2023")</f>
        <v/>
      </c>
      <c r="U44">
        <f>HYPERLINK("https://klasma.github.io/Logging_2281/knärot/A 16398-2023 karta knärot.png", "A 16398-2023")</f>
        <v/>
      </c>
      <c r="V44">
        <f>HYPERLINK("https://klasma.github.io/Logging_2281/klagomål/A 16398-2023 FSC-klagomål.docx", "A 16398-2023")</f>
        <v/>
      </c>
      <c r="W44">
        <f>HYPERLINK("https://klasma.github.io/Logging_2281/klagomålsmail/A 16398-2023 FSC-klagomål mail.docx", "A 16398-2023")</f>
        <v/>
      </c>
      <c r="X44">
        <f>HYPERLINK("https://klasma.github.io/Logging_2281/tillsyn/A 16398-2023 tillsynsbegäran.docx", "A 16398-2023")</f>
        <v/>
      </c>
      <c r="Y44">
        <f>HYPERLINK("https://klasma.github.io/Logging_2281/tillsynsmail/A 16398-2023 tillsynsbegäran mail.docx", "A 16398-2023")</f>
        <v/>
      </c>
    </row>
    <row r="45" ht="15" customHeight="1">
      <c r="A45" t="inlineStr">
        <is>
          <t>A 15274-2025</t>
        </is>
      </c>
      <c r="B45" s="1" t="n">
        <v>45744.67758101852</v>
      </c>
      <c r="C45" s="1" t="n">
        <v>46165</v>
      </c>
      <c r="D45" t="inlineStr">
        <is>
          <t>VÄSTERNORRLANDS LÄN</t>
        </is>
      </c>
      <c r="E45" t="inlineStr">
        <is>
          <t>SUNDSVALL</t>
        </is>
      </c>
      <c r="F45" t="inlineStr">
        <is>
          <t>SCA</t>
        </is>
      </c>
      <c r="G45" t="n">
        <v>9.4</v>
      </c>
      <c r="H45" t="n">
        <v>4</v>
      </c>
      <c r="I45" t="n">
        <v>5</v>
      </c>
      <c r="J45" t="n">
        <v>3</v>
      </c>
      <c r="K45" t="n">
        <v>1</v>
      </c>
      <c r="L45" t="n">
        <v>0</v>
      </c>
      <c r="M45" t="n">
        <v>0</v>
      </c>
      <c r="N45" t="n">
        <v>0</v>
      </c>
      <c r="O45" t="n">
        <v>4</v>
      </c>
      <c r="P45" t="n">
        <v>1</v>
      </c>
      <c r="Q45" t="n">
        <v>10</v>
      </c>
      <c r="R45" s="2" t="inlineStr">
        <is>
          <t>Knärot
Garnlav
Spillkråka
Ullticka
Grön sköldmossa
Mörk husmossa
Skinnlav
Stor aspticka
Vedticka
Nattviol</t>
        </is>
      </c>
      <c r="S45">
        <f>HYPERLINK("https://klasma.github.io/Logging_2281/artfynd/A 15274-2025 artfynd.xlsx", "A 15274-2025")</f>
        <v/>
      </c>
      <c r="T45">
        <f>HYPERLINK("https://klasma.github.io/Logging_2281/kartor/A 15274-2025 karta.png", "A 15274-2025")</f>
        <v/>
      </c>
      <c r="U45">
        <f>HYPERLINK("https://klasma.github.io/Logging_2281/knärot/A 15274-2025 karta knärot.png", "A 15274-2025")</f>
        <v/>
      </c>
      <c r="V45">
        <f>HYPERLINK("https://klasma.github.io/Logging_2281/klagomål/A 15274-2025 FSC-klagomål.docx", "A 15274-2025")</f>
        <v/>
      </c>
      <c r="W45">
        <f>HYPERLINK("https://klasma.github.io/Logging_2281/klagomålsmail/A 15274-2025 FSC-klagomål mail.docx", "A 15274-2025")</f>
        <v/>
      </c>
      <c r="X45">
        <f>HYPERLINK("https://klasma.github.io/Logging_2281/tillsyn/A 15274-2025 tillsynsbegäran.docx", "A 15274-2025")</f>
        <v/>
      </c>
      <c r="Y45">
        <f>HYPERLINK("https://klasma.github.io/Logging_2281/tillsynsmail/A 15274-2025 tillsynsbegäran mail.docx", "A 15274-2025")</f>
        <v/>
      </c>
      <c r="Z45">
        <f>HYPERLINK("https://klasma.github.io/Logging_2281/fåglar/A 15274-2025 prioriterade fågelarter.docx", "A 15274-2025")</f>
        <v/>
      </c>
    </row>
    <row r="46" ht="15" customHeight="1">
      <c r="A46" t="inlineStr">
        <is>
          <t>A 30272-2023</t>
        </is>
      </c>
      <c r="B46" s="1" t="n">
        <v>45099</v>
      </c>
      <c r="C46" s="1" t="n">
        <v>46165</v>
      </c>
      <c r="D46" t="inlineStr">
        <is>
          <t>VÄSTERNORRLANDS LÄN</t>
        </is>
      </c>
      <c r="E46" t="inlineStr">
        <is>
          <t>SUNDSVALL</t>
        </is>
      </c>
      <c r="G46" t="n">
        <v>4.1</v>
      </c>
      <c r="H46" t="n">
        <v>2</v>
      </c>
      <c r="I46" t="n">
        <v>4</v>
      </c>
      <c r="J46" t="n">
        <v>4</v>
      </c>
      <c r="K46" t="n">
        <v>1</v>
      </c>
      <c r="L46" t="n">
        <v>0</v>
      </c>
      <c r="M46" t="n">
        <v>0</v>
      </c>
      <c r="N46" t="n">
        <v>0</v>
      </c>
      <c r="O46" t="n">
        <v>5</v>
      </c>
      <c r="P46" t="n">
        <v>1</v>
      </c>
      <c r="Q46" t="n">
        <v>9</v>
      </c>
      <c r="R46" s="2" t="inlineStr">
        <is>
          <t>Knärot
Järpe
Rosenticka
Ullticka
Äggvaxskivling
Bronshjon
Mörk husmossa
Skarp dropptaggsvamp
Vågbandad barkbock</t>
        </is>
      </c>
      <c r="S46">
        <f>HYPERLINK("https://klasma.github.io/Logging_2281/artfynd/A 30272-2023 artfynd.xlsx", "A 30272-2023")</f>
        <v/>
      </c>
      <c r="T46">
        <f>HYPERLINK("https://klasma.github.io/Logging_2281/kartor/A 30272-2023 karta.png", "A 30272-2023")</f>
        <v/>
      </c>
      <c r="U46">
        <f>HYPERLINK("https://klasma.github.io/Logging_2281/knärot/A 30272-2023 karta knärot.png", "A 30272-2023")</f>
        <v/>
      </c>
      <c r="V46">
        <f>HYPERLINK("https://klasma.github.io/Logging_2281/klagomål/A 30272-2023 FSC-klagomål.docx", "A 30272-2023")</f>
        <v/>
      </c>
      <c r="W46">
        <f>HYPERLINK("https://klasma.github.io/Logging_2281/klagomålsmail/A 30272-2023 FSC-klagomål mail.docx", "A 30272-2023")</f>
        <v/>
      </c>
      <c r="X46">
        <f>HYPERLINK("https://klasma.github.io/Logging_2281/tillsyn/A 30272-2023 tillsynsbegäran.docx", "A 30272-2023")</f>
        <v/>
      </c>
      <c r="Y46">
        <f>HYPERLINK("https://klasma.github.io/Logging_2281/tillsynsmail/A 30272-2023 tillsynsbegäran mail.docx", "A 30272-2023")</f>
        <v/>
      </c>
      <c r="Z46">
        <f>HYPERLINK("https://klasma.github.io/Logging_2281/fåglar/A 30272-2023 prioriterade fågelarter.docx", "A 30272-2023")</f>
        <v/>
      </c>
    </row>
    <row r="47" ht="15" customHeight="1">
      <c r="A47" t="inlineStr">
        <is>
          <t>A 418-2026</t>
        </is>
      </c>
      <c r="B47" s="1" t="n">
        <v>46028</v>
      </c>
      <c r="C47" s="1" t="n">
        <v>46165</v>
      </c>
      <c r="D47" t="inlineStr">
        <is>
          <t>VÄSTERNORRLANDS LÄN</t>
        </is>
      </c>
      <c r="E47" t="inlineStr">
        <is>
          <t>SUNDSVALL</t>
        </is>
      </c>
      <c r="G47" t="n">
        <v>3.9</v>
      </c>
      <c r="H47" t="n">
        <v>2</v>
      </c>
      <c r="I47" t="n">
        <v>1</v>
      </c>
      <c r="J47" t="n">
        <v>7</v>
      </c>
      <c r="K47" t="n">
        <v>1</v>
      </c>
      <c r="L47" t="n">
        <v>0</v>
      </c>
      <c r="M47" t="n">
        <v>0</v>
      </c>
      <c r="N47" t="n">
        <v>0</v>
      </c>
      <c r="O47" t="n">
        <v>8</v>
      </c>
      <c r="P47" t="n">
        <v>1</v>
      </c>
      <c r="Q47" t="n">
        <v>9</v>
      </c>
      <c r="R47" s="2" t="inlineStr">
        <is>
          <t>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41884-2025</t>
        </is>
      </c>
      <c r="B48" s="1" t="n">
        <v>45903</v>
      </c>
      <c r="C48" s="1" t="n">
        <v>46165</v>
      </c>
      <c r="D48" t="inlineStr">
        <is>
          <t>VÄSTERNORRLANDS LÄN</t>
        </is>
      </c>
      <c r="E48" t="inlineStr">
        <is>
          <t>SUNDSVALL</t>
        </is>
      </c>
      <c r="F48" t="inlineStr">
        <is>
          <t>SCA</t>
        </is>
      </c>
      <c r="G48" t="n">
        <v>16</v>
      </c>
      <c r="H48" t="n">
        <v>1</v>
      </c>
      <c r="I48" t="n">
        <v>5</v>
      </c>
      <c r="J48" t="n">
        <v>3</v>
      </c>
      <c r="K48" t="n">
        <v>0</v>
      </c>
      <c r="L48" t="n">
        <v>0</v>
      </c>
      <c r="M48" t="n">
        <v>0</v>
      </c>
      <c r="N48" t="n">
        <v>0</v>
      </c>
      <c r="O48" t="n">
        <v>3</v>
      </c>
      <c r="P48" t="n">
        <v>0</v>
      </c>
      <c r="Q48" t="n">
        <v>9</v>
      </c>
      <c r="R48" s="2" t="inlineStr">
        <is>
          <t>Garnlav
Kötticka
Lunglav
Luddlav
Mörk husmossa
Sotriska
Stubbspretmossa
Svavelriska
Nattviol</t>
        </is>
      </c>
      <c r="S48">
        <f>HYPERLINK("https://klasma.github.io/Logging_2281/artfynd/A 41884-2025 artfynd.xlsx", "A 41884-2025")</f>
        <v/>
      </c>
      <c r="T48">
        <f>HYPERLINK("https://klasma.github.io/Logging_2281/kartor/A 41884-2025 karta.png", "A 41884-2025")</f>
        <v/>
      </c>
      <c r="V48">
        <f>HYPERLINK("https://klasma.github.io/Logging_2281/klagomål/A 41884-2025 FSC-klagomål.docx", "A 41884-2025")</f>
        <v/>
      </c>
      <c r="W48">
        <f>HYPERLINK("https://klasma.github.io/Logging_2281/klagomålsmail/A 41884-2025 FSC-klagomål mail.docx", "A 41884-2025")</f>
        <v/>
      </c>
      <c r="X48">
        <f>HYPERLINK("https://klasma.github.io/Logging_2281/tillsyn/A 41884-2025 tillsynsbegäran.docx", "A 41884-2025")</f>
        <v/>
      </c>
      <c r="Y48">
        <f>HYPERLINK("https://klasma.github.io/Logging_2281/tillsynsmail/A 41884-2025 tillsynsbegäran mail.docx", "A 41884-2025")</f>
        <v/>
      </c>
    </row>
    <row r="49" ht="15" customHeight="1">
      <c r="A49" t="inlineStr">
        <is>
          <t>A 20751-2024</t>
        </is>
      </c>
      <c r="B49" s="1" t="n">
        <v>45436</v>
      </c>
      <c r="C49" s="1" t="n">
        <v>46165</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34699-2024</t>
        </is>
      </c>
      <c r="B50" s="1" t="n">
        <v>45526</v>
      </c>
      <c r="C50" s="1" t="n">
        <v>46165</v>
      </c>
      <c r="D50" t="inlineStr">
        <is>
          <t>VÄSTERNORRLANDS LÄN</t>
        </is>
      </c>
      <c r="E50" t="inlineStr">
        <is>
          <t>SUNDSVALL</t>
        </is>
      </c>
      <c r="G50" t="n">
        <v>16.5</v>
      </c>
      <c r="H50" t="n">
        <v>3</v>
      </c>
      <c r="I50" t="n">
        <v>1</v>
      </c>
      <c r="J50" t="n">
        <v>6</v>
      </c>
      <c r="K50" t="n">
        <v>1</v>
      </c>
      <c r="L50" t="n">
        <v>0</v>
      </c>
      <c r="M50" t="n">
        <v>0</v>
      </c>
      <c r="N50" t="n">
        <v>0</v>
      </c>
      <c r="O50" t="n">
        <v>7</v>
      </c>
      <c r="P50" t="n">
        <v>1</v>
      </c>
      <c r="Q50" t="n">
        <v>9</v>
      </c>
      <c r="R50" s="2" t="inlineStr">
        <is>
          <t>Rynkskinn
Garnlav
Gränsticka
Talltita
Ullticka
Vedflamlav
Vedskivlav
Spindelblomster
Nattviol</t>
        </is>
      </c>
      <c r="S50">
        <f>HYPERLINK("https://klasma.github.io/Logging_2281/artfynd/A 34699-2024 artfynd.xlsx", "A 34699-2024")</f>
        <v/>
      </c>
      <c r="T50">
        <f>HYPERLINK("https://klasma.github.io/Logging_2281/kartor/A 34699-2024 karta.png", "A 34699-2024")</f>
        <v/>
      </c>
      <c r="V50">
        <f>HYPERLINK("https://klasma.github.io/Logging_2281/klagomål/A 34699-2024 FSC-klagomål.docx", "A 34699-2024")</f>
        <v/>
      </c>
      <c r="W50">
        <f>HYPERLINK("https://klasma.github.io/Logging_2281/klagomålsmail/A 34699-2024 FSC-klagomål mail.docx", "A 34699-2024")</f>
        <v/>
      </c>
      <c r="X50">
        <f>HYPERLINK("https://klasma.github.io/Logging_2281/tillsyn/A 34699-2024 tillsynsbegäran.docx", "A 34699-2024")</f>
        <v/>
      </c>
      <c r="Y50">
        <f>HYPERLINK("https://klasma.github.io/Logging_2281/tillsynsmail/A 34699-2024 tillsynsbegäran mail.docx", "A 34699-2024")</f>
        <v/>
      </c>
      <c r="Z50">
        <f>HYPERLINK("https://klasma.github.io/Logging_2281/fåglar/A 34699-2024 prioriterade fågelarter.docx", "A 34699-2024")</f>
        <v/>
      </c>
    </row>
    <row r="51" ht="15" customHeight="1">
      <c r="A51" t="inlineStr">
        <is>
          <t>A 61830-2025</t>
        </is>
      </c>
      <c r="B51" s="1" t="n">
        <v>46003</v>
      </c>
      <c r="C51" s="1" t="n">
        <v>46165</v>
      </c>
      <c r="D51" t="inlineStr">
        <is>
          <t>VÄSTERNORRLANDS LÄN</t>
        </is>
      </c>
      <c r="E51" t="inlineStr">
        <is>
          <t>SUNDSVALL</t>
        </is>
      </c>
      <c r="G51" t="n">
        <v>5.1</v>
      </c>
      <c r="H51" t="n">
        <v>2</v>
      </c>
      <c r="I51" t="n">
        <v>2</v>
      </c>
      <c r="J51" t="n">
        <v>6</v>
      </c>
      <c r="K51" t="n">
        <v>1</v>
      </c>
      <c r="L51" t="n">
        <v>0</v>
      </c>
      <c r="M51" t="n">
        <v>0</v>
      </c>
      <c r="N51" t="n">
        <v>0</v>
      </c>
      <c r="O51" t="n">
        <v>7</v>
      </c>
      <c r="P51" t="n">
        <v>1</v>
      </c>
      <c r="Q51" t="n">
        <v>9</v>
      </c>
      <c r="R51" s="2" t="inlineStr">
        <is>
          <t>Knärot
Garnlav
Tretåig hackspett
Ullticka
Vedflamlav
Vedskivlav
Violettgrå tagellav
Vedticka
Vågbandad barkbock</t>
        </is>
      </c>
      <c r="S51">
        <f>HYPERLINK("https://klasma.github.io/Logging_2281/artfynd/A 61830-2025 artfynd.xlsx", "A 61830-2025")</f>
        <v/>
      </c>
      <c r="T51">
        <f>HYPERLINK("https://klasma.github.io/Logging_2281/kartor/A 61830-2025 karta.png", "A 61830-2025")</f>
        <v/>
      </c>
      <c r="U51">
        <f>HYPERLINK("https://klasma.github.io/Logging_2281/knärot/A 61830-2025 karta knärot.png", "A 61830-2025")</f>
        <v/>
      </c>
      <c r="V51">
        <f>HYPERLINK("https://klasma.github.io/Logging_2281/klagomål/A 61830-2025 FSC-klagomål.docx", "A 61830-2025")</f>
        <v/>
      </c>
      <c r="W51">
        <f>HYPERLINK("https://klasma.github.io/Logging_2281/klagomålsmail/A 61830-2025 FSC-klagomål mail.docx", "A 61830-2025")</f>
        <v/>
      </c>
      <c r="X51">
        <f>HYPERLINK("https://klasma.github.io/Logging_2281/tillsyn/A 61830-2025 tillsynsbegäran.docx", "A 61830-2025")</f>
        <v/>
      </c>
      <c r="Y51">
        <f>HYPERLINK("https://klasma.github.io/Logging_2281/tillsynsmail/A 61830-2025 tillsynsbegäran mail.docx", "A 61830-2025")</f>
        <v/>
      </c>
      <c r="Z51">
        <f>HYPERLINK("https://klasma.github.io/Logging_2281/fåglar/A 61830-2025 prioriterade fågelarter.docx", "A 61830-2025")</f>
        <v/>
      </c>
    </row>
    <row r="52" ht="15" customHeight="1">
      <c r="A52" t="inlineStr">
        <is>
          <t>A 24424-2025</t>
        </is>
      </c>
      <c r="B52" s="1" t="n">
        <v>45797</v>
      </c>
      <c r="C52" s="1" t="n">
        <v>46165</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47177-2024</t>
        </is>
      </c>
      <c r="B53" s="1" t="n">
        <v>45586.61596064815</v>
      </c>
      <c r="C53" s="1" t="n">
        <v>46165</v>
      </c>
      <c r="D53" t="inlineStr">
        <is>
          <t>VÄSTERNORRLANDS LÄN</t>
        </is>
      </c>
      <c r="E53" t="inlineStr">
        <is>
          <t>SUNDSVALL</t>
        </is>
      </c>
      <c r="F53" t="inlineStr">
        <is>
          <t>SCA</t>
        </is>
      </c>
      <c r="G53" t="n">
        <v>12.3</v>
      </c>
      <c r="H53" t="n">
        <v>4</v>
      </c>
      <c r="I53" t="n">
        <v>1</v>
      </c>
      <c r="J53" t="n">
        <v>6</v>
      </c>
      <c r="K53" t="n">
        <v>2</v>
      </c>
      <c r="L53" t="n">
        <v>0</v>
      </c>
      <c r="M53" t="n">
        <v>0</v>
      </c>
      <c r="N53" t="n">
        <v>0</v>
      </c>
      <c r="O53" t="n">
        <v>8</v>
      </c>
      <c r="P53" t="n">
        <v>2</v>
      </c>
      <c r="Q53" t="n">
        <v>9</v>
      </c>
      <c r="R53" s="2" t="inlineStr">
        <is>
          <t>Knärot
Rynkskinn
Garnlav
Lunglav
Rosenticka
Spillkråka
Tretåig hackspett
Ullticka
Spindelblomster</t>
        </is>
      </c>
      <c r="S53">
        <f>HYPERLINK("https://klasma.github.io/Logging_2281/artfynd/A 47177-2024 artfynd.xlsx", "A 47177-2024")</f>
        <v/>
      </c>
      <c r="T53">
        <f>HYPERLINK("https://klasma.github.io/Logging_2281/kartor/A 47177-2024 karta.png", "A 47177-2024")</f>
        <v/>
      </c>
      <c r="U53">
        <f>HYPERLINK("https://klasma.github.io/Logging_2281/knärot/A 47177-2024 karta knärot.png", "A 47177-2024")</f>
        <v/>
      </c>
      <c r="V53">
        <f>HYPERLINK("https://klasma.github.io/Logging_2281/klagomål/A 47177-2024 FSC-klagomål.docx", "A 47177-2024")</f>
        <v/>
      </c>
      <c r="W53">
        <f>HYPERLINK("https://klasma.github.io/Logging_2281/klagomålsmail/A 47177-2024 FSC-klagomål mail.docx", "A 47177-2024")</f>
        <v/>
      </c>
      <c r="X53">
        <f>HYPERLINK("https://klasma.github.io/Logging_2281/tillsyn/A 47177-2024 tillsynsbegäran.docx", "A 47177-2024")</f>
        <v/>
      </c>
      <c r="Y53">
        <f>HYPERLINK("https://klasma.github.io/Logging_2281/tillsynsmail/A 47177-2024 tillsynsbegäran mail.docx", "A 47177-2024")</f>
        <v/>
      </c>
      <c r="Z53">
        <f>HYPERLINK("https://klasma.github.io/Logging_2281/fåglar/A 47177-2024 prioriterade fågelarter.docx", "A 47177-2024")</f>
        <v/>
      </c>
    </row>
    <row r="54" ht="15" customHeight="1">
      <c r="A54" t="inlineStr">
        <is>
          <t>A 46124-2024</t>
        </is>
      </c>
      <c r="B54" s="1" t="n">
        <v>45581</v>
      </c>
      <c r="C54" s="1" t="n">
        <v>46165</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22621-2023</t>
        </is>
      </c>
      <c r="B55" s="1" t="n">
        <v>45071</v>
      </c>
      <c r="C55" s="1" t="n">
        <v>46165</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62083-2022</t>
        </is>
      </c>
      <c r="B56" s="1" t="n">
        <v>44918</v>
      </c>
      <c r="C56" s="1" t="n">
        <v>46165</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15142-2025</t>
        </is>
      </c>
      <c r="B57" s="1" t="n">
        <v>45744</v>
      </c>
      <c r="C57" s="1" t="n">
        <v>46165</v>
      </c>
      <c r="D57" t="inlineStr">
        <is>
          <t>VÄSTERNORRLANDS LÄN</t>
        </is>
      </c>
      <c r="E57" t="inlineStr">
        <is>
          <t>SUNDSVALL</t>
        </is>
      </c>
      <c r="F57" t="inlineStr">
        <is>
          <t>SCA</t>
        </is>
      </c>
      <c r="G57" t="n">
        <v>4.8</v>
      </c>
      <c r="H57" t="n">
        <v>1</v>
      </c>
      <c r="I57" t="n">
        <v>2</v>
      </c>
      <c r="J57" t="n">
        <v>4</v>
      </c>
      <c r="K57" t="n">
        <v>2</v>
      </c>
      <c r="L57" t="n">
        <v>0</v>
      </c>
      <c r="M57" t="n">
        <v>0</v>
      </c>
      <c r="N57" t="n">
        <v>0</v>
      </c>
      <c r="O57" t="n">
        <v>6</v>
      </c>
      <c r="P57" t="n">
        <v>2</v>
      </c>
      <c r="Q57" t="n">
        <v>8</v>
      </c>
      <c r="R57" s="2" t="inlineStr">
        <is>
          <t>Knärot
Rynkskinn
Lunglav
Rosenticka
Tallticka
Ullticka
Korallblylav
Stuplav</t>
        </is>
      </c>
      <c r="S57">
        <f>HYPERLINK("https://klasma.github.io/Logging_2281/artfynd/A 15142-2025 artfynd.xlsx", "A 15142-2025")</f>
        <v/>
      </c>
      <c r="T57">
        <f>HYPERLINK("https://klasma.github.io/Logging_2281/kartor/A 15142-2025 karta.png", "A 15142-2025")</f>
        <v/>
      </c>
      <c r="U57">
        <f>HYPERLINK("https://klasma.github.io/Logging_2281/knärot/A 15142-2025 karta knärot.png", "A 15142-2025")</f>
        <v/>
      </c>
      <c r="V57">
        <f>HYPERLINK("https://klasma.github.io/Logging_2281/klagomål/A 15142-2025 FSC-klagomål.docx", "A 15142-2025")</f>
        <v/>
      </c>
      <c r="W57">
        <f>HYPERLINK("https://klasma.github.io/Logging_2281/klagomålsmail/A 15142-2025 FSC-klagomål mail.docx", "A 15142-2025")</f>
        <v/>
      </c>
      <c r="X57">
        <f>HYPERLINK("https://klasma.github.io/Logging_2281/tillsyn/A 15142-2025 tillsynsbegäran.docx", "A 15142-2025")</f>
        <v/>
      </c>
      <c r="Y57">
        <f>HYPERLINK("https://klasma.github.io/Logging_2281/tillsynsmail/A 15142-2025 tillsynsbegäran mail.docx", "A 15142-2025")</f>
        <v/>
      </c>
    </row>
    <row r="58" ht="15" customHeight="1">
      <c r="A58" t="inlineStr">
        <is>
          <t>A 15540-2026</t>
        </is>
      </c>
      <c r="B58" s="1" t="n">
        <v>46106</v>
      </c>
      <c r="C58" s="1" t="n">
        <v>46165</v>
      </c>
      <c r="D58" t="inlineStr">
        <is>
          <t>VÄSTERNORRLANDS LÄN</t>
        </is>
      </c>
      <c r="E58" t="inlineStr">
        <is>
          <t>SUNDSVALL</t>
        </is>
      </c>
      <c r="G58" t="n">
        <v>6.6</v>
      </c>
      <c r="H58" t="n">
        <v>3</v>
      </c>
      <c r="I58" t="n">
        <v>2</v>
      </c>
      <c r="J58" t="n">
        <v>5</v>
      </c>
      <c r="K58" t="n">
        <v>1</v>
      </c>
      <c r="L58" t="n">
        <v>0</v>
      </c>
      <c r="M58" t="n">
        <v>0</v>
      </c>
      <c r="N58" t="n">
        <v>0</v>
      </c>
      <c r="O58" t="n">
        <v>6</v>
      </c>
      <c r="P58" t="n">
        <v>1</v>
      </c>
      <c r="Q58" t="n">
        <v>8</v>
      </c>
      <c r="R58" s="2" t="inlineStr">
        <is>
          <t>Knärot
Garnlav
Talltita
Tretåig hackspett
Ullticka
Violettgrå tagellav
Blodticka
Vedticka</t>
        </is>
      </c>
      <c r="S58">
        <f>HYPERLINK("https://klasma.github.io/Logging_2281/artfynd/A 15540-2026 artfynd.xlsx", "A 15540-2026")</f>
        <v/>
      </c>
      <c r="T58">
        <f>HYPERLINK("https://klasma.github.io/Logging_2281/kartor/A 15540-2026 karta.png", "A 15540-2026")</f>
        <v/>
      </c>
      <c r="U58">
        <f>HYPERLINK("https://klasma.github.io/Logging_2281/knärot/A 15540-2026 karta knärot.png", "A 15540-2026")</f>
        <v/>
      </c>
      <c r="V58">
        <f>HYPERLINK("https://klasma.github.io/Logging_2281/klagomål/A 15540-2026 FSC-klagomål.docx", "A 15540-2026")</f>
        <v/>
      </c>
      <c r="W58">
        <f>HYPERLINK("https://klasma.github.io/Logging_2281/klagomålsmail/A 15540-2026 FSC-klagomål mail.docx", "A 15540-2026")</f>
        <v/>
      </c>
      <c r="X58">
        <f>HYPERLINK("https://klasma.github.io/Logging_2281/tillsyn/A 15540-2026 tillsynsbegäran.docx", "A 15540-2026")</f>
        <v/>
      </c>
      <c r="Y58">
        <f>HYPERLINK("https://klasma.github.io/Logging_2281/tillsynsmail/A 15540-2026 tillsynsbegäran mail.docx", "A 15540-2026")</f>
        <v/>
      </c>
      <c r="Z58">
        <f>HYPERLINK("https://klasma.github.io/Logging_2281/fåglar/A 15540-2026 prioriterade fågelarter.docx", "A 15540-2026")</f>
        <v/>
      </c>
    </row>
    <row r="59" ht="15" customHeight="1">
      <c r="A59" t="inlineStr">
        <is>
          <t>A 36953-2025</t>
        </is>
      </c>
      <c r="B59" s="1" t="n">
        <v>45874.60950231482</v>
      </c>
      <c r="C59" s="1" t="n">
        <v>46165</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12205-2025</t>
        </is>
      </c>
      <c r="B60" s="1" t="n">
        <v>45729.51091435185</v>
      </c>
      <c r="C60" s="1" t="n">
        <v>46165</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46165</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46165</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46165</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46165</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46165</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46165</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20628-2025</t>
        </is>
      </c>
      <c r="B67" s="1" t="n">
        <v>45776</v>
      </c>
      <c r="C67" s="1" t="n">
        <v>46165</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46165</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46165</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46165</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13443-2025</t>
        </is>
      </c>
      <c r="B71" s="1" t="n">
        <v>45736</v>
      </c>
      <c r="C71" s="1" t="n">
        <v>46165</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46165</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46165</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38443-2025</t>
        </is>
      </c>
      <c r="B74" s="1" t="n">
        <v>45883</v>
      </c>
      <c r="C74" s="1" t="n">
        <v>46165</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37814-2023</t>
        </is>
      </c>
      <c r="B75" s="1" t="n">
        <v>45159</v>
      </c>
      <c r="C75" s="1" t="n">
        <v>46165</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4878-2025</t>
        </is>
      </c>
      <c r="B76" s="1" t="n">
        <v>45688</v>
      </c>
      <c r="C76" s="1" t="n">
        <v>46165</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20695-2025</t>
        </is>
      </c>
      <c r="B77" s="1" t="n">
        <v>45776.46954861111</v>
      </c>
      <c r="C77" s="1" t="n">
        <v>46165</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43818-2024</t>
        </is>
      </c>
      <c r="B78" s="1" t="n">
        <v>45571</v>
      </c>
      <c r="C78" s="1" t="n">
        <v>46165</v>
      </c>
      <c r="D78" t="inlineStr">
        <is>
          <t>VÄSTERNORRLANDS LÄN</t>
        </is>
      </c>
      <c r="E78" t="inlineStr">
        <is>
          <t>SUNDSVALL</t>
        </is>
      </c>
      <c r="G78" t="n">
        <v>3.1</v>
      </c>
      <c r="H78" t="n">
        <v>2</v>
      </c>
      <c r="I78" t="n">
        <v>1</v>
      </c>
      <c r="J78" t="n">
        <v>4</v>
      </c>
      <c r="K78" t="n">
        <v>1</v>
      </c>
      <c r="L78" t="n">
        <v>0</v>
      </c>
      <c r="M78" t="n">
        <v>0</v>
      </c>
      <c r="N78" t="n">
        <v>0</v>
      </c>
      <c r="O78" t="n">
        <v>5</v>
      </c>
      <c r="P78" t="n">
        <v>1</v>
      </c>
      <c r="Q78" t="n">
        <v>6</v>
      </c>
      <c r="R78" s="2" t="inlineStr">
        <is>
          <t>Knärot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33777-2024</t>
        </is>
      </c>
      <c r="B79" s="1" t="n">
        <v>45520</v>
      </c>
      <c r="C79" s="1" t="n">
        <v>46165</v>
      </c>
      <c r="D79" t="inlineStr">
        <is>
          <t>VÄSTERNORRLANDS LÄN</t>
        </is>
      </c>
      <c r="E79" t="inlineStr">
        <is>
          <t>SUNDSVALL</t>
        </is>
      </c>
      <c r="F79" t="inlineStr">
        <is>
          <t>SCA</t>
        </is>
      </c>
      <c r="G79" t="n">
        <v>7.5</v>
      </c>
      <c r="H79" t="n">
        <v>4</v>
      </c>
      <c r="I79" t="n">
        <v>0</v>
      </c>
      <c r="J79" t="n">
        <v>4</v>
      </c>
      <c r="K79" t="n">
        <v>1</v>
      </c>
      <c r="L79" t="n">
        <v>0</v>
      </c>
      <c r="M79" t="n">
        <v>0</v>
      </c>
      <c r="N79" t="n">
        <v>0</v>
      </c>
      <c r="O79" t="n">
        <v>5</v>
      </c>
      <c r="P79" t="n">
        <v>1</v>
      </c>
      <c r="Q79" t="n">
        <v>6</v>
      </c>
      <c r="R79" s="2" t="inlineStr">
        <is>
          <t>Knärot
Granticka
Spillkråka
Tretåig hackspett
Ullticka
Dubbelnycklar</t>
        </is>
      </c>
      <c r="S79">
        <f>HYPERLINK("https://klasma.github.io/Logging_2281/artfynd/A 33777-2024 artfynd.xlsx", "A 33777-2024")</f>
        <v/>
      </c>
      <c r="T79">
        <f>HYPERLINK("https://klasma.github.io/Logging_2281/kartor/A 33777-2024 karta.png", "A 33777-2024")</f>
        <v/>
      </c>
      <c r="U79">
        <f>HYPERLINK("https://klasma.github.io/Logging_2281/knärot/A 33777-2024 karta knärot.png", "A 33777-2024")</f>
        <v/>
      </c>
      <c r="V79">
        <f>HYPERLINK("https://klasma.github.io/Logging_2281/klagomål/A 33777-2024 FSC-klagomål.docx", "A 33777-2024")</f>
        <v/>
      </c>
      <c r="W79">
        <f>HYPERLINK("https://klasma.github.io/Logging_2281/klagomålsmail/A 33777-2024 FSC-klagomål mail.docx", "A 33777-2024")</f>
        <v/>
      </c>
      <c r="X79">
        <f>HYPERLINK("https://klasma.github.io/Logging_2281/tillsyn/A 33777-2024 tillsynsbegäran.docx", "A 33777-2024")</f>
        <v/>
      </c>
      <c r="Y79">
        <f>HYPERLINK("https://klasma.github.io/Logging_2281/tillsynsmail/A 33777-2024 tillsynsbegäran mail.docx", "A 33777-2024")</f>
        <v/>
      </c>
      <c r="Z79">
        <f>HYPERLINK("https://klasma.github.io/Logging_2281/fåglar/A 33777-2024 prioriterade fågelarter.docx", "A 33777-2024")</f>
        <v/>
      </c>
    </row>
    <row r="80" ht="15" customHeight="1">
      <c r="A80" t="inlineStr">
        <is>
          <t>A 23553-2024</t>
        </is>
      </c>
      <c r="B80" s="1" t="n">
        <v>45453</v>
      </c>
      <c r="C80" s="1" t="n">
        <v>46165</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59004-2025</t>
        </is>
      </c>
      <c r="B81" s="1" t="n">
        <v>45987</v>
      </c>
      <c r="C81" s="1" t="n">
        <v>46165</v>
      </c>
      <c r="D81" t="inlineStr">
        <is>
          <t>VÄSTERNORRLANDS LÄN</t>
        </is>
      </c>
      <c r="E81" t="inlineStr">
        <is>
          <t>SUNDSVALL</t>
        </is>
      </c>
      <c r="F81" t="inlineStr">
        <is>
          <t>Naturvårdsverket</t>
        </is>
      </c>
      <c r="G81" t="n">
        <v>2.2</v>
      </c>
      <c r="H81" t="n">
        <v>1</v>
      </c>
      <c r="I81" t="n">
        <v>4</v>
      </c>
      <c r="J81" t="n">
        <v>1</v>
      </c>
      <c r="K81" t="n">
        <v>1</v>
      </c>
      <c r="L81" t="n">
        <v>0</v>
      </c>
      <c r="M81" t="n">
        <v>0</v>
      </c>
      <c r="N81" t="n">
        <v>0</v>
      </c>
      <c r="O81" t="n">
        <v>2</v>
      </c>
      <c r="P81" t="n">
        <v>1</v>
      </c>
      <c r="Q81" t="n">
        <v>6</v>
      </c>
      <c r="R81" s="2" t="inlineStr">
        <is>
          <t>Knärot
Granticka
Bårdlav
Gytterlav
Skinnlav
Stuplav</t>
        </is>
      </c>
      <c r="S81">
        <f>HYPERLINK("https://klasma.github.io/Logging_2281/artfynd/A 59004-2025 artfynd.xlsx", "A 59004-2025")</f>
        <v/>
      </c>
      <c r="T81">
        <f>HYPERLINK("https://klasma.github.io/Logging_2281/kartor/A 59004-2025 karta.png", "A 59004-2025")</f>
        <v/>
      </c>
      <c r="U81">
        <f>HYPERLINK("https://klasma.github.io/Logging_2281/knärot/A 59004-2025 karta knärot.png", "A 59004-2025")</f>
        <v/>
      </c>
      <c r="V81">
        <f>HYPERLINK("https://klasma.github.io/Logging_2281/klagomål/A 59004-2025 FSC-klagomål.docx", "A 59004-2025")</f>
        <v/>
      </c>
      <c r="W81">
        <f>HYPERLINK("https://klasma.github.io/Logging_2281/klagomålsmail/A 59004-2025 FSC-klagomål mail.docx", "A 59004-2025")</f>
        <v/>
      </c>
      <c r="X81">
        <f>HYPERLINK("https://klasma.github.io/Logging_2281/tillsyn/A 59004-2025 tillsynsbegäran.docx", "A 59004-2025")</f>
        <v/>
      </c>
      <c r="Y81">
        <f>HYPERLINK("https://klasma.github.io/Logging_2281/tillsynsmail/A 59004-2025 tillsynsbegäran mail.docx", "A 59004-2025")</f>
        <v/>
      </c>
    </row>
    <row r="82" ht="15" customHeight="1">
      <c r="A82" t="inlineStr">
        <is>
          <t>A 11352-2022</t>
        </is>
      </c>
      <c r="B82" s="1" t="n">
        <v>44630</v>
      </c>
      <c r="C82" s="1" t="n">
        <v>46165</v>
      </c>
      <c r="D82" t="inlineStr">
        <is>
          <t>VÄSTERNORRLANDS LÄN</t>
        </is>
      </c>
      <c r="E82" t="inlineStr">
        <is>
          <t>SUNDSVALL</t>
        </is>
      </c>
      <c r="G82" t="n">
        <v>10.2</v>
      </c>
      <c r="H82" t="n">
        <v>4</v>
      </c>
      <c r="I82" t="n">
        <v>0</v>
      </c>
      <c r="J82" t="n">
        <v>3</v>
      </c>
      <c r="K82" t="n">
        <v>1</v>
      </c>
      <c r="L82" t="n">
        <v>0</v>
      </c>
      <c r="M82" t="n">
        <v>0</v>
      </c>
      <c r="N82" t="n">
        <v>0</v>
      </c>
      <c r="O82" t="n">
        <v>4</v>
      </c>
      <c r="P82" t="n">
        <v>1</v>
      </c>
      <c r="Q82" t="n">
        <v>6</v>
      </c>
      <c r="R82" s="2" t="inlineStr">
        <is>
          <t>Knärot
Garnlav
Talltita
Ullticka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46087-2024</t>
        </is>
      </c>
      <c r="B83" s="1" t="n">
        <v>45581</v>
      </c>
      <c r="C83" s="1" t="n">
        <v>46165</v>
      </c>
      <c r="D83" t="inlineStr">
        <is>
          <t>VÄSTERNORRLANDS LÄN</t>
        </is>
      </c>
      <c r="E83" t="inlineStr">
        <is>
          <t>SUNDSVALL</t>
        </is>
      </c>
      <c r="F83" t="inlineStr">
        <is>
          <t>SCA</t>
        </is>
      </c>
      <c r="G83" t="n">
        <v>2.6</v>
      </c>
      <c r="H83" t="n">
        <v>4</v>
      </c>
      <c r="I83" t="n">
        <v>0</v>
      </c>
      <c r="J83" t="n">
        <v>5</v>
      </c>
      <c r="K83" t="n">
        <v>0</v>
      </c>
      <c r="L83" t="n">
        <v>0</v>
      </c>
      <c r="M83" t="n">
        <v>0</v>
      </c>
      <c r="N83" t="n">
        <v>0</v>
      </c>
      <c r="O83" t="n">
        <v>5</v>
      </c>
      <c r="P83" t="n">
        <v>0</v>
      </c>
      <c r="Q83" t="n">
        <v>6</v>
      </c>
      <c r="R83" s="2" t="inlineStr">
        <is>
          <t>Garnlav
Spillkråka
Talltita
Tretåig hackspett
Violettgrå tagellav
Revlummer</t>
        </is>
      </c>
      <c r="S83">
        <f>HYPERLINK("https://klasma.github.io/Logging_2281/artfynd/A 46087-2024 artfynd.xlsx", "A 46087-2024")</f>
        <v/>
      </c>
      <c r="T83">
        <f>HYPERLINK("https://klasma.github.io/Logging_2281/kartor/A 46087-2024 karta.png", "A 46087-2024")</f>
        <v/>
      </c>
      <c r="V83">
        <f>HYPERLINK("https://klasma.github.io/Logging_2281/klagomål/A 46087-2024 FSC-klagomål.docx", "A 46087-2024")</f>
        <v/>
      </c>
      <c r="W83">
        <f>HYPERLINK("https://klasma.github.io/Logging_2281/klagomålsmail/A 46087-2024 FSC-klagomål mail.docx", "A 46087-2024")</f>
        <v/>
      </c>
      <c r="X83">
        <f>HYPERLINK("https://klasma.github.io/Logging_2281/tillsyn/A 46087-2024 tillsynsbegäran.docx", "A 46087-2024")</f>
        <v/>
      </c>
      <c r="Y83">
        <f>HYPERLINK("https://klasma.github.io/Logging_2281/tillsynsmail/A 46087-2024 tillsynsbegäran mail.docx", "A 46087-2024")</f>
        <v/>
      </c>
      <c r="Z83">
        <f>HYPERLINK("https://klasma.github.io/Logging_2281/fåglar/A 46087-2024 prioriterade fågelarter.docx", "A 46087-2024")</f>
        <v/>
      </c>
    </row>
    <row r="84" ht="15" customHeight="1">
      <c r="A84" t="inlineStr">
        <is>
          <t>A 3579-2026</t>
        </is>
      </c>
      <c r="B84" s="1" t="n">
        <v>46042</v>
      </c>
      <c r="C84" s="1" t="n">
        <v>46165</v>
      </c>
      <c r="D84" t="inlineStr">
        <is>
          <t>VÄSTERNORRLANDS LÄN</t>
        </is>
      </c>
      <c r="E84" t="inlineStr">
        <is>
          <t>SUNDSVALL</t>
        </is>
      </c>
      <c r="G84" t="n">
        <v>18.9</v>
      </c>
      <c r="H84" t="n">
        <v>1</v>
      </c>
      <c r="I84" t="n">
        <v>1</v>
      </c>
      <c r="J84" t="n">
        <v>5</v>
      </c>
      <c r="K84" t="n">
        <v>0</v>
      </c>
      <c r="L84" t="n">
        <v>0</v>
      </c>
      <c r="M84" t="n">
        <v>0</v>
      </c>
      <c r="N84" t="n">
        <v>0</v>
      </c>
      <c r="O84" t="n">
        <v>5</v>
      </c>
      <c r="P84" t="n">
        <v>0</v>
      </c>
      <c r="Q84" t="n">
        <v>6</v>
      </c>
      <c r="R84" s="2" t="inlineStr">
        <is>
          <t>Garnlav
Granticka
Lunglav
Tretåig hackspett
Ullticka
Skinnlav</t>
        </is>
      </c>
      <c r="S84">
        <f>HYPERLINK("https://klasma.github.io/Logging_2281/artfynd/A 3579-2026 artfynd.xlsx", "A 3579-2026")</f>
        <v/>
      </c>
      <c r="T84">
        <f>HYPERLINK("https://klasma.github.io/Logging_2281/kartor/A 3579-2026 karta.png", "A 3579-2026")</f>
        <v/>
      </c>
      <c r="V84">
        <f>HYPERLINK("https://klasma.github.io/Logging_2281/klagomål/A 3579-2026 FSC-klagomål.docx", "A 3579-2026")</f>
        <v/>
      </c>
      <c r="W84">
        <f>HYPERLINK("https://klasma.github.io/Logging_2281/klagomålsmail/A 3579-2026 FSC-klagomål mail.docx", "A 3579-2026")</f>
        <v/>
      </c>
      <c r="X84">
        <f>HYPERLINK("https://klasma.github.io/Logging_2281/tillsyn/A 3579-2026 tillsynsbegäran.docx", "A 3579-2026")</f>
        <v/>
      </c>
      <c r="Y84">
        <f>HYPERLINK("https://klasma.github.io/Logging_2281/tillsynsmail/A 3579-2026 tillsynsbegäran mail.docx", "A 3579-2026")</f>
        <v/>
      </c>
      <c r="Z84">
        <f>HYPERLINK("https://klasma.github.io/Logging_2281/fåglar/A 3579-2026 prioriterade fågelarter.docx", "A 3579-2026")</f>
        <v/>
      </c>
    </row>
    <row r="85" ht="15" customHeight="1">
      <c r="A85" t="inlineStr">
        <is>
          <t>A 58518-2022</t>
        </is>
      </c>
      <c r="B85" s="1" t="n">
        <v>44902</v>
      </c>
      <c r="C85" s="1" t="n">
        <v>46165</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55548-2024</t>
        </is>
      </c>
      <c r="B86" s="1" t="n">
        <v>45622</v>
      </c>
      <c r="C86" s="1" t="n">
        <v>46165</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48777-2023</t>
        </is>
      </c>
      <c r="B87" s="1" t="n">
        <v>45208</v>
      </c>
      <c r="C87" s="1" t="n">
        <v>46165</v>
      </c>
      <c r="D87" t="inlineStr">
        <is>
          <t>VÄSTERNORRLANDS LÄN</t>
        </is>
      </c>
      <c r="E87" t="inlineStr">
        <is>
          <t>SUNDSVALL</t>
        </is>
      </c>
      <c r="F87" t="inlineStr">
        <is>
          <t>SCA</t>
        </is>
      </c>
      <c r="G87" t="n">
        <v>2.3</v>
      </c>
      <c r="H87" t="n">
        <v>2</v>
      </c>
      <c r="I87" t="n">
        <v>2</v>
      </c>
      <c r="J87" t="n">
        <v>4</v>
      </c>
      <c r="K87" t="n">
        <v>0</v>
      </c>
      <c r="L87" t="n">
        <v>0</v>
      </c>
      <c r="M87" t="n">
        <v>0</v>
      </c>
      <c r="N87" t="n">
        <v>0</v>
      </c>
      <c r="O87" t="n">
        <v>4</v>
      </c>
      <c r="P87" t="n">
        <v>0</v>
      </c>
      <c r="Q87" t="n">
        <v>6</v>
      </c>
      <c r="R87" s="2" t="inlineStr">
        <is>
          <t>Granticka
Harticka
Spillkråka
Tretåig hackspett
Trådticka
Vedticka</t>
        </is>
      </c>
      <c r="S87">
        <f>HYPERLINK("https://klasma.github.io/Logging_2281/artfynd/A 48777-2023 artfynd.xlsx", "A 48777-2023")</f>
        <v/>
      </c>
      <c r="T87">
        <f>HYPERLINK("https://klasma.github.io/Logging_2281/kartor/A 48777-2023 karta.png", "A 48777-2023")</f>
        <v/>
      </c>
      <c r="V87">
        <f>HYPERLINK("https://klasma.github.io/Logging_2281/klagomål/A 48777-2023 FSC-klagomål.docx", "A 48777-2023")</f>
        <v/>
      </c>
      <c r="W87">
        <f>HYPERLINK("https://klasma.github.io/Logging_2281/klagomålsmail/A 48777-2023 FSC-klagomål mail.docx", "A 48777-2023")</f>
        <v/>
      </c>
      <c r="X87">
        <f>HYPERLINK("https://klasma.github.io/Logging_2281/tillsyn/A 48777-2023 tillsynsbegäran.docx", "A 48777-2023")</f>
        <v/>
      </c>
      <c r="Y87">
        <f>HYPERLINK("https://klasma.github.io/Logging_2281/tillsynsmail/A 48777-2023 tillsynsbegäran mail.docx", "A 48777-2023")</f>
        <v/>
      </c>
      <c r="Z87">
        <f>HYPERLINK("https://klasma.github.io/Logging_2281/fåglar/A 48777-2023 prioriterade fågelarter.docx", "A 48777-2023")</f>
        <v/>
      </c>
    </row>
    <row r="88" ht="15" customHeight="1">
      <c r="A88" t="inlineStr">
        <is>
          <t>A 25837-2025</t>
        </is>
      </c>
      <c r="B88" s="1" t="n">
        <v>45804.44876157407</v>
      </c>
      <c r="C88" s="1" t="n">
        <v>46165</v>
      </c>
      <c r="D88" t="inlineStr">
        <is>
          <t>VÄSTERNORRLANDS LÄN</t>
        </is>
      </c>
      <c r="E88" t="inlineStr">
        <is>
          <t>SUNDSVALL</t>
        </is>
      </c>
      <c r="F88" t="inlineStr">
        <is>
          <t>Naturvårdsverket</t>
        </is>
      </c>
      <c r="G88" t="n">
        <v>10.9</v>
      </c>
      <c r="H88" t="n">
        <v>5</v>
      </c>
      <c r="I88" t="n">
        <v>2</v>
      </c>
      <c r="J88" t="n">
        <v>2</v>
      </c>
      <c r="K88" t="n">
        <v>1</v>
      </c>
      <c r="L88" t="n">
        <v>0</v>
      </c>
      <c r="M88" t="n">
        <v>0</v>
      </c>
      <c r="N88" t="n">
        <v>0</v>
      </c>
      <c r="O88" t="n">
        <v>3</v>
      </c>
      <c r="P88" t="n">
        <v>1</v>
      </c>
      <c r="Q88" t="n">
        <v>6</v>
      </c>
      <c r="R88" s="2" t="inlineStr">
        <is>
          <t>Knärot
Lunglav
Rödvingetrast
Korallrot
Spindelblomster
Fläcknycklar</t>
        </is>
      </c>
      <c r="S88">
        <f>HYPERLINK("https://klasma.github.io/Logging_2281/artfynd/A 25837-2025 artfynd.xlsx", "A 25837-2025")</f>
        <v/>
      </c>
      <c r="T88">
        <f>HYPERLINK("https://klasma.github.io/Logging_2281/kartor/A 25837-2025 karta.png", "A 25837-2025")</f>
        <v/>
      </c>
      <c r="U88">
        <f>HYPERLINK("https://klasma.github.io/Logging_2281/knärot/A 25837-2025 karta knärot.png", "A 25837-2025")</f>
        <v/>
      </c>
      <c r="V88">
        <f>HYPERLINK("https://klasma.github.io/Logging_2281/klagomål/A 25837-2025 FSC-klagomål.docx", "A 25837-2025")</f>
        <v/>
      </c>
      <c r="W88">
        <f>HYPERLINK("https://klasma.github.io/Logging_2281/klagomålsmail/A 25837-2025 FSC-klagomål mail.docx", "A 25837-2025")</f>
        <v/>
      </c>
      <c r="X88">
        <f>HYPERLINK("https://klasma.github.io/Logging_2281/tillsyn/A 25837-2025 tillsynsbegäran.docx", "A 25837-2025")</f>
        <v/>
      </c>
      <c r="Y88">
        <f>HYPERLINK("https://klasma.github.io/Logging_2281/tillsynsmail/A 25837-2025 tillsynsbegäran mail.docx", "A 25837-2025")</f>
        <v/>
      </c>
      <c r="Z88">
        <f>HYPERLINK("https://klasma.github.io/Logging_2281/fåglar/A 25837-2025 prioriterade fågelarter.docx", "A 25837-2025")</f>
        <v/>
      </c>
    </row>
    <row r="89" ht="15" customHeight="1">
      <c r="A89" t="inlineStr">
        <is>
          <t>A 27209-2025</t>
        </is>
      </c>
      <c r="B89" s="1" t="n">
        <v>45812.40658564815</v>
      </c>
      <c r="C89" s="1" t="n">
        <v>46165</v>
      </c>
      <c r="D89" t="inlineStr">
        <is>
          <t>VÄSTERNORRLANDS LÄN</t>
        </is>
      </c>
      <c r="E89" t="inlineStr">
        <is>
          <t>SUNDSVALL</t>
        </is>
      </c>
      <c r="F89" t="inlineStr">
        <is>
          <t>SCA</t>
        </is>
      </c>
      <c r="G89" t="n">
        <v>4.7</v>
      </c>
      <c r="H89" t="n">
        <v>0</v>
      </c>
      <c r="I89" t="n">
        <v>1</v>
      </c>
      <c r="J89" t="n">
        <v>5</v>
      </c>
      <c r="K89" t="n">
        <v>0</v>
      </c>
      <c r="L89" t="n">
        <v>0</v>
      </c>
      <c r="M89" t="n">
        <v>0</v>
      </c>
      <c r="N89" t="n">
        <v>0</v>
      </c>
      <c r="O89" t="n">
        <v>5</v>
      </c>
      <c r="P89" t="n">
        <v>0</v>
      </c>
      <c r="Q89" t="n">
        <v>6</v>
      </c>
      <c r="R89" s="2" t="inlineStr">
        <is>
          <t>Garnlav
Mörk kolflarnlav
Orange taggsvamp
Ullticka
Vedflamlav
Dropptaggsvamp</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45818.34563657407</v>
      </c>
      <c r="C90" s="1" t="n">
        <v>46165</v>
      </c>
      <c r="D90" t="inlineStr">
        <is>
          <t>VÄSTERNORRLANDS LÄN</t>
        </is>
      </c>
      <c r="E90" t="inlineStr">
        <is>
          <t>SUNDSVALL</t>
        </is>
      </c>
      <c r="F90" t="inlineStr">
        <is>
          <t>Naturvårdsverket</t>
        </is>
      </c>
      <c r="G90" t="n">
        <v>3.2</v>
      </c>
      <c r="H90" t="n">
        <v>3</v>
      </c>
      <c r="I90" t="n">
        <v>0</v>
      </c>
      <c r="J90" t="n">
        <v>5</v>
      </c>
      <c r="K90" t="n">
        <v>0</v>
      </c>
      <c r="L90" t="n">
        <v>0</v>
      </c>
      <c r="M90" t="n">
        <v>0</v>
      </c>
      <c r="N90" t="n">
        <v>0</v>
      </c>
      <c r="O90" t="n">
        <v>5</v>
      </c>
      <c r="P90" t="n">
        <v>0</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45839.67746527777</v>
      </c>
      <c r="C91" s="1" t="n">
        <v>46165</v>
      </c>
      <c r="D91" t="inlineStr">
        <is>
          <t>VÄSTERNORRLANDS LÄN</t>
        </is>
      </c>
      <c r="E91" t="inlineStr">
        <is>
          <t>SUNDSVALL</t>
        </is>
      </c>
      <c r="F91" t="inlineStr">
        <is>
          <t>SCA</t>
        </is>
      </c>
      <c r="G91" t="n">
        <v>2.4</v>
      </c>
      <c r="H91" t="n">
        <v>4</v>
      </c>
      <c r="I91" t="n">
        <v>0</v>
      </c>
      <c r="J91" t="n">
        <v>4</v>
      </c>
      <c r="K91" t="n">
        <v>1</v>
      </c>
      <c r="L91" t="n">
        <v>0</v>
      </c>
      <c r="M91" t="n">
        <v>0</v>
      </c>
      <c r="N91" t="n">
        <v>0</v>
      </c>
      <c r="O91" t="n">
        <v>5</v>
      </c>
      <c r="P91" t="n">
        <v>1</v>
      </c>
      <c r="Q91" t="n">
        <v>6</v>
      </c>
      <c r="R91" s="2" t="inlineStr">
        <is>
          <t>Knärot
Garnlav
Spillkråka
Tallticka
Tretåig hackspett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18829-2023</t>
        </is>
      </c>
      <c r="B92" s="1" t="n">
        <v>45042</v>
      </c>
      <c r="C92" s="1" t="n">
        <v>46165</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4865-2025</t>
        </is>
      </c>
      <c r="B93" s="1" t="n">
        <v>45688.67528935185</v>
      </c>
      <c r="C93" s="1" t="n">
        <v>46165</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3598-2026</t>
        </is>
      </c>
      <c r="B94" s="1" t="n">
        <v>46042</v>
      </c>
      <c r="C94" s="1" t="n">
        <v>46165</v>
      </c>
      <c r="D94" t="inlineStr">
        <is>
          <t>VÄSTERNORRLANDS LÄN</t>
        </is>
      </c>
      <c r="E94" t="inlineStr">
        <is>
          <t>SUNDSVALL</t>
        </is>
      </c>
      <c r="G94" t="n">
        <v>6.8</v>
      </c>
      <c r="H94" t="n">
        <v>2</v>
      </c>
      <c r="I94" t="n">
        <v>1</v>
      </c>
      <c r="J94" t="n">
        <v>4</v>
      </c>
      <c r="K94" t="n">
        <v>0</v>
      </c>
      <c r="L94" t="n">
        <v>0</v>
      </c>
      <c r="M94" t="n">
        <v>0</v>
      </c>
      <c r="N94" t="n">
        <v>0</v>
      </c>
      <c r="O94" t="n">
        <v>4</v>
      </c>
      <c r="P94" t="n">
        <v>0</v>
      </c>
      <c r="Q94" t="n">
        <v>5</v>
      </c>
      <c r="R94" s="2" t="inlineStr">
        <is>
          <t>Garnlav
Lunglav
Talltita
Tretåig hackspett
Kattfotslav</t>
        </is>
      </c>
      <c r="S94">
        <f>HYPERLINK("https://klasma.github.io/Logging_2281/artfynd/A 3598-2026 artfynd.xlsx", "A 3598-2026")</f>
        <v/>
      </c>
      <c r="T94">
        <f>HYPERLINK("https://klasma.github.io/Logging_2281/kartor/A 3598-2026 karta.png", "A 3598-2026")</f>
        <v/>
      </c>
      <c r="V94">
        <f>HYPERLINK("https://klasma.github.io/Logging_2281/klagomål/A 3598-2026 FSC-klagomål.docx", "A 3598-2026")</f>
        <v/>
      </c>
      <c r="W94">
        <f>HYPERLINK("https://klasma.github.io/Logging_2281/klagomålsmail/A 3598-2026 FSC-klagomål mail.docx", "A 3598-2026")</f>
        <v/>
      </c>
      <c r="X94">
        <f>HYPERLINK("https://klasma.github.io/Logging_2281/tillsyn/A 3598-2026 tillsynsbegäran.docx", "A 3598-2026")</f>
        <v/>
      </c>
      <c r="Y94">
        <f>HYPERLINK("https://klasma.github.io/Logging_2281/tillsynsmail/A 3598-2026 tillsynsbegäran mail.docx", "A 3598-2026")</f>
        <v/>
      </c>
      <c r="Z94">
        <f>HYPERLINK("https://klasma.github.io/Logging_2281/fåglar/A 3598-2026 prioriterade fågelarter.docx", "A 3598-2026")</f>
        <v/>
      </c>
    </row>
    <row r="95" ht="15" customHeight="1">
      <c r="A95" t="inlineStr">
        <is>
          <t>A 49642-2025</t>
        </is>
      </c>
      <c r="B95" s="1" t="n">
        <v>45939.61542824074</v>
      </c>
      <c r="C95" s="1" t="n">
        <v>46165</v>
      </c>
      <c r="D95" t="inlineStr">
        <is>
          <t>VÄSTERNORRLANDS LÄN</t>
        </is>
      </c>
      <c r="E95" t="inlineStr">
        <is>
          <t>SUNDSVALL</t>
        </is>
      </c>
      <c r="F95" t="inlineStr">
        <is>
          <t>SCA</t>
        </is>
      </c>
      <c r="G95" t="n">
        <v>3.9</v>
      </c>
      <c r="H95" t="n">
        <v>2</v>
      </c>
      <c r="I95" t="n">
        <v>2</v>
      </c>
      <c r="J95" t="n">
        <v>2</v>
      </c>
      <c r="K95" t="n">
        <v>0</v>
      </c>
      <c r="L95" t="n">
        <v>0</v>
      </c>
      <c r="M95" t="n">
        <v>0</v>
      </c>
      <c r="N95" t="n">
        <v>0</v>
      </c>
      <c r="O95" t="n">
        <v>2</v>
      </c>
      <c r="P95" t="n">
        <v>0</v>
      </c>
      <c r="Q95" t="n">
        <v>5</v>
      </c>
      <c r="R95" s="2" t="inlineStr">
        <is>
          <t>Lunglav
Spillkråka
Skinnlav
Stuplav
Lavskrika</t>
        </is>
      </c>
      <c r="S95">
        <f>HYPERLINK("https://klasma.github.io/Logging_2281/artfynd/A 49642-2025 artfynd.xlsx", "A 49642-2025")</f>
        <v/>
      </c>
      <c r="T95">
        <f>HYPERLINK("https://klasma.github.io/Logging_2281/kartor/A 49642-2025 karta.png", "A 49642-2025")</f>
        <v/>
      </c>
      <c r="V95">
        <f>HYPERLINK("https://klasma.github.io/Logging_2281/klagomål/A 49642-2025 FSC-klagomål.docx", "A 49642-2025")</f>
        <v/>
      </c>
      <c r="W95">
        <f>HYPERLINK("https://klasma.github.io/Logging_2281/klagomålsmail/A 49642-2025 FSC-klagomål mail.docx", "A 49642-2025")</f>
        <v/>
      </c>
      <c r="X95">
        <f>HYPERLINK("https://klasma.github.io/Logging_2281/tillsyn/A 49642-2025 tillsynsbegäran.docx", "A 49642-2025")</f>
        <v/>
      </c>
      <c r="Y95">
        <f>HYPERLINK("https://klasma.github.io/Logging_2281/tillsynsmail/A 49642-2025 tillsynsbegäran mail.docx", "A 49642-2025")</f>
        <v/>
      </c>
      <c r="Z95">
        <f>HYPERLINK("https://klasma.github.io/Logging_2281/fåglar/A 49642-2025 prioriterade fågelarter.docx", "A 49642-2025")</f>
        <v/>
      </c>
    </row>
    <row r="96" ht="15" customHeight="1">
      <c r="A96" t="inlineStr">
        <is>
          <t>A 57864-2025</t>
        </is>
      </c>
      <c r="B96" s="1" t="n">
        <v>45981</v>
      </c>
      <c r="C96" s="1" t="n">
        <v>46165</v>
      </c>
      <c r="D96" t="inlineStr">
        <is>
          <t>VÄSTERNORRLANDS LÄN</t>
        </is>
      </c>
      <c r="E96" t="inlineStr">
        <is>
          <t>SUNDSVALL</t>
        </is>
      </c>
      <c r="G96" t="n">
        <v>1.9</v>
      </c>
      <c r="H96" t="n">
        <v>2</v>
      </c>
      <c r="I96" t="n">
        <v>2</v>
      </c>
      <c r="J96" t="n">
        <v>2</v>
      </c>
      <c r="K96" t="n">
        <v>1</v>
      </c>
      <c r="L96" t="n">
        <v>0</v>
      </c>
      <c r="M96" t="n">
        <v>0</v>
      </c>
      <c r="N96" t="n">
        <v>0</v>
      </c>
      <c r="O96" t="n">
        <v>3</v>
      </c>
      <c r="P96" t="n">
        <v>1</v>
      </c>
      <c r="Q96" t="n">
        <v>5</v>
      </c>
      <c r="R96" s="2" t="inlineStr">
        <is>
          <t>Knärot
Tretåig hackspett
Ullticka
Korallblylav
Vedticka</t>
        </is>
      </c>
      <c r="S96">
        <f>HYPERLINK("https://klasma.github.io/Logging_2281/artfynd/A 57864-2025 artfynd.xlsx", "A 57864-2025")</f>
        <v/>
      </c>
      <c r="T96">
        <f>HYPERLINK("https://klasma.github.io/Logging_2281/kartor/A 57864-2025 karta.png", "A 57864-2025")</f>
        <v/>
      </c>
      <c r="U96">
        <f>HYPERLINK("https://klasma.github.io/Logging_2281/knärot/A 57864-2025 karta knärot.png", "A 57864-2025")</f>
        <v/>
      </c>
      <c r="V96">
        <f>HYPERLINK("https://klasma.github.io/Logging_2281/klagomål/A 57864-2025 FSC-klagomål.docx", "A 57864-2025")</f>
        <v/>
      </c>
      <c r="W96">
        <f>HYPERLINK("https://klasma.github.io/Logging_2281/klagomålsmail/A 57864-2025 FSC-klagomål mail.docx", "A 57864-2025")</f>
        <v/>
      </c>
      <c r="X96">
        <f>HYPERLINK("https://klasma.github.io/Logging_2281/tillsyn/A 57864-2025 tillsynsbegäran.docx", "A 57864-2025")</f>
        <v/>
      </c>
      <c r="Y96">
        <f>HYPERLINK("https://klasma.github.io/Logging_2281/tillsynsmail/A 57864-2025 tillsynsbegäran mail.docx", "A 57864-2025")</f>
        <v/>
      </c>
      <c r="Z96">
        <f>HYPERLINK("https://klasma.github.io/Logging_2281/fåglar/A 57864-2025 prioriterade fågelarter.docx", "A 57864-2025")</f>
        <v/>
      </c>
    </row>
    <row r="97" ht="15" customHeight="1">
      <c r="A97" t="inlineStr">
        <is>
          <t>A 57391-2025</t>
        </is>
      </c>
      <c r="B97" s="1" t="n">
        <v>45980.42244212963</v>
      </c>
      <c r="C97" s="1" t="n">
        <v>46165</v>
      </c>
      <c r="D97" t="inlineStr">
        <is>
          <t>VÄSTERNORRLANDS LÄN</t>
        </is>
      </c>
      <c r="E97" t="inlineStr">
        <is>
          <t>SUNDSVALL</t>
        </is>
      </c>
      <c r="G97" t="n">
        <v>4</v>
      </c>
      <c r="H97" t="n">
        <v>1</v>
      </c>
      <c r="I97" t="n">
        <v>0</v>
      </c>
      <c r="J97" t="n">
        <v>3</v>
      </c>
      <c r="K97" t="n">
        <v>2</v>
      </c>
      <c r="L97" t="n">
        <v>0</v>
      </c>
      <c r="M97" t="n">
        <v>0</v>
      </c>
      <c r="N97" t="n">
        <v>0</v>
      </c>
      <c r="O97" t="n">
        <v>5</v>
      </c>
      <c r="P97" t="n">
        <v>2</v>
      </c>
      <c r="Q97" t="n">
        <v>5</v>
      </c>
      <c r="R97" s="2" t="inlineStr">
        <is>
          <t>Laxporing
Rynkskinn
Rosenticka
Talltita
Ullticka</t>
        </is>
      </c>
      <c r="S97">
        <f>HYPERLINK("https://klasma.github.io/Logging_2281/artfynd/A 57391-2025 artfynd.xlsx", "A 57391-2025")</f>
        <v/>
      </c>
      <c r="T97">
        <f>HYPERLINK("https://klasma.github.io/Logging_2281/kartor/A 57391-2025 karta.png", "A 57391-2025")</f>
        <v/>
      </c>
      <c r="V97">
        <f>HYPERLINK("https://klasma.github.io/Logging_2281/klagomål/A 57391-2025 FSC-klagomål.docx", "A 57391-2025")</f>
        <v/>
      </c>
      <c r="W97">
        <f>HYPERLINK("https://klasma.github.io/Logging_2281/klagomålsmail/A 57391-2025 FSC-klagomål mail.docx", "A 57391-2025")</f>
        <v/>
      </c>
      <c r="X97">
        <f>HYPERLINK("https://klasma.github.io/Logging_2281/tillsyn/A 57391-2025 tillsynsbegäran.docx", "A 57391-2025")</f>
        <v/>
      </c>
      <c r="Y97">
        <f>HYPERLINK("https://klasma.github.io/Logging_2281/tillsynsmail/A 57391-2025 tillsynsbegäran mail.docx", "A 57391-2025")</f>
        <v/>
      </c>
      <c r="Z97">
        <f>HYPERLINK("https://klasma.github.io/Logging_2281/fåglar/A 57391-2025 prioriterade fågelarter.docx", "A 57391-2025")</f>
        <v/>
      </c>
    </row>
    <row r="98" ht="15" customHeight="1">
      <c r="A98" t="inlineStr">
        <is>
          <t>A 55854-2022</t>
        </is>
      </c>
      <c r="B98" s="1" t="n">
        <v>44886</v>
      </c>
      <c r="C98" s="1" t="n">
        <v>46165</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57859-2024</t>
        </is>
      </c>
      <c r="B99" s="1" t="n">
        <v>45631.42853009259</v>
      </c>
      <c r="C99" s="1" t="n">
        <v>46165</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3958-2024</t>
        </is>
      </c>
      <c r="B100" s="1" t="n">
        <v>45322</v>
      </c>
      <c r="C100" s="1" t="n">
        <v>46165</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24422-2025</t>
        </is>
      </c>
      <c r="B101" s="1" t="n">
        <v>45797</v>
      </c>
      <c r="C101" s="1" t="n">
        <v>46165</v>
      </c>
      <c r="D101" t="inlineStr">
        <is>
          <t>VÄSTERNORRLANDS LÄN</t>
        </is>
      </c>
      <c r="E101" t="inlineStr">
        <is>
          <t>SUNDSVALL</t>
        </is>
      </c>
      <c r="F101" t="inlineStr">
        <is>
          <t>SCA</t>
        </is>
      </c>
      <c r="G101" t="n">
        <v>2.2</v>
      </c>
      <c r="H101" t="n">
        <v>2</v>
      </c>
      <c r="I101" t="n">
        <v>1</v>
      </c>
      <c r="J101" t="n">
        <v>3</v>
      </c>
      <c r="K101" t="n">
        <v>0</v>
      </c>
      <c r="L101" t="n">
        <v>0</v>
      </c>
      <c r="M101" t="n">
        <v>0</v>
      </c>
      <c r="N101" t="n">
        <v>0</v>
      </c>
      <c r="O101" t="n">
        <v>3</v>
      </c>
      <c r="P101" t="n">
        <v>0</v>
      </c>
      <c r="Q101" t="n">
        <v>5</v>
      </c>
      <c r="R101" s="2" t="inlineStr">
        <is>
          <t>Garnlav
Lunglav
Tretåig hackspett
Kattfotslav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13556-2024</t>
        </is>
      </c>
      <c r="B102" s="1" t="n">
        <v>45387</v>
      </c>
      <c r="C102" s="1" t="n">
        <v>46165</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60009-2024</t>
        </is>
      </c>
      <c r="B103" s="1" t="n">
        <v>45642.42752314815</v>
      </c>
      <c r="C103" s="1" t="n">
        <v>46165</v>
      </c>
      <c r="D103" t="inlineStr">
        <is>
          <t>VÄSTERNORRLANDS LÄN</t>
        </is>
      </c>
      <c r="E103" t="inlineStr">
        <is>
          <t>SUNDSVALL</t>
        </is>
      </c>
      <c r="F103" t="inlineStr">
        <is>
          <t>SCA</t>
        </is>
      </c>
      <c r="G103" t="n">
        <v>9.6</v>
      </c>
      <c r="H103" t="n">
        <v>0</v>
      </c>
      <c r="I103" t="n">
        <v>0</v>
      </c>
      <c r="J103" t="n">
        <v>5</v>
      </c>
      <c r="K103" t="n">
        <v>0</v>
      </c>
      <c r="L103" t="n">
        <v>0</v>
      </c>
      <c r="M103" t="n">
        <v>0</v>
      </c>
      <c r="N103" t="n">
        <v>0</v>
      </c>
      <c r="O103" t="n">
        <v>5</v>
      </c>
      <c r="P103" t="n">
        <v>0</v>
      </c>
      <c r="Q103" t="n">
        <v>5</v>
      </c>
      <c r="R103" s="2" t="inlineStr">
        <is>
          <t>Garnlav
Kolflarnlav
Mörk kolflarnlav
Reliktbock
Vedskivlav</t>
        </is>
      </c>
      <c r="S103">
        <f>HYPERLINK("https://klasma.github.io/Logging_2281/artfynd/A 60009-2024 artfynd.xlsx", "A 60009-2024")</f>
        <v/>
      </c>
      <c r="T103">
        <f>HYPERLINK("https://klasma.github.io/Logging_2281/kartor/A 60009-2024 karta.png", "A 60009-2024")</f>
        <v/>
      </c>
      <c r="V103">
        <f>HYPERLINK("https://klasma.github.io/Logging_2281/klagomål/A 60009-2024 FSC-klagomål.docx", "A 60009-2024")</f>
        <v/>
      </c>
      <c r="W103">
        <f>HYPERLINK("https://klasma.github.io/Logging_2281/klagomålsmail/A 60009-2024 FSC-klagomål mail.docx", "A 60009-2024")</f>
        <v/>
      </c>
      <c r="X103">
        <f>HYPERLINK("https://klasma.github.io/Logging_2281/tillsyn/A 60009-2024 tillsynsbegäran.docx", "A 60009-2024")</f>
        <v/>
      </c>
      <c r="Y103">
        <f>HYPERLINK("https://klasma.github.io/Logging_2281/tillsynsmail/A 60009-2024 tillsynsbegäran mail.docx", "A 60009-2024")</f>
        <v/>
      </c>
    </row>
    <row r="104" ht="15" customHeight="1">
      <c r="A104" t="inlineStr">
        <is>
          <t>A 16943-2025</t>
        </is>
      </c>
      <c r="B104" s="1" t="n">
        <v>45755.42534722222</v>
      </c>
      <c r="C104" s="1" t="n">
        <v>46165</v>
      </c>
      <c r="D104" t="inlineStr">
        <is>
          <t>VÄSTERNORRLANDS LÄN</t>
        </is>
      </c>
      <c r="E104" t="inlineStr">
        <is>
          <t>SUNDSVALL</t>
        </is>
      </c>
      <c r="G104" t="n">
        <v>5.7</v>
      </c>
      <c r="H104" t="n">
        <v>3</v>
      </c>
      <c r="I104" t="n">
        <v>0</v>
      </c>
      <c r="J104" t="n">
        <v>3</v>
      </c>
      <c r="K104" t="n">
        <v>0</v>
      </c>
      <c r="L104" t="n">
        <v>0</v>
      </c>
      <c r="M104" t="n">
        <v>0</v>
      </c>
      <c r="N104" t="n">
        <v>0</v>
      </c>
      <c r="O104" t="n">
        <v>3</v>
      </c>
      <c r="P104" t="n">
        <v>0</v>
      </c>
      <c r="Q104" t="n">
        <v>5</v>
      </c>
      <c r="R104" s="2" t="inlineStr">
        <is>
          <t>Garnlav
Tretåig hackspett
Ullticka
Tjäder
Blåsippa</t>
        </is>
      </c>
      <c r="S104">
        <f>HYPERLINK("https://klasma.github.io/Logging_2281/artfynd/A 16943-2025 artfynd.xlsx", "A 16943-2025")</f>
        <v/>
      </c>
      <c r="T104">
        <f>HYPERLINK("https://klasma.github.io/Logging_2281/kartor/A 16943-2025 karta.png", "A 16943-2025")</f>
        <v/>
      </c>
      <c r="V104">
        <f>HYPERLINK("https://klasma.github.io/Logging_2281/klagomål/A 16943-2025 FSC-klagomål.docx", "A 16943-2025")</f>
        <v/>
      </c>
      <c r="W104">
        <f>HYPERLINK("https://klasma.github.io/Logging_2281/klagomålsmail/A 16943-2025 FSC-klagomål mail.docx", "A 16943-2025")</f>
        <v/>
      </c>
      <c r="X104">
        <f>HYPERLINK("https://klasma.github.io/Logging_2281/tillsyn/A 16943-2025 tillsynsbegäran.docx", "A 16943-2025")</f>
        <v/>
      </c>
      <c r="Y104">
        <f>HYPERLINK("https://klasma.github.io/Logging_2281/tillsynsmail/A 16943-2025 tillsynsbegäran mail.docx", "A 16943-2025")</f>
        <v/>
      </c>
      <c r="Z104">
        <f>HYPERLINK("https://klasma.github.io/Logging_2281/fåglar/A 16943-2025 prioriterade fågelarter.docx", "A 16943-2025")</f>
        <v/>
      </c>
    </row>
    <row r="105" ht="15" customHeight="1">
      <c r="A105" t="inlineStr">
        <is>
          <t>A 28406-2025</t>
        </is>
      </c>
      <c r="B105" s="1" t="n">
        <v>45819.34565972222</v>
      </c>
      <c r="C105" s="1" t="n">
        <v>46165</v>
      </c>
      <c r="D105" t="inlineStr">
        <is>
          <t>VÄSTERNORRLANDS LÄN</t>
        </is>
      </c>
      <c r="E105" t="inlineStr">
        <is>
          <t>SUNDSVALL</t>
        </is>
      </c>
      <c r="F105" t="inlineStr">
        <is>
          <t>Naturvårdsverket</t>
        </is>
      </c>
      <c r="G105" t="n">
        <v>27.4</v>
      </c>
      <c r="H105" t="n">
        <v>2</v>
      </c>
      <c r="I105" t="n">
        <v>0</v>
      </c>
      <c r="J105" t="n">
        <v>3</v>
      </c>
      <c r="K105" t="n">
        <v>0</v>
      </c>
      <c r="L105" t="n">
        <v>0</v>
      </c>
      <c r="M105" t="n">
        <v>0</v>
      </c>
      <c r="N105" t="n">
        <v>0</v>
      </c>
      <c r="O105" t="n">
        <v>3</v>
      </c>
      <c r="P105" t="n">
        <v>0</v>
      </c>
      <c r="Q105" t="n">
        <v>5</v>
      </c>
      <c r="R105" s="2" t="inlineStr">
        <is>
          <t>Garnlav
Lunglav
Ullticka
Vanlig groda
Fläcknycklar</t>
        </is>
      </c>
      <c r="S105">
        <f>HYPERLINK("https://klasma.github.io/Logging_2281/artfynd/A 28406-2025 artfynd.xlsx", "A 28406-2025")</f>
        <v/>
      </c>
      <c r="T105">
        <f>HYPERLINK("https://klasma.github.io/Logging_2281/kartor/A 28406-2025 karta.png", "A 28406-2025")</f>
        <v/>
      </c>
      <c r="V105">
        <f>HYPERLINK("https://klasma.github.io/Logging_2281/klagomål/A 28406-2025 FSC-klagomål.docx", "A 28406-2025")</f>
        <v/>
      </c>
      <c r="W105">
        <f>HYPERLINK("https://klasma.github.io/Logging_2281/klagomålsmail/A 28406-2025 FSC-klagomål mail.docx", "A 28406-2025")</f>
        <v/>
      </c>
      <c r="X105">
        <f>HYPERLINK("https://klasma.github.io/Logging_2281/tillsyn/A 28406-2025 tillsynsbegäran.docx", "A 28406-2025")</f>
        <v/>
      </c>
      <c r="Y105">
        <f>HYPERLINK("https://klasma.github.io/Logging_2281/tillsynsmail/A 28406-2025 tillsynsbegäran mail.docx", "A 28406-2025")</f>
        <v/>
      </c>
    </row>
    <row r="106" ht="15" customHeight="1">
      <c r="A106" t="inlineStr">
        <is>
          <t>A 30394-2025</t>
        </is>
      </c>
      <c r="B106" s="1" t="n">
        <v>45827.57431712963</v>
      </c>
      <c r="C106" s="1" t="n">
        <v>46165</v>
      </c>
      <c r="D106" t="inlineStr">
        <is>
          <t>VÄSTERNORRLANDS LÄN</t>
        </is>
      </c>
      <c r="E106" t="inlineStr">
        <is>
          <t>SUNDSVALL</t>
        </is>
      </c>
      <c r="F106" t="inlineStr">
        <is>
          <t>SCA</t>
        </is>
      </c>
      <c r="G106" t="n">
        <v>3.6</v>
      </c>
      <c r="H106" t="n">
        <v>3</v>
      </c>
      <c r="I106" t="n">
        <v>2</v>
      </c>
      <c r="J106" t="n">
        <v>2</v>
      </c>
      <c r="K106" t="n">
        <v>0</v>
      </c>
      <c r="L106" t="n">
        <v>0</v>
      </c>
      <c r="M106" t="n">
        <v>0</v>
      </c>
      <c r="N106" t="n">
        <v>0</v>
      </c>
      <c r="O106" t="n">
        <v>2</v>
      </c>
      <c r="P106" t="n">
        <v>0</v>
      </c>
      <c r="Q106" t="n">
        <v>5</v>
      </c>
      <c r="R106" s="2" t="inlineStr">
        <is>
          <t>Spillkråka
Tretåig hackspett
Barkticka
Grönpyrola
Kungsfågel</t>
        </is>
      </c>
      <c r="S106">
        <f>HYPERLINK("https://klasma.github.io/Logging_2281/artfynd/A 30394-2025 artfynd.xlsx", "A 30394-2025")</f>
        <v/>
      </c>
      <c r="T106">
        <f>HYPERLINK("https://klasma.github.io/Logging_2281/kartor/A 30394-2025 karta.png", "A 30394-2025")</f>
        <v/>
      </c>
      <c r="V106">
        <f>HYPERLINK("https://klasma.github.io/Logging_2281/klagomål/A 30394-2025 FSC-klagomål.docx", "A 30394-2025")</f>
        <v/>
      </c>
      <c r="W106">
        <f>HYPERLINK("https://klasma.github.io/Logging_2281/klagomålsmail/A 30394-2025 FSC-klagomål mail.docx", "A 30394-2025")</f>
        <v/>
      </c>
      <c r="X106">
        <f>HYPERLINK("https://klasma.github.io/Logging_2281/tillsyn/A 30394-2025 tillsynsbegäran.docx", "A 30394-2025")</f>
        <v/>
      </c>
      <c r="Y106">
        <f>HYPERLINK("https://klasma.github.io/Logging_2281/tillsynsmail/A 30394-2025 tillsynsbegäran mail.docx", "A 30394-2025")</f>
        <v/>
      </c>
      <c r="Z106">
        <f>HYPERLINK("https://klasma.github.io/Logging_2281/fåglar/A 30394-2025 prioriterade fågelarter.docx", "A 30394-2025")</f>
        <v/>
      </c>
    </row>
    <row r="107" ht="15" customHeight="1">
      <c r="A107" t="inlineStr">
        <is>
          <t>A 31424-2025</t>
        </is>
      </c>
      <c r="B107" s="1" t="n">
        <v>45833.49002314815</v>
      </c>
      <c r="C107" s="1" t="n">
        <v>46165</v>
      </c>
      <c r="D107" t="inlineStr">
        <is>
          <t>VÄSTERNORRLANDS LÄN</t>
        </is>
      </c>
      <c r="E107" t="inlineStr">
        <is>
          <t>SUNDSVALL</t>
        </is>
      </c>
      <c r="F107" t="inlineStr">
        <is>
          <t>Naturvårdsverket</t>
        </is>
      </c>
      <c r="G107" t="n">
        <v>2.4</v>
      </c>
      <c r="H107" t="n">
        <v>3</v>
      </c>
      <c r="I107" t="n">
        <v>1</v>
      </c>
      <c r="J107" t="n">
        <v>3</v>
      </c>
      <c r="K107" t="n">
        <v>0</v>
      </c>
      <c r="L107" t="n">
        <v>0</v>
      </c>
      <c r="M107" t="n">
        <v>0</v>
      </c>
      <c r="N107" t="n">
        <v>0</v>
      </c>
      <c r="O107" t="n">
        <v>3</v>
      </c>
      <c r="P107" t="n">
        <v>0</v>
      </c>
      <c r="Q107" t="n">
        <v>5</v>
      </c>
      <c r="R107" s="2" t="inlineStr">
        <is>
          <t>Garnlav
Talltita
Vedskivlav
Spindelblomster
Fläcknycklar</t>
        </is>
      </c>
      <c r="S107">
        <f>HYPERLINK("https://klasma.github.io/Logging_2281/artfynd/A 31424-2025 artfynd.xlsx", "A 31424-2025")</f>
        <v/>
      </c>
      <c r="T107">
        <f>HYPERLINK("https://klasma.github.io/Logging_2281/kartor/A 31424-2025 karta.png", "A 31424-2025")</f>
        <v/>
      </c>
      <c r="V107">
        <f>HYPERLINK("https://klasma.github.io/Logging_2281/klagomål/A 31424-2025 FSC-klagomål.docx", "A 31424-2025")</f>
        <v/>
      </c>
      <c r="W107">
        <f>HYPERLINK("https://klasma.github.io/Logging_2281/klagomålsmail/A 31424-2025 FSC-klagomål mail.docx", "A 31424-2025")</f>
        <v/>
      </c>
      <c r="X107">
        <f>HYPERLINK("https://klasma.github.io/Logging_2281/tillsyn/A 31424-2025 tillsynsbegäran.docx", "A 31424-2025")</f>
        <v/>
      </c>
      <c r="Y107">
        <f>HYPERLINK("https://klasma.github.io/Logging_2281/tillsynsmail/A 31424-2025 tillsynsbegäran mail.docx", "A 31424-2025")</f>
        <v/>
      </c>
      <c r="Z107">
        <f>HYPERLINK("https://klasma.github.io/Logging_2281/fåglar/A 31424-2025 prioriterade fågelarter.docx", "A 31424-2025")</f>
        <v/>
      </c>
    </row>
    <row r="108" ht="15" customHeight="1">
      <c r="A108" t="inlineStr">
        <is>
          <t>A 21663-2022</t>
        </is>
      </c>
      <c r="B108" s="1" t="n">
        <v>44706.94302083334</v>
      </c>
      <c r="C108" s="1" t="n">
        <v>46165</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46165</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46165</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46165</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46165</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40654-2025</t>
        </is>
      </c>
      <c r="B113" s="1" t="n">
        <v>45896.63640046296</v>
      </c>
      <c r="C113" s="1" t="n">
        <v>46165</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22901-2026</t>
        </is>
      </c>
      <c r="B114" s="1" t="n">
        <v>46158</v>
      </c>
      <c r="C114" s="1" t="n">
        <v>46165</v>
      </c>
      <c r="D114" t="inlineStr">
        <is>
          <t>VÄSTERNORRLANDS LÄN</t>
        </is>
      </c>
      <c r="E114" t="inlineStr">
        <is>
          <t>SUNDSVALL</t>
        </is>
      </c>
      <c r="G114" t="n">
        <v>2.4</v>
      </c>
      <c r="H114" t="n">
        <v>1</v>
      </c>
      <c r="I114" t="n">
        <v>0</v>
      </c>
      <c r="J114" t="n">
        <v>0</v>
      </c>
      <c r="K114" t="n">
        <v>1</v>
      </c>
      <c r="L114" t="n">
        <v>3</v>
      </c>
      <c r="M114" t="n">
        <v>0</v>
      </c>
      <c r="N114" t="n">
        <v>0</v>
      </c>
      <c r="O114" t="n">
        <v>4</v>
      </c>
      <c r="P114" t="n">
        <v>4</v>
      </c>
      <c r="Q114" t="n">
        <v>4</v>
      </c>
      <c r="R114" s="2" t="inlineStr">
        <is>
          <t>Mikroskapania
Svämskapania
Timmerskapania
Liten hornflikmossa</t>
        </is>
      </c>
      <c r="S114">
        <f>HYPERLINK("https://klasma.github.io/Logging_2281/artfynd/A 22901-2026 artfynd.xlsx", "A 22901-2026")</f>
        <v/>
      </c>
      <c r="T114">
        <f>HYPERLINK("https://klasma.github.io/Logging_2281/kartor/A 22901-2026 karta.png", "A 22901-2026")</f>
        <v/>
      </c>
      <c r="V114">
        <f>HYPERLINK("https://klasma.github.io/Logging_2281/klagomål/A 22901-2026 FSC-klagomål.docx", "A 22901-2026")</f>
        <v/>
      </c>
      <c r="W114">
        <f>HYPERLINK("https://klasma.github.io/Logging_2281/klagomålsmail/A 22901-2026 FSC-klagomål mail.docx", "A 22901-2026")</f>
        <v/>
      </c>
      <c r="X114">
        <f>HYPERLINK("https://klasma.github.io/Logging_2281/tillsyn/A 22901-2026 tillsynsbegäran.docx", "A 22901-2026")</f>
        <v/>
      </c>
      <c r="Y114">
        <f>HYPERLINK("https://klasma.github.io/Logging_2281/tillsynsmail/A 22901-2026 tillsynsbegäran mail.docx", "A 22901-2026")</f>
        <v/>
      </c>
    </row>
    <row r="115" ht="15" customHeight="1">
      <c r="A115" t="inlineStr">
        <is>
          <t>A 38193-2025</t>
        </is>
      </c>
      <c r="B115" s="1" t="n">
        <v>45882.65716435185</v>
      </c>
      <c r="C115" s="1" t="n">
        <v>46165</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49997-2021</t>
        </is>
      </c>
      <c r="B116" s="1" t="n">
        <v>44456</v>
      </c>
      <c r="C116" s="1" t="n">
        <v>46165</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46165</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50982-2025</t>
        </is>
      </c>
      <c r="B118" s="1" t="n">
        <v>45947.34473379629</v>
      </c>
      <c r="C118" s="1" t="n">
        <v>46165</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25500-2025</t>
        </is>
      </c>
      <c r="B119" s="1" t="n">
        <v>45803</v>
      </c>
      <c r="C119" s="1" t="n">
        <v>46165</v>
      </c>
      <c r="D119" t="inlineStr">
        <is>
          <t>VÄSTERNORRLANDS LÄN</t>
        </is>
      </c>
      <c r="E119" t="inlineStr">
        <is>
          <t>SUNDSVALL</t>
        </is>
      </c>
      <c r="F119" t="inlineStr">
        <is>
          <t>SCA</t>
        </is>
      </c>
      <c r="G119" t="n">
        <v>1.6</v>
      </c>
      <c r="H119" t="n">
        <v>1</v>
      </c>
      <c r="I119" t="n">
        <v>1</v>
      </c>
      <c r="J119" t="n">
        <v>3</v>
      </c>
      <c r="K119" t="n">
        <v>0</v>
      </c>
      <c r="L119" t="n">
        <v>0</v>
      </c>
      <c r="M119" t="n">
        <v>0</v>
      </c>
      <c r="N119" t="n">
        <v>0</v>
      </c>
      <c r="O119" t="n">
        <v>3</v>
      </c>
      <c r="P119" t="n">
        <v>0</v>
      </c>
      <c r="Q119" t="n">
        <v>4</v>
      </c>
      <c r="R119" s="2" t="inlineStr">
        <is>
          <t>Garnlav
Lunglav
Tretåig hackspett
Skinnlav</t>
        </is>
      </c>
      <c r="S119">
        <f>HYPERLINK("https://klasma.github.io/Logging_2281/artfynd/A 25500-2025 artfynd.xlsx", "A 25500-2025")</f>
        <v/>
      </c>
      <c r="T119">
        <f>HYPERLINK("https://klasma.github.io/Logging_2281/kartor/A 25500-2025 karta.png", "A 25500-2025")</f>
        <v/>
      </c>
      <c r="V119">
        <f>HYPERLINK("https://klasma.github.io/Logging_2281/klagomål/A 25500-2025 FSC-klagomål.docx", "A 25500-2025")</f>
        <v/>
      </c>
      <c r="W119">
        <f>HYPERLINK("https://klasma.github.io/Logging_2281/klagomålsmail/A 25500-2025 FSC-klagomål mail.docx", "A 25500-2025")</f>
        <v/>
      </c>
      <c r="X119">
        <f>HYPERLINK("https://klasma.github.io/Logging_2281/tillsyn/A 25500-2025 tillsynsbegäran.docx", "A 25500-2025")</f>
        <v/>
      </c>
      <c r="Y119">
        <f>HYPERLINK("https://klasma.github.io/Logging_2281/tillsynsmail/A 25500-2025 tillsynsbegäran mail.docx", "A 25500-2025")</f>
        <v/>
      </c>
      <c r="Z119">
        <f>HYPERLINK("https://klasma.github.io/Logging_2281/fåglar/A 25500-2025 prioriterade fågelarter.docx", "A 25500-2025")</f>
        <v/>
      </c>
    </row>
    <row r="120" ht="15" customHeight="1">
      <c r="A120" t="inlineStr">
        <is>
          <t>A 8691-2026</t>
        </is>
      </c>
      <c r="B120" s="1" t="n">
        <v>46066.4482175926</v>
      </c>
      <c r="C120" s="1" t="n">
        <v>46165</v>
      </c>
      <c r="D120" t="inlineStr">
        <is>
          <t>VÄSTERNORRLANDS LÄN</t>
        </is>
      </c>
      <c r="E120" t="inlineStr">
        <is>
          <t>SUNDSVALL</t>
        </is>
      </c>
      <c r="G120" t="n">
        <v>0.6</v>
      </c>
      <c r="H120" t="n">
        <v>3</v>
      </c>
      <c r="I120" t="n">
        <v>0</v>
      </c>
      <c r="J120" t="n">
        <v>2</v>
      </c>
      <c r="K120" t="n">
        <v>0</v>
      </c>
      <c r="L120" t="n">
        <v>0</v>
      </c>
      <c r="M120" t="n">
        <v>0</v>
      </c>
      <c r="N120" t="n">
        <v>0</v>
      </c>
      <c r="O120" t="n">
        <v>2</v>
      </c>
      <c r="P120" t="n">
        <v>0</v>
      </c>
      <c r="Q120" t="n">
        <v>4</v>
      </c>
      <c r="R120" s="2" t="inlineStr">
        <is>
          <t>Spillkråka
Ullticka
Vanlig padda
Revlummer</t>
        </is>
      </c>
      <c r="S120">
        <f>HYPERLINK("https://klasma.github.io/Logging_2281/artfynd/A 8691-2026 artfynd.xlsx", "A 8691-2026")</f>
        <v/>
      </c>
      <c r="T120">
        <f>HYPERLINK("https://klasma.github.io/Logging_2281/kartor/A 8691-2026 karta.png", "A 8691-2026")</f>
        <v/>
      </c>
      <c r="V120">
        <f>HYPERLINK("https://klasma.github.io/Logging_2281/klagomål/A 8691-2026 FSC-klagomål.docx", "A 8691-2026")</f>
        <v/>
      </c>
      <c r="W120">
        <f>HYPERLINK("https://klasma.github.io/Logging_2281/klagomålsmail/A 8691-2026 FSC-klagomål mail.docx", "A 8691-2026")</f>
        <v/>
      </c>
      <c r="X120">
        <f>HYPERLINK("https://klasma.github.io/Logging_2281/tillsyn/A 8691-2026 tillsynsbegäran.docx", "A 8691-2026")</f>
        <v/>
      </c>
      <c r="Y120">
        <f>HYPERLINK("https://klasma.github.io/Logging_2281/tillsynsmail/A 8691-2026 tillsynsbegäran mail.docx", "A 8691-2026")</f>
        <v/>
      </c>
      <c r="Z120">
        <f>HYPERLINK("https://klasma.github.io/Logging_2281/fåglar/A 8691-2026 prioriterade fågelarter.docx", "A 8691-2026")</f>
        <v/>
      </c>
    </row>
    <row r="121" ht="15" customHeight="1">
      <c r="A121" t="inlineStr">
        <is>
          <t>A 60194-2024</t>
        </is>
      </c>
      <c r="B121" s="1" t="n">
        <v>45642</v>
      </c>
      <c r="C121" s="1" t="n">
        <v>46165</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19968-2026</t>
        </is>
      </c>
      <c r="B122" s="1" t="n">
        <v>46136.42574074074</v>
      </c>
      <c r="C122" s="1" t="n">
        <v>46165</v>
      </c>
      <c r="D122" t="inlineStr">
        <is>
          <t>VÄSTERNORRLANDS LÄN</t>
        </is>
      </c>
      <c r="E122" t="inlineStr">
        <is>
          <t>SUNDSVALL</t>
        </is>
      </c>
      <c r="G122" t="n">
        <v>7.2</v>
      </c>
      <c r="H122" t="n">
        <v>3</v>
      </c>
      <c r="I122" t="n">
        <v>1</v>
      </c>
      <c r="J122" t="n">
        <v>0</v>
      </c>
      <c r="K122" t="n">
        <v>0</v>
      </c>
      <c r="L122" t="n">
        <v>0</v>
      </c>
      <c r="M122" t="n">
        <v>0</v>
      </c>
      <c r="N122" t="n">
        <v>0</v>
      </c>
      <c r="O122" t="n">
        <v>0</v>
      </c>
      <c r="P122" t="n">
        <v>0</v>
      </c>
      <c r="Q122" t="n">
        <v>4</v>
      </c>
      <c r="R122" s="2" t="inlineStr">
        <is>
          <t>Stor aspticka
Vanlig groda
Fläcknycklar
Nattviol</t>
        </is>
      </c>
      <c r="S122">
        <f>HYPERLINK("https://klasma.github.io/Logging_2281/artfynd/A 19968-2026 artfynd.xlsx", "A 19968-2026")</f>
        <v/>
      </c>
      <c r="T122">
        <f>HYPERLINK("https://klasma.github.io/Logging_2281/kartor/A 19968-2026 karta.png", "A 19968-2026")</f>
        <v/>
      </c>
      <c r="V122">
        <f>HYPERLINK("https://klasma.github.io/Logging_2281/klagomål/A 19968-2026 FSC-klagomål.docx", "A 19968-2026")</f>
        <v/>
      </c>
      <c r="W122">
        <f>HYPERLINK("https://klasma.github.io/Logging_2281/klagomålsmail/A 19968-2026 FSC-klagomål mail.docx", "A 19968-2026")</f>
        <v/>
      </c>
      <c r="X122">
        <f>HYPERLINK("https://klasma.github.io/Logging_2281/tillsyn/A 19968-2026 tillsynsbegäran.docx", "A 19968-2026")</f>
        <v/>
      </c>
      <c r="Y122">
        <f>HYPERLINK("https://klasma.github.io/Logging_2281/tillsynsmail/A 19968-2026 tillsynsbegäran mail.docx", "A 19968-2026")</f>
        <v/>
      </c>
    </row>
    <row r="123" ht="15" customHeight="1">
      <c r="A123" t="inlineStr">
        <is>
          <t>A 16767-2023</t>
        </is>
      </c>
      <c r="B123" s="1" t="n">
        <v>45030</v>
      </c>
      <c r="C123" s="1" t="n">
        <v>46165</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46165</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46165</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22114-2025</t>
        </is>
      </c>
      <c r="B126" s="1" t="n">
        <v>45785.51076388889</v>
      </c>
      <c r="C126" s="1" t="n">
        <v>46165</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21986-2025</t>
        </is>
      </c>
      <c r="B127" s="1" t="n">
        <v>45784.65700231482</v>
      </c>
      <c r="C127" s="1" t="n">
        <v>46165</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24016-2025</t>
        </is>
      </c>
      <c r="B128" s="1" t="n">
        <v>45796.44878472222</v>
      </c>
      <c r="C128" s="1" t="n">
        <v>46165</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46165</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46165</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46165</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20077-2025</t>
        </is>
      </c>
      <c r="B132" s="1" t="n">
        <v>45772.44883101852</v>
      </c>
      <c r="C132" s="1" t="n">
        <v>46165</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18826-2025</t>
        </is>
      </c>
      <c r="B133" s="1" t="n">
        <v>45764.38604166666</v>
      </c>
      <c r="C133" s="1" t="n">
        <v>46165</v>
      </c>
      <c r="D133" t="inlineStr">
        <is>
          <t>VÄSTERNORRLANDS LÄN</t>
        </is>
      </c>
      <c r="E133" t="inlineStr">
        <is>
          <t>SUNDSVALL</t>
        </is>
      </c>
      <c r="F133" t="inlineStr">
        <is>
          <t>Naturvårdsverket</t>
        </is>
      </c>
      <c r="G133" t="n">
        <v>3.5</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HYPERLINK("https://klasma.github.io/Logging_2281/artfynd/A 18826-2025 artfynd.xlsx", "A 18826-2025")</f>
        <v/>
      </c>
      <c r="T133">
        <f>HYPERLINK("https://klasma.github.io/Logging_2281/kartor/A 18826-2025 karta.png", "A 18826-2025")</f>
        <v/>
      </c>
      <c r="V133">
        <f>HYPERLINK("https://klasma.github.io/Logging_2281/klagomål/A 18826-2025 FSC-klagomål.docx", "A 18826-2025")</f>
        <v/>
      </c>
      <c r="W133">
        <f>HYPERLINK("https://klasma.github.io/Logging_2281/klagomålsmail/A 18826-2025 FSC-klagomål mail.docx", "A 18826-2025")</f>
        <v/>
      </c>
      <c r="X133">
        <f>HYPERLINK("https://klasma.github.io/Logging_2281/tillsyn/A 18826-2025 tillsynsbegäran.docx", "A 18826-2025")</f>
        <v/>
      </c>
      <c r="Y133">
        <f>HYPERLINK("https://klasma.github.io/Logging_2281/tillsynsmail/A 18826-2025 tillsynsbegäran mail.docx", "A 18826-2025")</f>
        <v/>
      </c>
    </row>
    <row r="134" ht="15" customHeight="1">
      <c r="A134" t="inlineStr">
        <is>
          <t>A 39925-2025</t>
        </is>
      </c>
      <c r="B134" s="1" t="n">
        <v>45891.6775</v>
      </c>
      <c r="C134" s="1" t="n">
        <v>46165</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43435-2025</t>
        </is>
      </c>
      <c r="B135" s="1" t="n">
        <v>45911.42755787037</v>
      </c>
      <c r="C135" s="1" t="n">
        <v>46165</v>
      </c>
      <c r="D135" t="inlineStr">
        <is>
          <t>VÄSTERNORRLANDS LÄN</t>
        </is>
      </c>
      <c r="E135" t="inlineStr">
        <is>
          <t>SUNDSVALL</t>
        </is>
      </c>
      <c r="F135" t="inlineStr">
        <is>
          <t>SCA</t>
        </is>
      </c>
      <c r="G135" t="n">
        <v>1.4</v>
      </c>
      <c r="H135" t="n">
        <v>0</v>
      </c>
      <c r="I135" t="n">
        <v>0</v>
      </c>
      <c r="J135" t="n">
        <v>3</v>
      </c>
      <c r="K135" t="n">
        <v>0</v>
      </c>
      <c r="L135" t="n">
        <v>0</v>
      </c>
      <c r="M135" t="n">
        <v>0</v>
      </c>
      <c r="N135" t="n">
        <v>0</v>
      </c>
      <c r="O135" t="n">
        <v>3</v>
      </c>
      <c r="P135" t="n">
        <v>0</v>
      </c>
      <c r="Q135" t="n">
        <v>3</v>
      </c>
      <c r="R135" s="2" t="inlineStr">
        <is>
          <t>Doftskinn
Gammelgransskål
Garnlav</t>
        </is>
      </c>
      <c r="S135">
        <f>HYPERLINK("https://klasma.github.io/Logging_2281/artfynd/A 43435-2025 artfynd.xlsx", "A 43435-2025")</f>
        <v/>
      </c>
      <c r="T135">
        <f>HYPERLINK("https://klasma.github.io/Logging_2281/kartor/A 43435-2025 karta.png", "A 43435-2025")</f>
        <v/>
      </c>
      <c r="V135">
        <f>HYPERLINK("https://klasma.github.io/Logging_2281/klagomål/A 43435-2025 FSC-klagomål.docx", "A 43435-2025")</f>
        <v/>
      </c>
      <c r="W135">
        <f>HYPERLINK("https://klasma.github.io/Logging_2281/klagomålsmail/A 43435-2025 FSC-klagomål mail.docx", "A 43435-2025")</f>
        <v/>
      </c>
      <c r="X135">
        <f>HYPERLINK("https://klasma.github.io/Logging_2281/tillsyn/A 43435-2025 tillsynsbegäran.docx", "A 43435-2025")</f>
        <v/>
      </c>
      <c r="Y135">
        <f>HYPERLINK("https://klasma.github.io/Logging_2281/tillsynsmail/A 43435-2025 tillsynsbegäran mail.docx", "A 43435-2025")</f>
        <v/>
      </c>
    </row>
    <row r="136" ht="15" customHeight="1">
      <c r="A136" t="inlineStr">
        <is>
          <t>A 11351-2022</t>
        </is>
      </c>
      <c r="B136" s="1" t="n">
        <v>44630</v>
      </c>
      <c r="C136" s="1" t="n">
        <v>46165</v>
      </c>
      <c r="D136" t="inlineStr">
        <is>
          <t>VÄSTERNORRLANDS LÄN</t>
        </is>
      </c>
      <c r="E136" t="inlineStr">
        <is>
          <t>SUNDSVALL</t>
        </is>
      </c>
      <c r="G136" t="n">
        <v>12.1</v>
      </c>
      <c r="H136" t="n">
        <v>1</v>
      </c>
      <c r="I136" t="n">
        <v>1</v>
      </c>
      <c r="J136" t="n">
        <v>1</v>
      </c>
      <c r="K136" t="n">
        <v>1</v>
      </c>
      <c r="L136" t="n">
        <v>0</v>
      </c>
      <c r="M136" t="n">
        <v>0</v>
      </c>
      <c r="N136" t="n">
        <v>0</v>
      </c>
      <c r="O136" t="n">
        <v>2</v>
      </c>
      <c r="P136" t="n">
        <v>1</v>
      </c>
      <c r="Q136" t="n">
        <v>3</v>
      </c>
      <c r="R136" s="2" t="inlineStr">
        <is>
          <t>Knärot
Vedskivlav
Kornig nållav</t>
        </is>
      </c>
      <c r="S136">
        <f>HYPERLINK("https://klasma.github.io/Logging_2281/artfynd/A 11351-2022 artfynd.xlsx", "A 11351-2022")</f>
        <v/>
      </c>
      <c r="T136">
        <f>HYPERLINK("https://klasma.github.io/Logging_2281/kartor/A 11351-2022 karta.png", "A 11351-2022")</f>
        <v/>
      </c>
      <c r="U136">
        <f>HYPERLINK("https://klasma.github.io/Logging_2281/knärot/A 11351-2022 karta knärot.png", "A 11351-2022")</f>
        <v/>
      </c>
      <c r="V136">
        <f>HYPERLINK("https://klasma.github.io/Logging_2281/klagomål/A 11351-2022 FSC-klagomål.docx", "A 11351-2022")</f>
        <v/>
      </c>
      <c r="W136">
        <f>HYPERLINK("https://klasma.github.io/Logging_2281/klagomålsmail/A 11351-2022 FSC-klagomål mail.docx", "A 11351-2022")</f>
        <v/>
      </c>
      <c r="X136">
        <f>HYPERLINK("https://klasma.github.io/Logging_2281/tillsyn/A 11351-2022 tillsynsbegäran.docx", "A 11351-2022")</f>
        <v/>
      </c>
      <c r="Y136">
        <f>HYPERLINK("https://klasma.github.io/Logging_2281/tillsynsmail/A 11351-2022 tillsynsbegäran mail.docx", "A 11351-2022")</f>
        <v/>
      </c>
    </row>
    <row r="137" ht="15" customHeight="1">
      <c r="A137" t="inlineStr">
        <is>
          <t>A 19225-2025</t>
        </is>
      </c>
      <c r="B137" s="1" t="n">
        <v>45769.44872685185</v>
      </c>
      <c r="C137" s="1" t="n">
        <v>46165</v>
      </c>
      <c r="D137" t="inlineStr">
        <is>
          <t>VÄSTERNORRLANDS LÄN</t>
        </is>
      </c>
      <c r="E137" t="inlineStr">
        <is>
          <t>SUNDSVALL</t>
        </is>
      </c>
      <c r="F137" t="inlineStr">
        <is>
          <t>SCA</t>
        </is>
      </c>
      <c r="G137" t="n">
        <v>3.2</v>
      </c>
      <c r="H137" t="n">
        <v>3</v>
      </c>
      <c r="I137" t="n">
        <v>0</v>
      </c>
      <c r="J137" t="n">
        <v>1</v>
      </c>
      <c r="K137" t="n">
        <v>1</v>
      </c>
      <c r="L137" t="n">
        <v>0</v>
      </c>
      <c r="M137" t="n">
        <v>0</v>
      </c>
      <c r="N137" t="n">
        <v>0</v>
      </c>
      <c r="O137" t="n">
        <v>2</v>
      </c>
      <c r="P137" t="n">
        <v>1</v>
      </c>
      <c r="Q137" t="n">
        <v>3</v>
      </c>
      <c r="R137" s="2" t="inlineStr">
        <is>
          <t>Knärot
Tretåig hackspett
Fläcknycklar</t>
        </is>
      </c>
      <c r="S137">
        <f>HYPERLINK("https://klasma.github.io/Logging_2281/artfynd/A 19225-2025 artfynd.xlsx", "A 19225-2025")</f>
        <v/>
      </c>
      <c r="T137">
        <f>HYPERLINK("https://klasma.github.io/Logging_2281/kartor/A 19225-2025 karta.png", "A 19225-2025")</f>
        <v/>
      </c>
      <c r="U137">
        <f>HYPERLINK("https://klasma.github.io/Logging_2281/knärot/A 19225-2025 karta knärot.png", "A 19225-2025")</f>
        <v/>
      </c>
      <c r="V137">
        <f>HYPERLINK("https://klasma.github.io/Logging_2281/klagomål/A 19225-2025 FSC-klagomål.docx", "A 19225-2025")</f>
        <v/>
      </c>
      <c r="W137">
        <f>HYPERLINK("https://klasma.github.io/Logging_2281/klagomålsmail/A 19225-2025 FSC-klagomål mail.docx", "A 19225-2025")</f>
        <v/>
      </c>
      <c r="X137">
        <f>HYPERLINK("https://klasma.github.io/Logging_2281/tillsyn/A 19225-2025 tillsynsbegäran.docx", "A 19225-2025")</f>
        <v/>
      </c>
      <c r="Y137">
        <f>HYPERLINK("https://klasma.github.io/Logging_2281/tillsynsmail/A 19225-2025 tillsynsbegäran mail.docx", "A 19225-2025")</f>
        <v/>
      </c>
      <c r="Z137">
        <f>HYPERLINK("https://klasma.github.io/Logging_2281/fåglar/A 19225-2025 prioriterade fågelarter.docx", "A 19225-2025")</f>
        <v/>
      </c>
    </row>
    <row r="138" ht="15" customHeight="1">
      <c r="A138" t="inlineStr">
        <is>
          <t>A 47129-2025</t>
        </is>
      </c>
      <c r="B138" s="1" t="n">
        <v>45929</v>
      </c>
      <c r="C138" s="1" t="n">
        <v>46165</v>
      </c>
      <c r="D138" t="inlineStr">
        <is>
          <t>VÄSTERNORRLANDS LÄN</t>
        </is>
      </c>
      <c r="E138" t="inlineStr">
        <is>
          <t>SUNDSVALL</t>
        </is>
      </c>
      <c r="G138" t="n">
        <v>4.2</v>
      </c>
      <c r="H138" t="n">
        <v>2</v>
      </c>
      <c r="I138" t="n">
        <v>1</v>
      </c>
      <c r="J138" t="n">
        <v>2</v>
      </c>
      <c r="K138" t="n">
        <v>0</v>
      </c>
      <c r="L138" t="n">
        <v>0</v>
      </c>
      <c r="M138" t="n">
        <v>0</v>
      </c>
      <c r="N138" t="n">
        <v>0</v>
      </c>
      <c r="O138" t="n">
        <v>2</v>
      </c>
      <c r="P138" t="n">
        <v>0</v>
      </c>
      <c r="Q138" t="n">
        <v>3</v>
      </c>
      <c r="R138" s="2" t="inlineStr">
        <is>
          <t>Järpe
Tretåig hackspett
Grönpyrola</t>
        </is>
      </c>
      <c r="S138">
        <f>HYPERLINK("https://klasma.github.io/Logging_2281/artfynd/A 47129-2025 artfynd.xlsx", "A 47129-2025")</f>
        <v/>
      </c>
      <c r="T138">
        <f>HYPERLINK("https://klasma.github.io/Logging_2281/kartor/A 47129-2025 karta.png", "A 47129-2025")</f>
        <v/>
      </c>
      <c r="U138">
        <f>HYPERLINK("https://klasma.github.io/Logging_2281/knärot/A 47129-2025 karta knärot.png", "A 47129-2025")</f>
        <v/>
      </c>
      <c r="V138">
        <f>HYPERLINK("https://klasma.github.io/Logging_2281/klagomål/A 47129-2025 FSC-klagomål.docx", "A 47129-2025")</f>
        <v/>
      </c>
      <c r="W138">
        <f>HYPERLINK("https://klasma.github.io/Logging_2281/klagomålsmail/A 47129-2025 FSC-klagomål mail.docx", "A 47129-2025")</f>
        <v/>
      </c>
      <c r="X138">
        <f>HYPERLINK("https://klasma.github.io/Logging_2281/tillsyn/A 47129-2025 tillsynsbegäran.docx", "A 47129-2025")</f>
        <v/>
      </c>
      <c r="Y138">
        <f>HYPERLINK("https://klasma.github.io/Logging_2281/tillsynsmail/A 47129-2025 tillsynsbegäran mail.docx", "A 47129-2025")</f>
        <v/>
      </c>
      <c r="Z138">
        <f>HYPERLINK("https://klasma.github.io/Logging_2281/fåglar/A 47129-2025 prioriterade fågelarter.docx", "A 47129-2025")</f>
        <v/>
      </c>
    </row>
    <row r="139" ht="15" customHeight="1">
      <c r="A139" t="inlineStr">
        <is>
          <t>A 24782-2024</t>
        </is>
      </c>
      <c r="B139" s="1" t="n">
        <v>45460.80252314815</v>
      </c>
      <c r="C139" s="1" t="n">
        <v>46165</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46165</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24392-2025</t>
        </is>
      </c>
      <c r="B141" s="1" t="n">
        <v>45797</v>
      </c>
      <c r="C141" s="1" t="n">
        <v>46165</v>
      </c>
      <c r="D141" t="inlineStr">
        <is>
          <t>VÄSTERNORRLANDS LÄN</t>
        </is>
      </c>
      <c r="E141" t="inlineStr">
        <is>
          <t>SUNDSVALL</t>
        </is>
      </c>
      <c r="F141" t="inlineStr">
        <is>
          <t>SCA</t>
        </is>
      </c>
      <c r="G141" t="n">
        <v>8.800000000000001</v>
      </c>
      <c r="H141" t="n">
        <v>3</v>
      </c>
      <c r="I141" t="n">
        <v>0</v>
      </c>
      <c r="J141" t="n">
        <v>2</v>
      </c>
      <c r="K141" t="n">
        <v>0</v>
      </c>
      <c r="L141" t="n">
        <v>0</v>
      </c>
      <c r="M141" t="n">
        <v>0</v>
      </c>
      <c r="N141" t="n">
        <v>0</v>
      </c>
      <c r="O141" t="n">
        <v>2</v>
      </c>
      <c r="P141" t="n">
        <v>0</v>
      </c>
      <c r="Q141" t="n">
        <v>3</v>
      </c>
      <c r="R141" s="2" t="inlineStr">
        <is>
          <t>Spillkråka
Tretåig hackspett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22566-2022</t>
        </is>
      </c>
      <c r="B142" s="1" t="n">
        <v>44713.93861111111</v>
      </c>
      <c r="C142" s="1" t="n">
        <v>46165</v>
      </c>
      <c r="D142" t="inlineStr">
        <is>
          <t>VÄSTERNORRLANDS LÄN</t>
        </is>
      </c>
      <c r="E142" t="inlineStr">
        <is>
          <t>SUNDSVALL</t>
        </is>
      </c>
      <c r="F142" t="inlineStr">
        <is>
          <t>SCA</t>
        </is>
      </c>
      <c r="G142" t="n">
        <v>5.1</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HYPERLINK("https://klasma.github.io/Logging_2281/artfynd/A 22566-2022 artfynd.xlsx", "A 22566-2022")</f>
        <v/>
      </c>
      <c r="T142">
        <f>HYPERLINK("https://klasma.github.io/Logging_2281/kartor/A 22566-2022 karta.png", "A 22566-2022")</f>
        <v/>
      </c>
      <c r="U142">
        <f>HYPERLINK("https://klasma.github.io/Logging_2281/knärot/A 22566-2022 karta knärot.png", "A 22566-2022")</f>
        <v/>
      </c>
      <c r="V142">
        <f>HYPERLINK("https://klasma.github.io/Logging_2281/klagomål/A 22566-2022 FSC-klagomål.docx", "A 22566-2022")</f>
        <v/>
      </c>
      <c r="W142">
        <f>HYPERLINK("https://klasma.github.io/Logging_2281/klagomålsmail/A 22566-2022 FSC-klagomål mail.docx", "A 22566-2022")</f>
        <v/>
      </c>
      <c r="X142">
        <f>HYPERLINK("https://klasma.github.io/Logging_2281/tillsyn/A 22566-2022 tillsynsbegäran.docx", "A 22566-2022")</f>
        <v/>
      </c>
      <c r="Y142">
        <f>HYPERLINK("https://klasma.github.io/Logging_2281/tillsynsmail/A 22566-2022 tillsynsbegäran mail.docx", "A 22566-2022")</f>
        <v/>
      </c>
      <c r="Z142">
        <f>HYPERLINK("https://klasma.github.io/Logging_2281/fåglar/A 22566-2022 prioriterade fågelarter.docx", "A 22566-2022")</f>
        <v/>
      </c>
    </row>
    <row r="143" ht="15" customHeight="1">
      <c r="A143" t="inlineStr">
        <is>
          <t>A 10977-2026</t>
        </is>
      </c>
      <c r="B143" s="1" t="n">
        <v>46079</v>
      </c>
      <c r="C143" s="1" t="n">
        <v>46165</v>
      </c>
      <c r="D143" t="inlineStr">
        <is>
          <t>VÄSTERNORRLANDS LÄN</t>
        </is>
      </c>
      <c r="E143" t="inlineStr">
        <is>
          <t>SUNDSVALL</t>
        </is>
      </c>
      <c r="G143" t="n">
        <v>11.7</v>
      </c>
      <c r="H143" t="n">
        <v>2</v>
      </c>
      <c r="I143" t="n">
        <v>2</v>
      </c>
      <c r="J143" t="n">
        <v>0</v>
      </c>
      <c r="K143" t="n">
        <v>0</v>
      </c>
      <c r="L143" t="n">
        <v>0</v>
      </c>
      <c r="M143" t="n">
        <v>0</v>
      </c>
      <c r="N143" t="n">
        <v>0</v>
      </c>
      <c r="O143" t="n">
        <v>0</v>
      </c>
      <c r="P143" t="n">
        <v>0</v>
      </c>
      <c r="Q143" t="n">
        <v>3</v>
      </c>
      <c r="R143" s="2" t="inlineStr">
        <is>
          <t>Grönkulla
Vårärt
Nattviol</t>
        </is>
      </c>
      <c r="S143">
        <f>HYPERLINK("https://klasma.github.io/Logging_2281/artfynd/A 10977-2026 artfynd.xlsx", "A 10977-2026")</f>
        <v/>
      </c>
      <c r="T143">
        <f>HYPERLINK("https://klasma.github.io/Logging_2281/kartor/A 10977-2026 karta.png", "A 10977-2026")</f>
        <v/>
      </c>
      <c r="V143">
        <f>HYPERLINK("https://klasma.github.io/Logging_2281/klagomål/A 10977-2026 FSC-klagomål.docx", "A 10977-2026")</f>
        <v/>
      </c>
      <c r="W143">
        <f>HYPERLINK("https://klasma.github.io/Logging_2281/klagomålsmail/A 10977-2026 FSC-klagomål mail.docx", "A 10977-2026")</f>
        <v/>
      </c>
      <c r="X143">
        <f>HYPERLINK("https://klasma.github.io/Logging_2281/tillsyn/A 10977-2026 tillsynsbegäran.docx", "A 10977-2026")</f>
        <v/>
      </c>
      <c r="Y143">
        <f>HYPERLINK("https://klasma.github.io/Logging_2281/tillsynsmail/A 10977-2026 tillsynsbegäran mail.docx", "A 10977-2026")</f>
        <v/>
      </c>
    </row>
    <row r="144" ht="15" customHeight="1">
      <c r="A144" t="inlineStr">
        <is>
          <t>A 55550-2024</t>
        </is>
      </c>
      <c r="B144" s="1" t="n">
        <v>45622</v>
      </c>
      <c r="C144" s="1" t="n">
        <v>46165</v>
      </c>
      <c r="D144" t="inlineStr">
        <is>
          <t>VÄSTERNORRLANDS LÄN</t>
        </is>
      </c>
      <c r="E144" t="inlineStr">
        <is>
          <t>SUNDSVALL</t>
        </is>
      </c>
      <c r="F144" t="inlineStr">
        <is>
          <t>SCA</t>
        </is>
      </c>
      <c r="G144" t="n">
        <v>4.4</v>
      </c>
      <c r="H144" t="n">
        <v>2</v>
      </c>
      <c r="I144" t="n">
        <v>1</v>
      </c>
      <c r="J144" t="n">
        <v>1</v>
      </c>
      <c r="K144" t="n">
        <v>1</v>
      </c>
      <c r="L144" t="n">
        <v>0</v>
      </c>
      <c r="M144" t="n">
        <v>0</v>
      </c>
      <c r="N144" t="n">
        <v>0</v>
      </c>
      <c r="O144" t="n">
        <v>2</v>
      </c>
      <c r="P144" t="n">
        <v>1</v>
      </c>
      <c r="Q144" t="n">
        <v>3</v>
      </c>
      <c r="R144" s="2" t="inlineStr">
        <is>
          <t>Knärot
Tretåig hackspett
Vedticka</t>
        </is>
      </c>
      <c r="S144">
        <f>HYPERLINK("https://klasma.github.io/Logging_2281/artfynd/A 55550-2024 artfynd.xlsx", "A 55550-2024")</f>
        <v/>
      </c>
      <c r="T144">
        <f>HYPERLINK("https://klasma.github.io/Logging_2281/kartor/A 55550-2024 karta.png", "A 55550-2024")</f>
        <v/>
      </c>
      <c r="U144">
        <f>HYPERLINK("https://klasma.github.io/Logging_2281/knärot/A 55550-2024 karta knärot.png", "A 55550-2024")</f>
        <v/>
      </c>
      <c r="V144">
        <f>HYPERLINK("https://klasma.github.io/Logging_2281/klagomål/A 55550-2024 FSC-klagomål.docx", "A 55550-2024")</f>
        <v/>
      </c>
      <c r="W144">
        <f>HYPERLINK("https://klasma.github.io/Logging_2281/klagomålsmail/A 55550-2024 FSC-klagomål mail.docx", "A 55550-2024")</f>
        <v/>
      </c>
      <c r="X144">
        <f>HYPERLINK("https://klasma.github.io/Logging_2281/tillsyn/A 55550-2024 tillsynsbegäran.docx", "A 55550-2024")</f>
        <v/>
      </c>
      <c r="Y144">
        <f>HYPERLINK("https://klasma.github.io/Logging_2281/tillsynsmail/A 55550-2024 tillsynsbegäran mail.docx", "A 55550-2024")</f>
        <v/>
      </c>
      <c r="Z144">
        <f>HYPERLINK("https://klasma.github.io/Logging_2281/fåglar/A 55550-2024 prioriterade fågelarter.docx", "A 55550-2024")</f>
        <v/>
      </c>
    </row>
    <row r="145" ht="15" customHeight="1">
      <c r="A145" t="inlineStr">
        <is>
          <t>A 42202-2025</t>
        </is>
      </c>
      <c r="B145" s="1" t="n">
        <v>45904.4900462963</v>
      </c>
      <c r="C145" s="1" t="n">
        <v>46165</v>
      </c>
      <c r="D145" t="inlineStr">
        <is>
          <t>VÄSTERNORRLANDS LÄN</t>
        </is>
      </c>
      <c r="E145" t="inlineStr">
        <is>
          <t>SUNDSVALL</t>
        </is>
      </c>
      <c r="F145" t="inlineStr">
        <is>
          <t>SCA</t>
        </is>
      </c>
      <c r="G145" t="n">
        <v>2</v>
      </c>
      <c r="H145" t="n">
        <v>1</v>
      </c>
      <c r="I145" t="n">
        <v>0</v>
      </c>
      <c r="J145" t="n">
        <v>3</v>
      </c>
      <c r="K145" t="n">
        <v>0</v>
      </c>
      <c r="L145" t="n">
        <v>0</v>
      </c>
      <c r="M145" t="n">
        <v>0</v>
      </c>
      <c r="N145" t="n">
        <v>0</v>
      </c>
      <c r="O145" t="n">
        <v>3</v>
      </c>
      <c r="P145" t="n">
        <v>0</v>
      </c>
      <c r="Q145" t="n">
        <v>3</v>
      </c>
      <c r="R145" s="2" t="inlineStr">
        <is>
          <t>Gammelgransskål
Garnlav
Tretåig hackspett</t>
        </is>
      </c>
      <c r="S145">
        <f>HYPERLINK("https://klasma.github.io/Logging_2281/artfynd/A 42202-2025 artfynd.xlsx", "A 42202-2025")</f>
        <v/>
      </c>
      <c r="T145">
        <f>HYPERLINK("https://klasma.github.io/Logging_2281/kartor/A 42202-2025 karta.png", "A 42202-2025")</f>
        <v/>
      </c>
      <c r="V145">
        <f>HYPERLINK("https://klasma.github.io/Logging_2281/klagomål/A 42202-2025 FSC-klagomål.docx", "A 42202-2025")</f>
        <v/>
      </c>
      <c r="W145">
        <f>HYPERLINK("https://klasma.github.io/Logging_2281/klagomålsmail/A 42202-2025 FSC-klagomål mail.docx", "A 42202-2025")</f>
        <v/>
      </c>
      <c r="X145">
        <f>HYPERLINK("https://klasma.github.io/Logging_2281/tillsyn/A 42202-2025 tillsynsbegäran.docx", "A 42202-2025")</f>
        <v/>
      </c>
      <c r="Y145">
        <f>HYPERLINK("https://klasma.github.io/Logging_2281/tillsynsmail/A 42202-2025 tillsynsbegäran mail.docx", "A 42202-2025")</f>
        <v/>
      </c>
      <c r="Z145">
        <f>HYPERLINK("https://klasma.github.io/Logging_2281/fåglar/A 42202-2025 prioriterade fågelarter.docx", "A 42202-2025")</f>
        <v/>
      </c>
    </row>
    <row r="146" ht="15" customHeight="1">
      <c r="A146" t="inlineStr">
        <is>
          <t>A 54621-2023</t>
        </is>
      </c>
      <c r="B146" s="1" t="n">
        <v>45233</v>
      </c>
      <c r="C146" s="1" t="n">
        <v>46165</v>
      </c>
      <c r="D146" t="inlineStr">
        <is>
          <t>VÄSTERNORRLANDS LÄN</t>
        </is>
      </c>
      <c r="E146" t="inlineStr">
        <is>
          <t>SUNDSVALL</t>
        </is>
      </c>
      <c r="F146" t="inlineStr">
        <is>
          <t>Naturvårdsverket</t>
        </is>
      </c>
      <c r="G146" t="n">
        <v>3.9</v>
      </c>
      <c r="H146" t="n">
        <v>0</v>
      </c>
      <c r="I146" t="n">
        <v>0</v>
      </c>
      <c r="J146" t="n">
        <v>3</v>
      </c>
      <c r="K146" t="n">
        <v>0</v>
      </c>
      <c r="L146" t="n">
        <v>0</v>
      </c>
      <c r="M146" t="n">
        <v>0</v>
      </c>
      <c r="N146" t="n">
        <v>0</v>
      </c>
      <c r="O146" t="n">
        <v>3</v>
      </c>
      <c r="P146" t="n">
        <v>0</v>
      </c>
      <c r="Q146" t="n">
        <v>3</v>
      </c>
      <c r="R146" s="2" t="inlineStr">
        <is>
          <t>Kolflarnlav
Tallticka
Ullticka</t>
        </is>
      </c>
      <c r="S146">
        <f>HYPERLINK("https://klasma.github.io/Logging_2281/artfynd/A 54621-2023 artfynd.xlsx", "A 54621-2023")</f>
        <v/>
      </c>
      <c r="T146">
        <f>HYPERLINK("https://klasma.github.io/Logging_2281/kartor/A 54621-2023 karta.png", "A 54621-2023")</f>
        <v/>
      </c>
      <c r="V146">
        <f>HYPERLINK("https://klasma.github.io/Logging_2281/klagomål/A 54621-2023 FSC-klagomål.docx", "A 54621-2023")</f>
        <v/>
      </c>
      <c r="W146">
        <f>HYPERLINK("https://klasma.github.io/Logging_2281/klagomålsmail/A 54621-2023 FSC-klagomål mail.docx", "A 54621-2023")</f>
        <v/>
      </c>
      <c r="X146">
        <f>HYPERLINK("https://klasma.github.io/Logging_2281/tillsyn/A 54621-2023 tillsynsbegäran.docx", "A 54621-2023")</f>
        <v/>
      </c>
      <c r="Y146">
        <f>HYPERLINK("https://klasma.github.io/Logging_2281/tillsynsmail/A 54621-2023 tillsynsbegäran mail.docx", "A 54621-2023")</f>
        <v/>
      </c>
    </row>
    <row r="147" ht="15" customHeight="1">
      <c r="A147" t="inlineStr">
        <is>
          <t>A 27734-2023</t>
        </is>
      </c>
      <c r="B147" s="1" t="n">
        <v>45098.37017361111</v>
      </c>
      <c r="C147" s="1" t="n">
        <v>46165</v>
      </c>
      <c r="D147" t="inlineStr">
        <is>
          <t>VÄSTERNORRLANDS LÄN</t>
        </is>
      </c>
      <c r="E147" t="inlineStr">
        <is>
          <t>SUNDSVALL</t>
        </is>
      </c>
      <c r="G147" t="n">
        <v>0.8</v>
      </c>
      <c r="H147" t="n">
        <v>3</v>
      </c>
      <c r="I147" t="n">
        <v>0</v>
      </c>
      <c r="J147" t="n">
        <v>1</v>
      </c>
      <c r="K147" t="n">
        <v>0</v>
      </c>
      <c r="L147" t="n">
        <v>1</v>
      </c>
      <c r="M147" t="n">
        <v>0</v>
      </c>
      <c r="N147" t="n">
        <v>0</v>
      </c>
      <c r="O147" t="n">
        <v>2</v>
      </c>
      <c r="P147" t="n">
        <v>1</v>
      </c>
      <c r="Q147" t="n">
        <v>3</v>
      </c>
      <c r="R147" s="2" t="inlineStr">
        <is>
          <t>Grönfink
Björktrast
Skogsduva</t>
        </is>
      </c>
      <c r="S147">
        <f>HYPERLINK("https://klasma.github.io/Logging_2281/artfynd/A 27734-2023 artfynd.xlsx", "A 27734-2023")</f>
        <v/>
      </c>
      <c r="T147">
        <f>HYPERLINK("https://klasma.github.io/Logging_2281/kartor/A 27734-2023 karta.png", "A 27734-2023")</f>
        <v/>
      </c>
      <c r="V147">
        <f>HYPERLINK("https://klasma.github.io/Logging_2281/klagomål/A 27734-2023 FSC-klagomål.docx", "A 27734-2023")</f>
        <v/>
      </c>
      <c r="W147">
        <f>HYPERLINK("https://klasma.github.io/Logging_2281/klagomålsmail/A 27734-2023 FSC-klagomål mail.docx", "A 27734-2023")</f>
        <v/>
      </c>
      <c r="X147">
        <f>HYPERLINK("https://klasma.github.io/Logging_2281/tillsyn/A 27734-2023 tillsynsbegäran.docx", "A 27734-2023")</f>
        <v/>
      </c>
      <c r="Y147">
        <f>HYPERLINK("https://klasma.github.io/Logging_2281/tillsynsmail/A 27734-2023 tillsynsbegäran mail.docx", "A 27734-2023")</f>
        <v/>
      </c>
      <c r="Z147">
        <f>HYPERLINK("https://klasma.github.io/Logging_2281/fåglar/A 27734-2023 prioriterade fågelarter.docx", "A 27734-2023")</f>
        <v/>
      </c>
    </row>
    <row r="148" ht="15" customHeight="1">
      <c r="A148" t="inlineStr">
        <is>
          <t>A 60864-2023</t>
        </is>
      </c>
      <c r="B148" s="1" t="n">
        <v>45260</v>
      </c>
      <c r="C148" s="1" t="n">
        <v>46165</v>
      </c>
      <c r="D148" t="inlineStr">
        <is>
          <t>VÄSTERNORRLANDS LÄN</t>
        </is>
      </c>
      <c r="E148" t="inlineStr">
        <is>
          <t>SUNDSVALL</t>
        </is>
      </c>
      <c r="F148" t="inlineStr">
        <is>
          <t>SCA</t>
        </is>
      </c>
      <c r="G148" t="n">
        <v>0.9</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HYPERLINK("https://klasma.github.io/Logging_2281/artfynd/A 60864-2023 artfynd.xlsx", "A 60864-2023")</f>
        <v/>
      </c>
      <c r="T148">
        <f>HYPERLINK("https://klasma.github.io/Logging_2281/kartor/A 60864-2023 karta.png", "A 60864-2023")</f>
        <v/>
      </c>
      <c r="V148">
        <f>HYPERLINK("https://klasma.github.io/Logging_2281/klagomål/A 60864-2023 FSC-klagomål.docx", "A 60864-2023")</f>
        <v/>
      </c>
      <c r="W148">
        <f>HYPERLINK("https://klasma.github.io/Logging_2281/klagomålsmail/A 60864-2023 FSC-klagomål mail.docx", "A 60864-2023")</f>
        <v/>
      </c>
      <c r="X148">
        <f>HYPERLINK("https://klasma.github.io/Logging_2281/tillsyn/A 60864-2023 tillsynsbegäran.docx", "A 60864-2023")</f>
        <v/>
      </c>
      <c r="Y148">
        <f>HYPERLINK("https://klasma.github.io/Logging_2281/tillsynsmail/A 60864-2023 tillsynsbegäran mail.docx", "A 60864-2023")</f>
        <v/>
      </c>
      <c r="Z148">
        <f>HYPERLINK("https://klasma.github.io/Logging_2281/fåglar/A 60864-2023 prioriterade fågelarter.docx", "A 60864-2023")</f>
        <v/>
      </c>
    </row>
    <row r="149" ht="15" customHeight="1">
      <c r="A149" t="inlineStr">
        <is>
          <t>A 21036-2025</t>
        </is>
      </c>
      <c r="B149" s="1" t="n">
        <v>45777.53175925926</v>
      </c>
      <c r="C149" s="1" t="n">
        <v>46165</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46165</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30684-2025</t>
        </is>
      </c>
      <c r="B151" s="1" t="n">
        <v>45831.53170138889</v>
      </c>
      <c r="C151" s="1" t="n">
        <v>46165</v>
      </c>
      <c r="D151" t="inlineStr">
        <is>
          <t>VÄSTERNORRLANDS LÄN</t>
        </is>
      </c>
      <c r="E151" t="inlineStr">
        <is>
          <t>SUNDSVALL</t>
        </is>
      </c>
      <c r="F151" t="inlineStr">
        <is>
          <t>SCA</t>
        </is>
      </c>
      <c r="G151" t="n">
        <v>3</v>
      </c>
      <c r="H151" t="n">
        <v>0</v>
      </c>
      <c r="I151" t="n">
        <v>2</v>
      </c>
      <c r="J151" t="n">
        <v>1</v>
      </c>
      <c r="K151" t="n">
        <v>0</v>
      </c>
      <c r="L151" t="n">
        <v>0</v>
      </c>
      <c r="M151" t="n">
        <v>0</v>
      </c>
      <c r="N151" t="n">
        <v>0</v>
      </c>
      <c r="O151" t="n">
        <v>1</v>
      </c>
      <c r="P151" t="n">
        <v>0</v>
      </c>
      <c r="Q151" t="n">
        <v>3</v>
      </c>
      <c r="R151" s="2" t="inlineStr">
        <is>
          <t>Ullticka
Stuplav
Vedticka</t>
        </is>
      </c>
      <c r="S151">
        <f>HYPERLINK("https://klasma.github.io/Logging_2281/artfynd/A 30684-2025 artfynd.xlsx", "A 30684-2025")</f>
        <v/>
      </c>
      <c r="T151">
        <f>HYPERLINK("https://klasma.github.io/Logging_2281/kartor/A 30684-2025 karta.png", "A 30684-2025")</f>
        <v/>
      </c>
      <c r="U151">
        <f>HYPERLINK("https://klasma.github.io/Logging_2281/knärot/A 30684-2025 karta knärot.png", "A 30684-2025")</f>
        <v/>
      </c>
      <c r="V151">
        <f>HYPERLINK("https://klasma.github.io/Logging_2281/klagomål/A 30684-2025 FSC-klagomål.docx", "A 30684-2025")</f>
        <v/>
      </c>
      <c r="W151">
        <f>HYPERLINK("https://klasma.github.io/Logging_2281/klagomålsmail/A 30684-2025 FSC-klagomål mail.docx", "A 30684-2025")</f>
        <v/>
      </c>
      <c r="X151">
        <f>HYPERLINK("https://klasma.github.io/Logging_2281/tillsyn/A 30684-2025 tillsynsbegäran.docx", "A 30684-2025")</f>
        <v/>
      </c>
      <c r="Y151">
        <f>HYPERLINK("https://klasma.github.io/Logging_2281/tillsynsmail/A 30684-2025 tillsynsbegäran mail.docx", "A 30684-2025")</f>
        <v/>
      </c>
    </row>
    <row r="152" ht="15" customHeight="1">
      <c r="A152" t="inlineStr">
        <is>
          <t>A 35307-2022</t>
        </is>
      </c>
      <c r="B152" s="1" t="n">
        <v>44798.44170138889</v>
      </c>
      <c r="C152" s="1" t="n">
        <v>46165</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27380-2023</t>
        </is>
      </c>
      <c r="B153" s="1" t="n">
        <v>45096</v>
      </c>
      <c r="C153" s="1" t="n">
        <v>46165</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46165</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52350-2022</t>
        </is>
      </c>
      <c r="B155" s="1" t="n">
        <v>44873</v>
      </c>
      <c r="C155" s="1" t="n">
        <v>46165</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36001-2025</t>
        </is>
      </c>
      <c r="B156" s="1" t="n">
        <v>45863.51965277778</v>
      </c>
      <c r="C156" s="1" t="n">
        <v>46165</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22522-2026</t>
        </is>
      </c>
      <c r="B157" s="1" t="n">
        <v>46155.46682870371</v>
      </c>
      <c r="C157" s="1" t="n">
        <v>46165</v>
      </c>
      <c r="D157" t="inlineStr">
        <is>
          <t>VÄSTERNORRLANDS LÄN</t>
        </is>
      </c>
      <c r="E157" t="inlineStr">
        <is>
          <t>SUNDSVALL</t>
        </is>
      </c>
      <c r="G157" t="n">
        <v>3.7</v>
      </c>
      <c r="H157" t="n">
        <v>0</v>
      </c>
      <c r="I157" t="n">
        <v>1</v>
      </c>
      <c r="J157" t="n">
        <v>0</v>
      </c>
      <c r="K157" t="n">
        <v>1</v>
      </c>
      <c r="L157" t="n">
        <v>0</v>
      </c>
      <c r="M157" t="n">
        <v>0</v>
      </c>
      <c r="N157" t="n">
        <v>0</v>
      </c>
      <c r="O157" t="n">
        <v>1</v>
      </c>
      <c r="P157" t="n">
        <v>1</v>
      </c>
      <c r="Q157" t="n">
        <v>2</v>
      </c>
      <c r="R157" s="2" t="inlineStr">
        <is>
          <t>Blackticka
Thomsons trägnagare</t>
        </is>
      </c>
      <c r="S157">
        <f>HYPERLINK("https://klasma.github.io/Logging_2281/artfynd/A 22522-2026 artfynd.xlsx", "A 22522-2026")</f>
        <v/>
      </c>
      <c r="T157">
        <f>HYPERLINK("https://klasma.github.io/Logging_2281/kartor/A 22522-2026 karta.png", "A 22522-2026")</f>
        <v/>
      </c>
      <c r="V157">
        <f>HYPERLINK("https://klasma.github.io/Logging_2281/klagomål/A 22522-2026 FSC-klagomål.docx", "A 22522-2026")</f>
        <v/>
      </c>
      <c r="W157">
        <f>HYPERLINK("https://klasma.github.io/Logging_2281/klagomålsmail/A 22522-2026 FSC-klagomål mail.docx", "A 22522-2026")</f>
        <v/>
      </c>
      <c r="X157">
        <f>HYPERLINK("https://klasma.github.io/Logging_2281/tillsyn/A 22522-2026 tillsynsbegäran.docx", "A 22522-2026")</f>
        <v/>
      </c>
      <c r="Y157">
        <f>HYPERLINK("https://klasma.github.io/Logging_2281/tillsynsmail/A 22522-2026 tillsynsbegäran mail.docx", "A 22522-2026")</f>
        <v/>
      </c>
    </row>
    <row r="158" ht="15" customHeight="1">
      <c r="A158" t="inlineStr">
        <is>
          <t>A 36072-2025</t>
        </is>
      </c>
      <c r="B158" s="1" t="n">
        <v>45866.42975694445</v>
      </c>
      <c r="C158" s="1" t="n">
        <v>46165</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46165</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3594-2026</t>
        </is>
      </c>
      <c r="B160" s="1" t="n">
        <v>46042</v>
      </c>
      <c r="C160" s="1" t="n">
        <v>46165</v>
      </c>
      <c r="D160" t="inlineStr">
        <is>
          <t>VÄSTERNORRLANDS LÄN</t>
        </is>
      </c>
      <c r="E160" t="inlineStr">
        <is>
          <t>SUNDSVALL</t>
        </is>
      </c>
      <c r="G160" t="n">
        <v>1.5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HYPERLINK("https://klasma.github.io/Logging_2281/artfynd/A 3594-2026 artfynd.xlsx", "A 3594-2026")</f>
        <v/>
      </c>
      <c r="T160">
        <f>HYPERLINK("https://klasma.github.io/Logging_2281/kartor/A 3594-2026 karta.png", "A 3594-2026")</f>
        <v/>
      </c>
      <c r="V160">
        <f>HYPERLINK("https://klasma.github.io/Logging_2281/klagomål/A 3594-2026 FSC-klagomål.docx", "A 3594-2026")</f>
        <v/>
      </c>
      <c r="W160">
        <f>HYPERLINK("https://klasma.github.io/Logging_2281/klagomålsmail/A 3594-2026 FSC-klagomål mail.docx", "A 3594-2026")</f>
        <v/>
      </c>
      <c r="X160">
        <f>HYPERLINK("https://klasma.github.io/Logging_2281/tillsyn/A 3594-2026 tillsynsbegäran.docx", "A 3594-2026")</f>
        <v/>
      </c>
      <c r="Y160">
        <f>HYPERLINK("https://klasma.github.io/Logging_2281/tillsynsmail/A 3594-2026 tillsynsbegäran mail.docx", "A 3594-2026")</f>
        <v/>
      </c>
      <c r="Z160">
        <f>HYPERLINK("https://klasma.github.io/Logging_2281/fåglar/A 3594-2026 prioriterade fågelarter.docx", "A 3594-2026")</f>
        <v/>
      </c>
    </row>
    <row r="161" ht="15" customHeight="1">
      <c r="A161" t="inlineStr">
        <is>
          <t>A 7763-2026</t>
        </is>
      </c>
      <c r="B161" s="1" t="n">
        <v>46062.55969907407</v>
      </c>
      <c r="C161" s="1" t="n">
        <v>46165</v>
      </c>
      <c r="D161" t="inlineStr">
        <is>
          <t>VÄSTERNORRLANDS LÄN</t>
        </is>
      </c>
      <c r="E161" t="inlineStr">
        <is>
          <t>SUNDSVALL</t>
        </is>
      </c>
      <c r="G161" t="n">
        <v>2.1</v>
      </c>
      <c r="H161" t="n">
        <v>1</v>
      </c>
      <c r="I161" t="n">
        <v>0</v>
      </c>
      <c r="J161" t="n">
        <v>2</v>
      </c>
      <c r="K161" t="n">
        <v>0</v>
      </c>
      <c r="L161" t="n">
        <v>0</v>
      </c>
      <c r="M161" t="n">
        <v>0</v>
      </c>
      <c r="N161" t="n">
        <v>0</v>
      </c>
      <c r="O161" t="n">
        <v>2</v>
      </c>
      <c r="P161" t="n">
        <v>0</v>
      </c>
      <c r="Q161" t="n">
        <v>2</v>
      </c>
      <c r="R161" s="2" t="inlineStr">
        <is>
          <t>Garnlav
Tretåig hackspett</t>
        </is>
      </c>
      <c r="S161">
        <f>HYPERLINK("https://klasma.github.io/Logging_2281/artfynd/A 7763-2026 artfynd.xlsx", "A 7763-2026")</f>
        <v/>
      </c>
      <c r="T161">
        <f>HYPERLINK("https://klasma.github.io/Logging_2281/kartor/A 7763-2026 karta.png", "A 7763-2026")</f>
        <v/>
      </c>
      <c r="V161">
        <f>HYPERLINK("https://klasma.github.io/Logging_2281/klagomål/A 7763-2026 FSC-klagomål.docx", "A 7763-2026")</f>
        <v/>
      </c>
      <c r="W161">
        <f>HYPERLINK("https://klasma.github.io/Logging_2281/klagomålsmail/A 7763-2026 FSC-klagomål mail.docx", "A 7763-2026")</f>
        <v/>
      </c>
      <c r="X161">
        <f>HYPERLINK("https://klasma.github.io/Logging_2281/tillsyn/A 7763-2026 tillsynsbegäran.docx", "A 7763-2026")</f>
        <v/>
      </c>
      <c r="Y161">
        <f>HYPERLINK("https://klasma.github.io/Logging_2281/tillsynsmail/A 7763-2026 tillsynsbegäran mail.docx", "A 7763-2026")</f>
        <v/>
      </c>
      <c r="Z161">
        <f>HYPERLINK("https://klasma.github.io/Logging_2281/fåglar/A 7763-2026 prioriterade fågelarter.docx", "A 7763-2026")</f>
        <v/>
      </c>
    </row>
    <row r="162" ht="15" customHeight="1">
      <c r="A162" t="inlineStr">
        <is>
          <t>A 38060-2025</t>
        </is>
      </c>
      <c r="B162" s="1" t="n">
        <v>45882.42796296296</v>
      </c>
      <c r="C162" s="1" t="n">
        <v>46165</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43616-2025</t>
        </is>
      </c>
      <c r="B163" s="1" t="n">
        <v>45911.67792824074</v>
      </c>
      <c r="C163" s="1" t="n">
        <v>46165</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44403-2025</t>
        </is>
      </c>
      <c r="B164" s="1" t="n">
        <v>45916.51086805556</v>
      </c>
      <c r="C164" s="1" t="n">
        <v>46165</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41814-2022</t>
        </is>
      </c>
      <c r="B165" s="1" t="n">
        <v>44827</v>
      </c>
      <c r="C165" s="1" t="n">
        <v>46165</v>
      </c>
      <c r="D165" t="inlineStr">
        <is>
          <t>VÄSTERNORRLANDS LÄN</t>
        </is>
      </c>
      <c r="E165" t="inlineStr">
        <is>
          <t>SUNDSVALL</t>
        </is>
      </c>
      <c r="F165" t="inlineStr">
        <is>
          <t>SCA</t>
        </is>
      </c>
      <c r="G165" t="n">
        <v>3.8</v>
      </c>
      <c r="H165" t="n">
        <v>1</v>
      </c>
      <c r="I165" t="n">
        <v>0</v>
      </c>
      <c r="J165" t="n">
        <v>1</v>
      </c>
      <c r="K165" t="n">
        <v>0</v>
      </c>
      <c r="L165" t="n">
        <v>0</v>
      </c>
      <c r="M165" t="n">
        <v>0</v>
      </c>
      <c r="N165" t="n">
        <v>0</v>
      </c>
      <c r="O165" t="n">
        <v>1</v>
      </c>
      <c r="P165" t="n">
        <v>0</v>
      </c>
      <c r="Q165" t="n">
        <v>2</v>
      </c>
      <c r="R165" s="2" t="inlineStr">
        <is>
          <t>Lunglav
Revlummer</t>
        </is>
      </c>
      <c r="S165">
        <f>HYPERLINK("https://klasma.github.io/Logging_2281/artfynd/A 41814-2022 artfynd.xlsx", "A 41814-2022")</f>
        <v/>
      </c>
      <c r="T165">
        <f>HYPERLINK("https://klasma.github.io/Logging_2281/kartor/A 41814-2022 karta.png", "A 41814-2022")</f>
        <v/>
      </c>
      <c r="V165">
        <f>HYPERLINK("https://klasma.github.io/Logging_2281/klagomål/A 41814-2022 FSC-klagomål.docx", "A 41814-2022")</f>
        <v/>
      </c>
      <c r="W165">
        <f>HYPERLINK("https://klasma.github.io/Logging_2281/klagomålsmail/A 41814-2022 FSC-klagomål mail.docx", "A 41814-2022")</f>
        <v/>
      </c>
      <c r="X165">
        <f>HYPERLINK("https://klasma.github.io/Logging_2281/tillsyn/A 41814-2022 tillsynsbegäran.docx", "A 41814-2022")</f>
        <v/>
      </c>
      <c r="Y165">
        <f>HYPERLINK("https://klasma.github.io/Logging_2281/tillsynsmail/A 41814-2022 tillsynsbegäran mail.docx", "A 41814-2022")</f>
        <v/>
      </c>
    </row>
    <row r="166" ht="15" customHeight="1">
      <c r="A166" t="inlineStr">
        <is>
          <t>A 44328-2025</t>
        </is>
      </c>
      <c r="B166" s="1" t="n">
        <v>45916.40769675926</v>
      </c>
      <c r="C166" s="1" t="n">
        <v>46165</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18825-2025</t>
        </is>
      </c>
      <c r="B167" s="1" t="n">
        <v>45764.38601851852</v>
      </c>
      <c r="C167" s="1" t="n">
        <v>46165</v>
      </c>
      <c r="D167" t="inlineStr">
        <is>
          <t>VÄSTERNORRLANDS LÄN</t>
        </is>
      </c>
      <c r="E167" t="inlineStr">
        <is>
          <t>SUNDSVALL</t>
        </is>
      </c>
      <c r="F167" t="inlineStr">
        <is>
          <t>Naturvårdsverket</t>
        </is>
      </c>
      <c r="G167" t="n">
        <v>5.8</v>
      </c>
      <c r="H167" t="n">
        <v>2</v>
      </c>
      <c r="I167" t="n">
        <v>1</v>
      </c>
      <c r="J167" t="n">
        <v>0</v>
      </c>
      <c r="K167" t="n">
        <v>0</v>
      </c>
      <c r="L167" t="n">
        <v>0</v>
      </c>
      <c r="M167" t="n">
        <v>0</v>
      </c>
      <c r="N167" t="n">
        <v>0</v>
      </c>
      <c r="O167" t="n">
        <v>0</v>
      </c>
      <c r="P167" t="n">
        <v>0</v>
      </c>
      <c r="Q167" t="n">
        <v>2</v>
      </c>
      <c r="R167" s="2" t="inlineStr">
        <is>
          <t>Korallrot
Fläcknycklar</t>
        </is>
      </c>
      <c r="S167">
        <f>HYPERLINK("https://klasma.github.io/Logging_2281/artfynd/A 18825-2025 artfynd.xlsx", "A 18825-2025")</f>
        <v/>
      </c>
      <c r="T167">
        <f>HYPERLINK("https://klasma.github.io/Logging_2281/kartor/A 18825-2025 karta.png", "A 18825-2025")</f>
        <v/>
      </c>
      <c r="V167">
        <f>HYPERLINK("https://klasma.github.io/Logging_2281/klagomål/A 18825-2025 FSC-klagomål.docx", "A 18825-2025")</f>
        <v/>
      </c>
      <c r="W167">
        <f>HYPERLINK("https://klasma.github.io/Logging_2281/klagomålsmail/A 18825-2025 FSC-klagomål mail.docx", "A 18825-2025")</f>
        <v/>
      </c>
      <c r="X167">
        <f>HYPERLINK("https://klasma.github.io/Logging_2281/tillsyn/A 18825-2025 tillsynsbegäran.docx", "A 18825-2025")</f>
        <v/>
      </c>
      <c r="Y167">
        <f>HYPERLINK("https://klasma.github.io/Logging_2281/tillsynsmail/A 18825-2025 tillsynsbegäran mail.docx", "A 18825-2025")</f>
        <v/>
      </c>
    </row>
    <row r="168" ht="15" customHeight="1">
      <c r="A168" t="inlineStr">
        <is>
          <t>A 46545-2025</t>
        </is>
      </c>
      <c r="B168" s="1" t="n">
        <v>45926.34505787037</v>
      </c>
      <c r="C168" s="1" t="n">
        <v>46165</v>
      </c>
      <c r="D168" t="inlineStr">
        <is>
          <t>VÄSTERNORRLANDS LÄN</t>
        </is>
      </c>
      <c r="E168" t="inlineStr">
        <is>
          <t>SUNDSVALL</t>
        </is>
      </c>
      <c r="F168" t="inlineStr">
        <is>
          <t>SCA</t>
        </is>
      </c>
      <c r="G168" t="n">
        <v>2.9</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46545-2025 artfynd.xlsx", "A 46545-2025")</f>
        <v/>
      </c>
      <c r="T168">
        <f>HYPERLINK("https://klasma.github.io/Logging_2281/kartor/A 46545-2025 karta.png", "A 46545-2025")</f>
        <v/>
      </c>
      <c r="V168">
        <f>HYPERLINK("https://klasma.github.io/Logging_2281/klagomål/A 46545-2025 FSC-klagomål.docx", "A 46545-2025")</f>
        <v/>
      </c>
      <c r="W168">
        <f>HYPERLINK("https://klasma.github.io/Logging_2281/klagomålsmail/A 46545-2025 FSC-klagomål mail.docx", "A 46545-2025")</f>
        <v/>
      </c>
      <c r="X168">
        <f>HYPERLINK("https://klasma.github.io/Logging_2281/tillsyn/A 46545-2025 tillsynsbegäran.docx", "A 46545-2025")</f>
        <v/>
      </c>
      <c r="Y168">
        <f>HYPERLINK("https://klasma.github.io/Logging_2281/tillsynsmail/A 46545-2025 tillsynsbegäran mail.docx", "A 46545-2025")</f>
        <v/>
      </c>
    </row>
    <row r="169" ht="15" customHeight="1">
      <c r="A169" t="inlineStr">
        <is>
          <t>A 62532-2023</t>
        </is>
      </c>
      <c r="B169" s="1" t="n">
        <v>45268</v>
      </c>
      <c r="C169" s="1" t="n">
        <v>46165</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50808-2025</t>
        </is>
      </c>
      <c r="B170" s="1" t="n">
        <v>45946.51084490741</v>
      </c>
      <c r="C170" s="1" t="n">
        <v>46165</v>
      </c>
      <c r="D170" t="inlineStr">
        <is>
          <t>VÄSTERNORRLANDS LÄN</t>
        </is>
      </c>
      <c r="E170" t="inlineStr">
        <is>
          <t>SUNDSVALL</t>
        </is>
      </c>
      <c r="F170" t="inlineStr">
        <is>
          <t>SCA</t>
        </is>
      </c>
      <c r="G170" t="n">
        <v>2.9</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50808-2025 artfynd.xlsx", "A 50808-2025")</f>
        <v/>
      </c>
      <c r="T170">
        <f>HYPERLINK("https://klasma.github.io/Logging_2281/kartor/A 50808-2025 karta.png", "A 50808-2025")</f>
        <v/>
      </c>
      <c r="U170">
        <f>HYPERLINK("https://klasma.github.io/Logging_2281/knärot/A 50808-2025 karta knärot.png", "A 50808-2025")</f>
        <v/>
      </c>
      <c r="V170">
        <f>HYPERLINK("https://klasma.github.io/Logging_2281/klagomål/A 50808-2025 FSC-klagomål.docx", "A 50808-2025")</f>
        <v/>
      </c>
      <c r="W170">
        <f>HYPERLINK("https://klasma.github.io/Logging_2281/klagomålsmail/A 50808-2025 FSC-klagomål mail.docx", "A 50808-2025")</f>
        <v/>
      </c>
      <c r="X170">
        <f>HYPERLINK("https://klasma.github.io/Logging_2281/tillsyn/A 50808-2025 tillsynsbegäran.docx", "A 50808-2025")</f>
        <v/>
      </c>
      <c r="Y170">
        <f>HYPERLINK("https://klasma.github.io/Logging_2281/tillsynsmail/A 50808-2025 tillsynsbegäran mail.docx", "A 50808-2025")</f>
        <v/>
      </c>
    </row>
    <row r="171" ht="15" customHeight="1">
      <c r="A171" t="inlineStr">
        <is>
          <t>A 50981-2025</t>
        </is>
      </c>
      <c r="B171" s="1" t="n">
        <v>45947.34456018519</v>
      </c>
      <c r="C171" s="1" t="n">
        <v>46165</v>
      </c>
      <c r="D171" t="inlineStr">
        <is>
          <t>VÄSTERNORRLANDS LÄN</t>
        </is>
      </c>
      <c r="E171" t="inlineStr">
        <is>
          <t>SUNDSVALL</t>
        </is>
      </c>
      <c r="F171" t="inlineStr">
        <is>
          <t>SCA</t>
        </is>
      </c>
      <c r="G171" t="n">
        <v>8.1</v>
      </c>
      <c r="H171" t="n">
        <v>1</v>
      </c>
      <c r="I171" t="n">
        <v>0</v>
      </c>
      <c r="J171" t="n">
        <v>1</v>
      </c>
      <c r="K171" t="n">
        <v>0</v>
      </c>
      <c r="L171" t="n">
        <v>0</v>
      </c>
      <c r="M171" t="n">
        <v>0</v>
      </c>
      <c r="N171" t="n">
        <v>0</v>
      </c>
      <c r="O171" t="n">
        <v>1</v>
      </c>
      <c r="P171" t="n">
        <v>0</v>
      </c>
      <c r="Q171" t="n">
        <v>2</v>
      </c>
      <c r="R171" s="2" t="inlineStr">
        <is>
          <t>Garnlav
Tjäder</t>
        </is>
      </c>
      <c r="S171">
        <f>HYPERLINK("https://klasma.github.io/Logging_2281/artfynd/A 50981-2025 artfynd.xlsx", "A 50981-2025")</f>
        <v/>
      </c>
      <c r="T171">
        <f>HYPERLINK("https://klasma.github.io/Logging_2281/kartor/A 50981-2025 karta.png", "A 50981-2025")</f>
        <v/>
      </c>
      <c r="U171">
        <f>HYPERLINK("https://klasma.github.io/Logging_2281/knärot/A 50981-2025 karta knärot.png", "A 50981-2025")</f>
        <v/>
      </c>
      <c r="V171">
        <f>HYPERLINK("https://klasma.github.io/Logging_2281/klagomål/A 50981-2025 FSC-klagomål.docx", "A 50981-2025")</f>
        <v/>
      </c>
      <c r="W171">
        <f>HYPERLINK("https://klasma.github.io/Logging_2281/klagomålsmail/A 50981-2025 FSC-klagomål mail.docx", "A 50981-2025")</f>
        <v/>
      </c>
      <c r="X171">
        <f>HYPERLINK("https://klasma.github.io/Logging_2281/tillsyn/A 50981-2025 tillsynsbegäran.docx", "A 50981-2025")</f>
        <v/>
      </c>
      <c r="Y171">
        <f>HYPERLINK("https://klasma.github.io/Logging_2281/tillsynsmail/A 50981-2025 tillsynsbegäran mail.docx", "A 50981-2025")</f>
        <v/>
      </c>
      <c r="Z171">
        <f>HYPERLINK("https://klasma.github.io/Logging_2281/fåglar/A 50981-2025 prioriterade fågelarter.docx", "A 50981-2025")</f>
        <v/>
      </c>
    </row>
    <row r="172" ht="15" customHeight="1">
      <c r="A172" t="inlineStr">
        <is>
          <t>A 51933-2025</t>
        </is>
      </c>
      <c r="B172" s="1" t="n">
        <v>45952.51125</v>
      </c>
      <c r="C172" s="1" t="n">
        <v>46165</v>
      </c>
      <c r="D172" t="inlineStr">
        <is>
          <t>VÄSTERNORRLANDS LÄN</t>
        </is>
      </c>
      <c r="E172" t="inlineStr">
        <is>
          <t>SUNDSVALL</t>
        </is>
      </c>
      <c r="F172" t="inlineStr">
        <is>
          <t>SCA</t>
        </is>
      </c>
      <c r="G172" t="n">
        <v>7</v>
      </c>
      <c r="H172" t="n">
        <v>1</v>
      </c>
      <c r="I172" t="n">
        <v>1</v>
      </c>
      <c r="J172" t="n">
        <v>0</v>
      </c>
      <c r="K172" t="n">
        <v>0</v>
      </c>
      <c r="L172" t="n">
        <v>0</v>
      </c>
      <c r="M172" t="n">
        <v>0</v>
      </c>
      <c r="N172" t="n">
        <v>0</v>
      </c>
      <c r="O172" t="n">
        <v>0</v>
      </c>
      <c r="P172" t="n">
        <v>0</v>
      </c>
      <c r="Q172" t="n">
        <v>2</v>
      </c>
      <c r="R172" s="2" t="inlineStr">
        <is>
          <t>Tibast
Nattviol</t>
        </is>
      </c>
      <c r="S172">
        <f>HYPERLINK("https://klasma.github.io/Logging_2281/artfynd/A 51933-2025 artfynd.xlsx", "A 51933-2025")</f>
        <v/>
      </c>
      <c r="T172">
        <f>HYPERLINK("https://klasma.github.io/Logging_2281/kartor/A 51933-2025 karta.png", "A 51933-2025")</f>
        <v/>
      </c>
      <c r="V172">
        <f>HYPERLINK("https://klasma.github.io/Logging_2281/klagomål/A 51933-2025 FSC-klagomål.docx", "A 51933-2025")</f>
        <v/>
      </c>
      <c r="W172">
        <f>HYPERLINK("https://klasma.github.io/Logging_2281/klagomålsmail/A 51933-2025 FSC-klagomål mail.docx", "A 51933-2025")</f>
        <v/>
      </c>
      <c r="X172">
        <f>HYPERLINK("https://klasma.github.io/Logging_2281/tillsyn/A 51933-2025 tillsynsbegäran.docx", "A 51933-2025")</f>
        <v/>
      </c>
      <c r="Y172">
        <f>HYPERLINK("https://klasma.github.io/Logging_2281/tillsynsmail/A 51933-2025 tillsynsbegäran mail.docx", "A 51933-2025")</f>
        <v/>
      </c>
    </row>
    <row r="173" ht="15" customHeight="1">
      <c r="A173" t="inlineStr">
        <is>
          <t>A 70072-2021</t>
        </is>
      </c>
      <c r="B173" s="1" t="n">
        <v>44533.52040509259</v>
      </c>
      <c r="C173" s="1" t="n">
        <v>46165</v>
      </c>
      <c r="D173" t="inlineStr">
        <is>
          <t>VÄSTERNORRLANDS LÄN</t>
        </is>
      </c>
      <c r="E173" t="inlineStr">
        <is>
          <t>SUNDSVALL</t>
        </is>
      </c>
      <c r="G173" t="n">
        <v>1.2</v>
      </c>
      <c r="H173" t="n">
        <v>0</v>
      </c>
      <c r="I173" t="n">
        <v>0</v>
      </c>
      <c r="J173" t="n">
        <v>2</v>
      </c>
      <c r="K173" t="n">
        <v>0</v>
      </c>
      <c r="L173" t="n">
        <v>0</v>
      </c>
      <c r="M173" t="n">
        <v>0</v>
      </c>
      <c r="N173" t="n">
        <v>0</v>
      </c>
      <c r="O173" t="n">
        <v>2</v>
      </c>
      <c r="P173" t="n">
        <v>0</v>
      </c>
      <c r="Q173" t="n">
        <v>2</v>
      </c>
      <c r="R173" s="2" t="inlineStr">
        <is>
          <t>Garnlav
Lunglav</t>
        </is>
      </c>
      <c r="S173">
        <f>HYPERLINK("https://klasma.github.io/Logging_2281/artfynd/A 70072-2021 artfynd.xlsx", "A 70072-2021")</f>
        <v/>
      </c>
      <c r="T173">
        <f>HYPERLINK("https://klasma.github.io/Logging_2281/kartor/A 70072-2021 karta.png", "A 70072-2021")</f>
        <v/>
      </c>
      <c r="V173">
        <f>HYPERLINK("https://klasma.github.io/Logging_2281/klagomål/A 70072-2021 FSC-klagomål.docx", "A 70072-2021")</f>
        <v/>
      </c>
      <c r="W173">
        <f>HYPERLINK("https://klasma.github.io/Logging_2281/klagomålsmail/A 70072-2021 FSC-klagomål mail.docx", "A 70072-2021")</f>
        <v/>
      </c>
      <c r="X173">
        <f>HYPERLINK("https://klasma.github.io/Logging_2281/tillsyn/A 70072-2021 tillsynsbegäran.docx", "A 70072-2021")</f>
        <v/>
      </c>
      <c r="Y173">
        <f>HYPERLINK("https://klasma.github.io/Logging_2281/tillsynsmail/A 70072-2021 tillsynsbegäran mail.docx", "A 70072-2021")</f>
        <v/>
      </c>
    </row>
    <row r="174" ht="15" customHeight="1">
      <c r="A174" t="inlineStr">
        <is>
          <t>A 45841-2025</t>
        </is>
      </c>
      <c r="B174" s="1" t="n">
        <v>45923</v>
      </c>
      <c r="C174" s="1" t="n">
        <v>46165</v>
      </c>
      <c r="D174" t="inlineStr">
        <is>
          <t>VÄSTERNORRLANDS LÄN</t>
        </is>
      </c>
      <c r="E174" t="inlineStr">
        <is>
          <t>SUNDSVALL</t>
        </is>
      </c>
      <c r="F174" t="inlineStr">
        <is>
          <t>SCA</t>
        </is>
      </c>
      <c r="G174" t="n">
        <v>16.5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HYPERLINK("https://klasma.github.io/Logging_2281/artfynd/A 45841-2025 artfynd.xlsx", "A 45841-2025")</f>
        <v/>
      </c>
      <c r="T174">
        <f>HYPERLINK("https://klasma.github.io/Logging_2281/kartor/A 45841-2025 karta.png", "A 45841-2025")</f>
        <v/>
      </c>
      <c r="U174">
        <f>HYPERLINK("https://klasma.github.io/Logging_2281/knärot/A 45841-2025 karta knärot.png", "A 45841-2025")</f>
        <v/>
      </c>
      <c r="V174">
        <f>HYPERLINK("https://klasma.github.io/Logging_2281/klagomål/A 45841-2025 FSC-klagomål.docx", "A 45841-2025")</f>
        <v/>
      </c>
      <c r="W174">
        <f>HYPERLINK("https://klasma.github.io/Logging_2281/klagomålsmail/A 45841-2025 FSC-klagomål mail.docx", "A 45841-2025")</f>
        <v/>
      </c>
      <c r="X174">
        <f>HYPERLINK("https://klasma.github.io/Logging_2281/tillsyn/A 45841-2025 tillsynsbegäran.docx", "A 45841-2025")</f>
        <v/>
      </c>
      <c r="Y174">
        <f>HYPERLINK("https://klasma.github.io/Logging_2281/tillsynsmail/A 45841-2025 tillsynsbegäran mail.docx", "A 45841-2025")</f>
        <v/>
      </c>
      <c r="Z174">
        <f>HYPERLINK("https://klasma.github.io/Logging_2281/fåglar/A 45841-2025 prioriterade fågelarter.docx", "A 45841-2025")</f>
        <v/>
      </c>
    </row>
    <row r="175" ht="15" customHeight="1">
      <c r="A175" t="inlineStr">
        <is>
          <t>A 51366-2022</t>
        </is>
      </c>
      <c r="B175" s="1" t="n">
        <v>44869</v>
      </c>
      <c r="C175" s="1" t="n">
        <v>46165</v>
      </c>
      <c r="D175" t="inlineStr">
        <is>
          <t>VÄSTERNORRLANDS LÄN</t>
        </is>
      </c>
      <c r="E175" t="inlineStr">
        <is>
          <t>SUNDSVALL</t>
        </is>
      </c>
      <c r="G175" t="n">
        <v>31.8</v>
      </c>
      <c r="H175" t="n">
        <v>0</v>
      </c>
      <c r="I175" t="n">
        <v>0</v>
      </c>
      <c r="J175" t="n">
        <v>2</v>
      </c>
      <c r="K175" t="n">
        <v>0</v>
      </c>
      <c r="L175" t="n">
        <v>0</v>
      </c>
      <c r="M175" t="n">
        <v>0</v>
      </c>
      <c r="N175" t="n">
        <v>0</v>
      </c>
      <c r="O175" t="n">
        <v>2</v>
      </c>
      <c r="P175" t="n">
        <v>0</v>
      </c>
      <c r="Q175" t="n">
        <v>2</v>
      </c>
      <c r="R175" s="2" t="inlineStr">
        <is>
          <t>Lunglav
Rosenticka</t>
        </is>
      </c>
      <c r="S175">
        <f>HYPERLINK("https://klasma.github.io/Logging_2281/artfynd/A 51366-2022 artfynd.xlsx", "A 51366-2022")</f>
        <v/>
      </c>
      <c r="T175">
        <f>HYPERLINK("https://klasma.github.io/Logging_2281/kartor/A 51366-2022 karta.png", "A 51366-2022")</f>
        <v/>
      </c>
      <c r="V175">
        <f>HYPERLINK("https://klasma.github.io/Logging_2281/klagomål/A 51366-2022 FSC-klagomål.docx", "A 51366-2022")</f>
        <v/>
      </c>
      <c r="W175">
        <f>HYPERLINK("https://klasma.github.io/Logging_2281/klagomålsmail/A 51366-2022 FSC-klagomål mail.docx", "A 51366-2022")</f>
        <v/>
      </c>
      <c r="X175">
        <f>HYPERLINK("https://klasma.github.io/Logging_2281/tillsyn/A 51366-2022 tillsynsbegäran.docx", "A 51366-2022")</f>
        <v/>
      </c>
      <c r="Y175">
        <f>HYPERLINK("https://klasma.github.io/Logging_2281/tillsynsmail/A 51366-2022 tillsynsbegäran mail.docx", "A 51366-2022")</f>
        <v/>
      </c>
    </row>
    <row r="176" ht="15" customHeight="1">
      <c r="A176" t="inlineStr">
        <is>
          <t>A 54669-2025</t>
        </is>
      </c>
      <c r="B176" s="1" t="n">
        <v>45966.40872685185</v>
      </c>
      <c r="C176" s="1" t="n">
        <v>46165</v>
      </c>
      <c r="D176" t="inlineStr">
        <is>
          <t>VÄSTERNORRLANDS LÄN</t>
        </is>
      </c>
      <c r="E176" t="inlineStr">
        <is>
          <t>SUNDSVALL</t>
        </is>
      </c>
      <c r="G176" t="n">
        <v>4</v>
      </c>
      <c r="H176" t="n">
        <v>0</v>
      </c>
      <c r="I176" t="n">
        <v>0</v>
      </c>
      <c r="J176" t="n">
        <v>2</v>
      </c>
      <c r="K176" t="n">
        <v>0</v>
      </c>
      <c r="L176" t="n">
        <v>0</v>
      </c>
      <c r="M176" t="n">
        <v>0</v>
      </c>
      <c r="N176" t="n">
        <v>0</v>
      </c>
      <c r="O176" t="n">
        <v>2</v>
      </c>
      <c r="P176" t="n">
        <v>0</v>
      </c>
      <c r="Q176" t="n">
        <v>2</v>
      </c>
      <c r="R176" s="2" t="inlineStr">
        <is>
          <t>Garnlav
Vitgrynig nållav</t>
        </is>
      </c>
      <c r="S176">
        <f>HYPERLINK("https://klasma.github.io/Logging_2281/artfynd/A 54669-2025 artfynd.xlsx", "A 54669-2025")</f>
        <v/>
      </c>
      <c r="T176">
        <f>HYPERLINK("https://klasma.github.io/Logging_2281/kartor/A 54669-2025 karta.png", "A 54669-2025")</f>
        <v/>
      </c>
      <c r="V176">
        <f>HYPERLINK("https://klasma.github.io/Logging_2281/klagomål/A 54669-2025 FSC-klagomål.docx", "A 54669-2025")</f>
        <v/>
      </c>
      <c r="W176">
        <f>HYPERLINK("https://klasma.github.io/Logging_2281/klagomålsmail/A 54669-2025 FSC-klagomål mail.docx", "A 54669-2025")</f>
        <v/>
      </c>
      <c r="X176">
        <f>HYPERLINK("https://klasma.github.io/Logging_2281/tillsyn/A 54669-2025 tillsynsbegäran.docx", "A 54669-2025")</f>
        <v/>
      </c>
      <c r="Y176">
        <f>HYPERLINK("https://klasma.github.io/Logging_2281/tillsynsmail/A 54669-2025 tillsynsbegäran mail.docx", "A 54669-2025")</f>
        <v/>
      </c>
    </row>
    <row r="177" ht="15" customHeight="1">
      <c r="A177" t="inlineStr">
        <is>
          <t>A 52741-2022</t>
        </is>
      </c>
      <c r="B177" s="1" t="n">
        <v>44874</v>
      </c>
      <c r="C177" s="1" t="n">
        <v>46165</v>
      </c>
      <c r="D177" t="inlineStr">
        <is>
          <t>VÄSTERNORRLANDS LÄN</t>
        </is>
      </c>
      <c r="E177" t="inlineStr">
        <is>
          <t>SUNDSVALL</t>
        </is>
      </c>
      <c r="F177" t="inlineStr">
        <is>
          <t>SCA</t>
        </is>
      </c>
      <c r="G177" t="n">
        <v>5.2</v>
      </c>
      <c r="H177" t="n">
        <v>1</v>
      </c>
      <c r="I177" t="n">
        <v>1</v>
      </c>
      <c r="J177" t="n">
        <v>1</v>
      </c>
      <c r="K177" t="n">
        <v>0</v>
      </c>
      <c r="L177" t="n">
        <v>0</v>
      </c>
      <c r="M177" t="n">
        <v>0</v>
      </c>
      <c r="N177" t="n">
        <v>0</v>
      </c>
      <c r="O177" t="n">
        <v>1</v>
      </c>
      <c r="P177" t="n">
        <v>0</v>
      </c>
      <c r="Q177" t="n">
        <v>2</v>
      </c>
      <c r="R177" s="2" t="inlineStr">
        <is>
          <t>Videsparv
Skuggblåslav</t>
        </is>
      </c>
      <c r="S177">
        <f>HYPERLINK("https://klasma.github.io/Logging_2281/artfynd/A 52741-2022 artfynd.xlsx", "A 52741-2022")</f>
        <v/>
      </c>
      <c r="T177">
        <f>HYPERLINK("https://klasma.github.io/Logging_2281/kartor/A 52741-2022 karta.png", "A 52741-2022")</f>
        <v/>
      </c>
      <c r="V177">
        <f>HYPERLINK("https://klasma.github.io/Logging_2281/klagomål/A 52741-2022 FSC-klagomål.docx", "A 52741-2022")</f>
        <v/>
      </c>
      <c r="W177">
        <f>HYPERLINK("https://klasma.github.io/Logging_2281/klagomålsmail/A 52741-2022 FSC-klagomål mail.docx", "A 52741-2022")</f>
        <v/>
      </c>
      <c r="X177">
        <f>HYPERLINK("https://klasma.github.io/Logging_2281/tillsyn/A 52741-2022 tillsynsbegäran.docx", "A 52741-2022")</f>
        <v/>
      </c>
      <c r="Y177">
        <f>HYPERLINK("https://klasma.github.io/Logging_2281/tillsynsmail/A 52741-2022 tillsynsbegäran mail.docx", "A 52741-2022")</f>
        <v/>
      </c>
      <c r="Z177">
        <f>HYPERLINK("https://klasma.github.io/Logging_2281/fåglar/A 52741-2022 prioriterade fågelarter.docx", "A 52741-2022")</f>
        <v/>
      </c>
    </row>
    <row r="178" ht="15" customHeight="1">
      <c r="A178" t="inlineStr">
        <is>
          <t>A 4900-2025</t>
        </is>
      </c>
      <c r="B178" s="1" t="n">
        <v>45688</v>
      </c>
      <c r="C178" s="1" t="n">
        <v>46165</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39929-2021</t>
        </is>
      </c>
      <c r="B179" s="1" t="n">
        <v>44417</v>
      </c>
      <c r="C179" s="1" t="n">
        <v>46165</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63488-2025</t>
        </is>
      </c>
      <c r="B180" s="1" t="n">
        <v>46013.46922453704</v>
      </c>
      <c r="C180" s="1" t="n">
        <v>46165</v>
      </c>
      <c r="D180" t="inlineStr">
        <is>
          <t>VÄSTERNORRLANDS LÄN</t>
        </is>
      </c>
      <c r="E180" t="inlineStr">
        <is>
          <t>SUNDSVALL</t>
        </is>
      </c>
      <c r="F180" t="inlineStr">
        <is>
          <t>SCA</t>
        </is>
      </c>
      <c r="G180" t="n">
        <v>4.8</v>
      </c>
      <c r="H180" t="n">
        <v>0</v>
      </c>
      <c r="I180" t="n">
        <v>0</v>
      </c>
      <c r="J180" t="n">
        <v>2</v>
      </c>
      <c r="K180" t="n">
        <v>0</v>
      </c>
      <c r="L180" t="n">
        <v>0</v>
      </c>
      <c r="M180" t="n">
        <v>0</v>
      </c>
      <c r="N180" t="n">
        <v>0</v>
      </c>
      <c r="O180" t="n">
        <v>2</v>
      </c>
      <c r="P180" t="n">
        <v>0</v>
      </c>
      <c r="Q180" t="n">
        <v>2</v>
      </c>
      <c r="R180" s="2" t="inlineStr">
        <is>
          <t>Granticka
Ullticka</t>
        </is>
      </c>
      <c r="S180">
        <f>HYPERLINK("https://klasma.github.io/Logging_2281/artfynd/A 63488-2025 artfynd.xlsx", "A 63488-2025")</f>
        <v/>
      </c>
      <c r="T180">
        <f>HYPERLINK("https://klasma.github.io/Logging_2281/kartor/A 63488-2025 karta.png", "A 63488-2025")</f>
        <v/>
      </c>
      <c r="V180">
        <f>HYPERLINK("https://klasma.github.io/Logging_2281/klagomål/A 63488-2025 FSC-klagomål.docx", "A 63488-2025")</f>
        <v/>
      </c>
      <c r="W180">
        <f>HYPERLINK("https://klasma.github.io/Logging_2281/klagomålsmail/A 63488-2025 FSC-klagomål mail.docx", "A 63488-2025")</f>
        <v/>
      </c>
      <c r="X180">
        <f>HYPERLINK("https://klasma.github.io/Logging_2281/tillsyn/A 63488-2025 tillsynsbegäran.docx", "A 63488-2025")</f>
        <v/>
      </c>
      <c r="Y180">
        <f>HYPERLINK("https://klasma.github.io/Logging_2281/tillsynsmail/A 63488-2025 tillsynsbegäran mail.docx", "A 63488-2025")</f>
        <v/>
      </c>
    </row>
    <row r="181" ht="15" customHeight="1">
      <c r="A181" t="inlineStr">
        <is>
          <t>A 3960-2024</t>
        </is>
      </c>
      <c r="B181" s="1" t="n">
        <v>45322</v>
      </c>
      <c r="C181" s="1" t="n">
        <v>46165</v>
      </c>
      <c r="D181" t="inlineStr">
        <is>
          <t>VÄSTERNORRLANDS LÄN</t>
        </is>
      </c>
      <c r="E181" t="inlineStr">
        <is>
          <t>SUNDSVALL</t>
        </is>
      </c>
      <c r="G181" t="n">
        <v>3.1</v>
      </c>
      <c r="H181" t="n">
        <v>1</v>
      </c>
      <c r="I181" t="n">
        <v>1</v>
      </c>
      <c r="J181" t="n">
        <v>1</v>
      </c>
      <c r="K181" t="n">
        <v>0</v>
      </c>
      <c r="L181" t="n">
        <v>0</v>
      </c>
      <c r="M181" t="n">
        <v>0</v>
      </c>
      <c r="N181" t="n">
        <v>0</v>
      </c>
      <c r="O181" t="n">
        <v>1</v>
      </c>
      <c r="P181" t="n">
        <v>0</v>
      </c>
      <c r="Q181" t="n">
        <v>2</v>
      </c>
      <c r="R181" s="2" t="inlineStr">
        <is>
          <t>Tretåig hackspett
Skinnlav</t>
        </is>
      </c>
      <c r="S181">
        <f>HYPERLINK("https://klasma.github.io/Logging_2281/artfynd/A 3960-2024 artfynd.xlsx", "A 3960-2024")</f>
        <v/>
      </c>
      <c r="T181">
        <f>HYPERLINK("https://klasma.github.io/Logging_2281/kartor/A 3960-2024 karta.png", "A 3960-2024")</f>
        <v/>
      </c>
      <c r="V181">
        <f>HYPERLINK("https://klasma.github.io/Logging_2281/klagomål/A 3960-2024 FSC-klagomål.docx", "A 3960-2024")</f>
        <v/>
      </c>
      <c r="W181">
        <f>HYPERLINK("https://klasma.github.io/Logging_2281/klagomålsmail/A 3960-2024 FSC-klagomål mail.docx", "A 3960-2024")</f>
        <v/>
      </c>
      <c r="X181">
        <f>HYPERLINK("https://klasma.github.io/Logging_2281/tillsyn/A 3960-2024 tillsynsbegäran.docx", "A 3960-2024")</f>
        <v/>
      </c>
      <c r="Y181">
        <f>HYPERLINK("https://klasma.github.io/Logging_2281/tillsynsmail/A 3960-2024 tillsynsbegäran mail.docx", "A 3960-2024")</f>
        <v/>
      </c>
      <c r="Z181">
        <f>HYPERLINK("https://klasma.github.io/Logging_2281/fåglar/A 3960-2024 prioriterade fågelarter.docx", "A 3960-2024")</f>
        <v/>
      </c>
    </row>
    <row r="182" ht="15" customHeight="1">
      <c r="A182" t="inlineStr">
        <is>
          <t>A 6680-2026</t>
        </is>
      </c>
      <c r="B182" s="1" t="n">
        <v>46056</v>
      </c>
      <c r="C182" s="1" t="n">
        <v>46165</v>
      </c>
      <c r="D182" t="inlineStr">
        <is>
          <t>VÄSTERNORRLANDS LÄN</t>
        </is>
      </c>
      <c r="E182" t="inlineStr">
        <is>
          <t>SUNDSVALL</t>
        </is>
      </c>
      <c r="F182" t="inlineStr">
        <is>
          <t>SCA</t>
        </is>
      </c>
      <c r="G182" t="n">
        <v>20.7</v>
      </c>
      <c r="H182" t="n">
        <v>1</v>
      </c>
      <c r="I182" t="n">
        <v>0</v>
      </c>
      <c r="J182" t="n">
        <v>1</v>
      </c>
      <c r="K182" t="n">
        <v>0</v>
      </c>
      <c r="L182" t="n">
        <v>0</v>
      </c>
      <c r="M182" t="n">
        <v>0</v>
      </c>
      <c r="N182" t="n">
        <v>0</v>
      </c>
      <c r="O182" t="n">
        <v>1</v>
      </c>
      <c r="P182" t="n">
        <v>0</v>
      </c>
      <c r="Q182" t="n">
        <v>2</v>
      </c>
      <c r="R182" s="2" t="inlineStr">
        <is>
          <t>Igelkott
Huggorm</t>
        </is>
      </c>
      <c r="S182">
        <f>HYPERLINK("https://klasma.github.io/Logging_2281/artfynd/A 6680-2026 artfynd.xlsx", "A 6680-2026")</f>
        <v/>
      </c>
      <c r="T182">
        <f>HYPERLINK("https://klasma.github.io/Logging_2281/kartor/A 6680-2026 karta.png", "A 6680-2026")</f>
        <v/>
      </c>
      <c r="V182">
        <f>HYPERLINK("https://klasma.github.io/Logging_2281/klagomål/A 6680-2026 FSC-klagomål.docx", "A 6680-2026")</f>
        <v/>
      </c>
      <c r="W182">
        <f>HYPERLINK("https://klasma.github.io/Logging_2281/klagomålsmail/A 6680-2026 FSC-klagomål mail.docx", "A 6680-2026")</f>
        <v/>
      </c>
      <c r="X182">
        <f>HYPERLINK("https://klasma.github.io/Logging_2281/tillsyn/A 6680-2026 tillsynsbegäran.docx", "A 6680-2026")</f>
        <v/>
      </c>
      <c r="Y182">
        <f>HYPERLINK("https://klasma.github.io/Logging_2281/tillsynsmail/A 6680-2026 tillsynsbegäran mail.docx", "A 6680-2026")</f>
        <v/>
      </c>
    </row>
    <row r="183" ht="15" customHeight="1">
      <c r="A183" t="inlineStr">
        <is>
          <t>A 23364-2025</t>
        </is>
      </c>
      <c r="B183" s="1" t="n">
        <v>45791</v>
      </c>
      <c r="C183" s="1" t="n">
        <v>46165</v>
      </c>
      <c r="D183" t="inlineStr">
        <is>
          <t>VÄSTERNORRLANDS LÄN</t>
        </is>
      </c>
      <c r="E183" t="inlineStr">
        <is>
          <t>SUNDSVALL</t>
        </is>
      </c>
      <c r="F183" t="inlineStr">
        <is>
          <t>SCA</t>
        </is>
      </c>
      <c r="G183" t="n">
        <v>4</v>
      </c>
      <c r="H183" t="n">
        <v>1</v>
      </c>
      <c r="I183" t="n">
        <v>0</v>
      </c>
      <c r="J183" t="n">
        <v>2</v>
      </c>
      <c r="K183" t="n">
        <v>0</v>
      </c>
      <c r="L183" t="n">
        <v>0</v>
      </c>
      <c r="M183" t="n">
        <v>0</v>
      </c>
      <c r="N183" t="n">
        <v>0</v>
      </c>
      <c r="O183" t="n">
        <v>2</v>
      </c>
      <c r="P183" t="n">
        <v>0</v>
      </c>
      <c r="Q183" t="n">
        <v>2</v>
      </c>
      <c r="R183" s="2" t="inlineStr">
        <is>
          <t>Garnlav
Tretåig hackspett</t>
        </is>
      </c>
      <c r="S183">
        <f>HYPERLINK("https://klasma.github.io/Logging_2281/artfynd/A 23364-2025 artfynd.xlsx", "A 23364-2025")</f>
        <v/>
      </c>
      <c r="T183">
        <f>HYPERLINK("https://klasma.github.io/Logging_2281/kartor/A 23364-2025 karta.png", "A 23364-2025")</f>
        <v/>
      </c>
      <c r="V183">
        <f>HYPERLINK("https://klasma.github.io/Logging_2281/klagomål/A 23364-2025 FSC-klagomål.docx", "A 23364-2025")</f>
        <v/>
      </c>
      <c r="W183">
        <f>HYPERLINK("https://klasma.github.io/Logging_2281/klagomålsmail/A 23364-2025 FSC-klagomål mail.docx", "A 23364-2025")</f>
        <v/>
      </c>
      <c r="X183">
        <f>HYPERLINK("https://klasma.github.io/Logging_2281/tillsyn/A 23364-2025 tillsynsbegäran.docx", "A 23364-2025")</f>
        <v/>
      </c>
      <c r="Y183">
        <f>HYPERLINK("https://klasma.github.io/Logging_2281/tillsynsmail/A 23364-2025 tillsynsbegäran mail.docx", "A 23364-2025")</f>
        <v/>
      </c>
      <c r="Z183">
        <f>HYPERLINK("https://klasma.github.io/Logging_2281/fåglar/A 23364-2025 prioriterade fågelarter.docx", "A 23364-2025")</f>
        <v/>
      </c>
    </row>
    <row r="184" ht="15" customHeight="1">
      <c r="A184" t="inlineStr">
        <is>
          <t>A 41090-2024</t>
        </is>
      </c>
      <c r="B184" s="1" t="n">
        <v>45559.42744212963</v>
      </c>
      <c r="C184" s="1" t="n">
        <v>46165</v>
      </c>
      <c r="D184" t="inlineStr">
        <is>
          <t>VÄSTERNORRLANDS LÄN</t>
        </is>
      </c>
      <c r="E184" t="inlineStr">
        <is>
          <t>SUNDSVALL</t>
        </is>
      </c>
      <c r="F184" t="inlineStr">
        <is>
          <t>SCA</t>
        </is>
      </c>
      <c r="G184" t="n">
        <v>1.7</v>
      </c>
      <c r="H184" t="n">
        <v>0</v>
      </c>
      <c r="I184" t="n">
        <v>1</v>
      </c>
      <c r="J184" t="n">
        <v>1</v>
      </c>
      <c r="K184" t="n">
        <v>0</v>
      </c>
      <c r="L184" t="n">
        <v>0</v>
      </c>
      <c r="M184" t="n">
        <v>0</v>
      </c>
      <c r="N184" t="n">
        <v>0</v>
      </c>
      <c r="O184" t="n">
        <v>1</v>
      </c>
      <c r="P184" t="n">
        <v>0</v>
      </c>
      <c r="Q184" t="n">
        <v>2</v>
      </c>
      <c r="R184" s="2" t="inlineStr">
        <is>
          <t>Lunglav
Stuplav</t>
        </is>
      </c>
      <c r="S184">
        <f>HYPERLINK("https://klasma.github.io/Logging_2281/artfynd/A 41090-2024 artfynd.xlsx", "A 41090-2024")</f>
        <v/>
      </c>
      <c r="T184">
        <f>HYPERLINK("https://klasma.github.io/Logging_2281/kartor/A 41090-2024 karta.png", "A 41090-2024")</f>
        <v/>
      </c>
      <c r="V184">
        <f>HYPERLINK("https://klasma.github.io/Logging_2281/klagomål/A 41090-2024 FSC-klagomål.docx", "A 41090-2024")</f>
        <v/>
      </c>
      <c r="W184">
        <f>HYPERLINK("https://klasma.github.io/Logging_2281/klagomålsmail/A 41090-2024 FSC-klagomål mail.docx", "A 41090-2024")</f>
        <v/>
      </c>
      <c r="X184">
        <f>HYPERLINK("https://klasma.github.io/Logging_2281/tillsyn/A 41090-2024 tillsynsbegäran.docx", "A 41090-2024")</f>
        <v/>
      </c>
      <c r="Y184">
        <f>HYPERLINK("https://klasma.github.io/Logging_2281/tillsynsmail/A 41090-2024 tillsynsbegäran mail.docx", "A 41090-2024")</f>
        <v/>
      </c>
    </row>
    <row r="185" ht="15" customHeight="1">
      <c r="A185" t="inlineStr">
        <is>
          <t>A 34766-2024</t>
        </is>
      </c>
      <c r="B185" s="1" t="n">
        <v>45526</v>
      </c>
      <c r="C185" s="1" t="n">
        <v>46165</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19637-2026</t>
        </is>
      </c>
      <c r="B186" s="1" t="n">
        <v>46134.5735300926</v>
      </c>
      <c r="C186" s="1" t="n">
        <v>46165</v>
      </c>
      <c r="D186" t="inlineStr">
        <is>
          <t>VÄSTERNORRLANDS LÄN</t>
        </is>
      </c>
      <c r="E186" t="inlineStr">
        <is>
          <t>SUNDSVALL</t>
        </is>
      </c>
      <c r="F186" t="inlineStr">
        <is>
          <t>SCA</t>
        </is>
      </c>
      <c r="G186" t="n">
        <v>1</v>
      </c>
      <c r="H186" t="n">
        <v>0</v>
      </c>
      <c r="I186" t="n">
        <v>0</v>
      </c>
      <c r="J186" t="n">
        <v>2</v>
      </c>
      <c r="K186" t="n">
        <v>0</v>
      </c>
      <c r="L186" t="n">
        <v>0</v>
      </c>
      <c r="M186" t="n">
        <v>0</v>
      </c>
      <c r="N186" t="n">
        <v>0</v>
      </c>
      <c r="O186" t="n">
        <v>2</v>
      </c>
      <c r="P186" t="n">
        <v>0</v>
      </c>
      <c r="Q186" t="n">
        <v>2</v>
      </c>
      <c r="R186" s="2" t="inlineStr">
        <is>
          <t>Stjärntagging
Ullticka</t>
        </is>
      </c>
      <c r="S186">
        <f>HYPERLINK("https://klasma.github.io/Logging_2281/artfynd/A 19637-2026 artfynd.xlsx", "A 19637-2026")</f>
        <v/>
      </c>
      <c r="T186">
        <f>HYPERLINK("https://klasma.github.io/Logging_2281/kartor/A 19637-2026 karta.png", "A 19637-2026")</f>
        <v/>
      </c>
      <c r="U186">
        <f>HYPERLINK("https://klasma.github.io/Logging_2281/knärot/A 19637-2026 karta knärot.png", "A 19637-2026")</f>
        <v/>
      </c>
      <c r="V186">
        <f>HYPERLINK("https://klasma.github.io/Logging_2281/klagomål/A 19637-2026 FSC-klagomål.docx", "A 19637-2026")</f>
        <v/>
      </c>
      <c r="W186">
        <f>HYPERLINK("https://klasma.github.io/Logging_2281/klagomålsmail/A 19637-2026 FSC-klagomål mail.docx", "A 19637-2026")</f>
        <v/>
      </c>
      <c r="X186">
        <f>HYPERLINK("https://klasma.github.io/Logging_2281/tillsyn/A 19637-2026 tillsynsbegäran.docx", "A 19637-2026")</f>
        <v/>
      </c>
      <c r="Y186">
        <f>HYPERLINK("https://klasma.github.io/Logging_2281/tillsynsmail/A 19637-2026 tillsynsbegäran mail.docx", "A 19637-2026")</f>
        <v/>
      </c>
    </row>
    <row r="187" ht="15" customHeight="1">
      <c r="A187" t="inlineStr">
        <is>
          <t>A 19546-2026</t>
        </is>
      </c>
      <c r="B187" s="1" t="n">
        <v>46134.3858912037</v>
      </c>
      <c r="C187" s="1" t="n">
        <v>46165</v>
      </c>
      <c r="D187" t="inlineStr">
        <is>
          <t>VÄSTERNORRLANDS LÄN</t>
        </is>
      </c>
      <c r="E187" t="inlineStr">
        <is>
          <t>SUNDSVALL</t>
        </is>
      </c>
      <c r="F187" t="inlineStr">
        <is>
          <t>SCA</t>
        </is>
      </c>
      <c r="G187" t="n">
        <v>0.9</v>
      </c>
      <c r="H187" t="n">
        <v>1</v>
      </c>
      <c r="I187" t="n">
        <v>0</v>
      </c>
      <c r="J187" t="n">
        <v>1</v>
      </c>
      <c r="K187" t="n">
        <v>0</v>
      </c>
      <c r="L187" t="n">
        <v>0</v>
      </c>
      <c r="M187" t="n">
        <v>0</v>
      </c>
      <c r="N187" t="n">
        <v>0</v>
      </c>
      <c r="O187" t="n">
        <v>1</v>
      </c>
      <c r="P187" t="n">
        <v>0</v>
      </c>
      <c r="Q187" t="n">
        <v>2</v>
      </c>
      <c r="R187" s="2" t="inlineStr">
        <is>
          <t>Granticka
Blåsippa</t>
        </is>
      </c>
      <c r="S187">
        <f>HYPERLINK("https://klasma.github.io/Logging_2281/artfynd/A 19546-2026 artfynd.xlsx", "A 19546-2026")</f>
        <v/>
      </c>
      <c r="T187">
        <f>HYPERLINK("https://klasma.github.io/Logging_2281/kartor/A 19546-2026 karta.png", "A 19546-2026")</f>
        <v/>
      </c>
      <c r="U187">
        <f>HYPERLINK("https://klasma.github.io/Logging_2281/knärot/A 19546-2026 karta knärot.png", "A 19546-2026")</f>
        <v/>
      </c>
      <c r="V187">
        <f>HYPERLINK("https://klasma.github.io/Logging_2281/klagomål/A 19546-2026 FSC-klagomål.docx", "A 19546-2026")</f>
        <v/>
      </c>
      <c r="W187">
        <f>HYPERLINK("https://klasma.github.io/Logging_2281/klagomålsmail/A 19546-2026 FSC-klagomål mail.docx", "A 19546-2026")</f>
        <v/>
      </c>
      <c r="X187">
        <f>HYPERLINK("https://klasma.github.io/Logging_2281/tillsyn/A 19546-2026 tillsynsbegäran.docx", "A 19546-2026")</f>
        <v/>
      </c>
      <c r="Y187">
        <f>HYPERLINK("https://klasma.github.io/Logging_2281/tillsynsmail/A 19546-2026 tillsynsbegäran mail.docx", "A 19546-2026")</f>
        <v/>
      </c>
    </row>
    <row r="188" ht="15" customHeight="1">
      <c r="A188" t="inlineStr">
        <is>
          <t>A 14725-2024</t>
        </is>
      </c>
      <c r="B188" s="1" t="n">
        <v>45397</v>
      </c>
      <c r="C188" s="1" t="n">
        <v>46165</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58191-2022</t>
        </is>
      </c>
      <c r="B189" s="1" t="n">
        <v>44900</v>
      </c>
      <c r="C189" s="1" t="n">
        <v>46165</v>
      </c>
      <c r="D189" t="inlineStr">
        <is>
          <t>VÄSTERNORRLANDS LÄN</t>
        </is>
      </c>
      <c r="E189" t="inlineStr">
        <is>
          <t>SUNDSVALL</t>
        </is>
      </c>
      <c r="F189" t="inlineStr">
        <is>
          <t>SCA</t>
        </is>
      </c>
      <c r="G189" t="n">
        <v>2</v>
      </c>
      <c r="H189" t="n">
        <v>1</v>
      </c>
      <c r="I189" t="n">
        <v>2</v>
      </c>
      <c r="J189" t="n">
        <v>0</v>
      </c>
      <c r="K189" t="n">
        <v>0</v>
      </c>
      <c r="L189" t="n">
        <v>0</v>
      </c>
      <c r="M189" t="n">
        <v>0</v>
      </c>
      <c r="N189" t="n">
        <v>0</v>
      </c>
      <c r="O189" t="n">
        <v>0</v>
      </c>
      <c r="P189" t="n">
        <v>0</v>
      </c>
      <c r="Q189" t="n">
        <v>2</v>
      </c>
      <c r="R189" s="2" t="inlineStr">
        <is>
          <t>Korallrot
Vedticka</t>
        </is>
      </c>
      <c r="S189">
        <f>HYPERLINK("https://klasma.github.io/Logging_2281/artfynd/A 58191-2022 artfynd.xlsx", "A 58191-2022")</f>
        <v/>
      </c>
      <c r="T189">
        <f>HYPERLINK("https://klasma.github.io/Logging_2281/kartor/A 58191-2022 karta.png", "A 58191-2022")</f>
        <v/>
      </c>
      <c r="U189">
        <f>HYPERLINK("https://klasma.github.io/Logging_2281/knärot/A 58191-2022 karta knärot.png", "A 58191-2022")</f>
        <v/>
      </c>
      <c r="V189">
        <f>HYPERLINK("https://klasma.github.io/Logging_2281/klagomål/A 58191-2022 FSC-klagomål.docx", "A 58191-2022")</f>
        <v/>
      </c>
      <c r="W189">
        <f>HYPERLINK("https://klasma.github.io/Logging_2281/klagomålsmail/A 58191-2022 FSC-klagomål mail.docx", "A 58191-2022")</f>
        <v/>
      </c>
      <c r="X189">
        <f>HYPERLINK("https://klasma.github.io/Logging_2281/tillsyn/A 58191-2022 tillsynsbegäran.docx", "A 58191-2022")</f>
        <v/>
      </c>
      <c r="Y189">
        <f>HYPERLINK("https://klasma.github.io/Logging_2281/tillsynsmail/A 58191-2022 tillsynsbegäran mail.docx", "A 58191-2022")</f>
        <v/>
      </c>
    </row>
    <row r="190" ht="15" customHeight="1">
      <c r="A190" t="inlineStr">
        <is>
          <t>A 57781-2023</t>
        </is>
      </c>
      <c r="B190" s="1" t="n">
        <v>45246</v>
      </c>
      <c r="C190" s="1" t="n">
        <v>46165</v>
      </c>
      <c r="D190" t="inlineStr">
        <is>
          <t>VÄSTERNORRLANDS LÄN</t>
        </is>
      </c>
      <c r="E190" t="inlineStr">
        <is>
          <t>SUNDSVALL</t>
        </is>
      </c>
      <c r="F190" t="inlineStr">
        <is>
          <t>SCA</t>
        </is>
      </c>
      <c r="G190" t="n">
        <v>4.9</v>
      </c>
      <c r="H190" t="n">
        <v>0</v>
      </c>
      <c r="I190" t="n">
        <v>1</v>
      </c>
      <c r="J190" t="n">
        <v>1</v>
      </c>
      <c r="K190" t="n">
        <v>0</v>
      </c>
      <c r="L190" t="n">
        <v>0</v>
      </c>
      <c r="M190" t="n">
        <v>0</v>
      </c>
      <c r="N190" t="n">
        <v>0</v>
      </c>
      <c r="O190" t="n">
        <v>1</v>
      </c>
      <c r="P190" t="n">
        <v>0</v>
      </c>
      <c r="Q190" t="n">
        <v>2</v>
      </c>
      <c r="R190" s="2" t="inlineStr">
        <is>
          <t>Tallticka
Bollvitmossa</t>
        </is>
      </c>
      <c r="S190">
        <f>HYPERLINK("https://klasma.github.io/Logging_2281/artfynd/A 57781-2023 artfynd.xlsx", "A 57781-2023")</f>
        <v/>
      </c>
      <c r="T190">
        <f>HYPERLINK("https://klasma.github.io/Logging_2281/kartor/A 57781-2023 karta.png", "A 57781-2023")</f>
        <v/>
      </c>
      <c r="V190">
        <f>HYPERLINK("https://klasma.github.io/Logging_2281/klagomål/A 57781-2023 FSC-klagomål.docx", "A 57781-2023")</f>
        <v/>
      </c>
      <c r="W190">
        <f>HYPERLINK("https://klasma.github.io/Logging_2281/klagomålsmail/A 57781-2023 FSC-klagomål mail.docx", "A 57781-2023")</f>
        <v/>
      </c>
      <c r="X190">
        <f>HYPERLINK("https://klasma.github.io/Logging_2281/tillsyn/A 57781-2023 tillsynsbegäran.docx", "A 57781-2023")</f>
        <v/>
      </c>
      <c r="Y190">
        <f>HYPERLINK("https://klasma.github.io/Logging_2281/tillsynsmail/A 57781-2023 tillsynsbegäran mail.docx", "A 57781-2023")</f>
        <v/>
      </c>
    </row>
    <row r="191" ht="15" customHeight="1">
      <c r="A191" t="inlineStr">
        <is>
          <t>A 13675-2024</t>
        </is>
      </c>
      <c r="B191" s="1" t="n">
        <v>45390</v>
      </c>
      <c r="C191" s="1" t="n">
        <v>46165</v>
      </c>
      <c r="D191" t="inlineStr">
        <is>
          <t>VÄSTERNORRLANDS LÄN</t>
        </is>
      </c>
      <c r="E191" t="inlineStr">
        <is>
          <t>SUNDSVALL</t>
        </is>
      </c>
      <c r="G191" t="n">
        <v>1.7</v>
      </c>
      <c r="H191" t="n">
        <v>0</v>
      </c>
      <c r="I191" t="n">
        <v>2</v>
      </c>
      <c r="J191" t="n">
        <v>0</v>
      </c>
      <c r="K191" t="n">
        <v>0</v>
      </c>
      <c r="L191" t="n">
        <v>0</v>
      </c>
      <c r="M191" t="n">
        <v>0</v>
      </c>
      <c r="N191" t="n">
        <v>0</v>
      </c>
      <c r="O191" t="n">
        <v>0</v>
      </c>
      <c r="P191" t="n">
        <v>0</v>
      </c>
      <c r="Q191" t="n">
        <v>2</v>
      </c>
      <c r="R191" s="2" t="inlineStr">
        <is>
          <t>Svart trolldruva
Tibast</t>
        </is>
      </c>
      <c r="S191">
        <f>HYPERLINK("https://klasma.github.io/Logging_2281/artfynd/A 13675-2024 artfynd.xlsx", "A 13675-2024")</f>
        <v/>
      </c>
      <c r="T191">
        <f>HYPERLINK("https://klasma.github.io/Logging_2281/kartor/A 13675-2024 karta.png", "A 13675-2024")</f>
        <v/>
      </c>
      <c r="V191">
        <f>HYPERLINK("https://klasma.github.io/Logging_2281/klagomål/A 13675-2024 FSC-klagomål.docx", "A 13675-2024")</f>
        <v/>
      </c>
      <c r="W191">
        <f>HYPERLINK("https://klasma.github.io/Logging_2281/klagomålsmail/A 13675-2024 FSC-klagomål mail.docx", "A 13675-2024")</f>
        <v/>
      </c>
      <c r="X191">
        <f>HYPERLINK("https://klasma.github.io/Logging_2281/tillsyn/A 13675-2024 tillsynsbegäran.docx", "A 13675-2024")</f>
        <v/>
      </c>
      <c r="Y191">
        <f>HYPERLINK("https://klasma.github.io/Logging_2281/tillsynsmail/A 13675-2024 tillsynsbegäran mail.docx", "A 13675-2024")</f>
        <v/>
      </c>
    </row>
    <row r="192" ht="15" customHeight="1">
      <c r="A192" t="inlineStr">
        <is>
          <t>A 21321-2025</t>
        </is>
      </c>
      <c r="B192" s="1" t="n">
        <v>45782.34512731482</v>
      </c>
      <c r="C192" s="1" t="n">
        <v>46165</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HYPERLINK("https://klasma.github.io/Logging_2281/artfynd/A 21321-2025 artfynd.xlsx", "A 21321-2025")</f>
        <v/>
      </c>
      <c r="T192">
        <f>HYPERLINK("https://klasma.github.io/Logging_2281/kartor/A 21321-2025 karta.png", "A 21321-2025")</f>
        <v/>
      </c>
      <c r="V192">
        <f>HYPERLINK("https://klasma.github.io/Logging_2281/klagomål/A 21321-2025 FSC-klagomål.docx", "A 21321-2025")</f>
        <v/>
      </c>
      <c r="W192">
        <f>HYPERLINK("https://klasma.github.io/Logging_2281/klagomålsmail/A 21321-2025 FSC-klagomål mail.docx", "A 21321-2025")</f>
        <v/>
      </c>
      <c r="X192">
        <f>HYPERLINK("https://klasma.github.io/Logging_2281/tillsyn/A 21321-2025 tillsynsbegäran.docx", "A 21321-2025")</f>
        <v/>
      </c>
      <c r="Y192">
        <f>HYPERLINK("https://klasma.github.io/Logging_2281/tillsynsmail/A 21321-2025 tillsynsbegäran mail.docx", "A 21321-2025")</f>
        <v/>
      </c>
    </row>
    <row r="193" ht="15" customHeight="1">
      <c r="A193" t="inlineStr">
        <is>
          <t>A 21373-2025</t>
        </is>
      </c>
      <c r="B193" s="1" t="n">
        <v>45782.44880787037</v>
      </c>
      <c r="C193" s="1" t="n">
        <v>46165</v>
      </c>
      <c r="D193" t="inlineStr">
        <is>
          <t>VÄSTERNORRLANDS LÄN</t>
        </is>
      </c>
      <c r="E193" t="inlineStr">
        <is>
          <t>SUNDSVALL</t>
        </is>
      </c>
      <c r="F193" t="inlineStr">
        <is>
          <t>Naturvårdsverket</t>
        </is>
      </c>
      <c r="G193" t="n">
        <v>3.1</v>
      </c>
      <c r="H193" t="n">
        <v>0</v>
      </c>
      <c r="I193" t="n">
        <v>0</v>
      </c>
      <c r="J193" t="n">
        <v>2</v>
      </c>
      <c r="K193" t="n">
        <v>0</v>
      </c>
      <c r="L193" t="n">
        <v>0</v>
      </c>
      <c r="M193" t="n">
        <v>0</v>
      </c>
      <c r="N193" t="n">
        <v>0</v>
      </c>
      <c r="O193" t="n">
        <v>2</v>
      </c>
      <c r="P193" t="n">
        <v>0</v>
      </c>
      <c r="Q193" t="n">
        <v>2</v>
      </c>
      <c r="R193" s="2" t="inlineStr">
        <is>
          <t>Kolflarnlav
Lunglav</t>
        </is>
      </c>
      <c r="S193">
        <f>HYPERLINK("https://klasma.github.io/Logging_2281/artfynd/A 21373-2025 artfynd.xlsx", "A 21373-2025")</f>
        <v/>
      </c>
      <c r="T193">
        <f>HYPERLINK("https://klasma.github.io/Logging_2281/kartor/A 21373-2025 karta.png", "A 21373-2025")</f>
        <v/>
      </c>
      <c r="V193">
        <f>HYPERLINK("https://klasma.github.io/Logging_2281/klagomål/A 21373-2025 FSC-klagomål.docx", "A 21373-2025")</f>
        <v/>
      </c>
      <c r="W193">
        <f>HYPERLINK("https://klasma.github.io/Logging_2281/klagomålsmail/A 21373-2025 FSC-klagomål mail.docx", "A 21373-2025")</f>
        <v/>
      </c>
      <c r="X193">
        <f>HYPERLINK("https://klasma.github.io/Logging_2281/tillsyn/A 21373-2025 tillsynsbegäran.docx", "A 21373-2025")</f>
        <v/>
      </c>
      <c r="Y193">
        <f>HYPERLINK("https://klasma.github.io/Logging_2281/tillsynsmail/A 21373-2025 tillsynsbegäran mail.docx", "A 21373-2025")</f>
        <v/>
      </c>
    </row>
    <row r="194" ht="15" customHeight="1">
      <c r="A194" t="inlineStr">
        <is>
          <t>A 25836-2025</t>
        </is>
      </c>
      <c r="B194" s="1" t="n">
        <v>45804.44865740741</v>
      </c>
      <c r="C194" s="1" t="n">
        <v>46165</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25870-2025</t>
        </is>
      </c>
      <c r="B195" s="1" t="n">
        <v>45804.49010416667</v>
      </c>
      <c r="C195" s="1" t="n">
        <v>46165</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59994-2024</t>
        </is>
      </c>
      <c r="B196" s="1" t="n">
        <v>45642.40677083333</v>
      </c>
      <c r="C196" s="1" t="n">
        <v>46165</v>
      </c>
      <c r="D196" t="inlineStr">
        <is>
          <t>VÄSTERNORRLANDS LÄN</t>
        </is>
      </c>
      <c r="E196" t="inlineStr">
        <is>
          <t>SUNDSVALL</t>
        </is>
      </c>
      <c r="G196" t="n">
        <v>2.1</v>
      </c>
      <c r="H196" t="n">
        <v>0</v>
      </c>
      <c r="I196" t="n">
        <v>0</v>
      </c>
      <c r="J196" t="n">
        <v>2</v>
      </c>
      <c r="K196" t="n">
        <v>0</v>
      </c>
      <c r="L196" t="n">
        <v>0</v>
      </c>
      <c r="M196" t="n">
        <v>0</v>
      </c>
      <c r="N196" t="n">
        <v>0</v>
      </c>
      <c r="O196" t="n">
        <v>2</v>
      </c>
      <c r="P196" t="n">
        <v>0</v>
      </c>
      <c r="Q196" t="n">
        <v>2</v>
      </c>
      <c r="R196" s="2" t="inlineStr">
        <is>
          <t>Rosenticka
Ullticka</t>
        </is>
      </c>
      <c r="S196">
        <f>HYPERLINK("https://klasma.github.io/Logging_2281/artfynd/A 59994-2024 artfynd.xlsx", "A 59994-2024")</f>
        <v/>
      </c>
      <c r="T196">
        <f>HYPERLINK("https://klasma.github.io/Logging_2281/kartor/A 59994-2024 karta.png", "A 59994-2024")</f>
        <v/>
      </c>
      <c r="U196">
        <f>HYPERLINK("https://klasma.github.io/Logging_2281/knärot/A 59994-2024 karta knärot.png", "A 59994-2024")</f>
        <v/>
      </c>
      <c r="V196">
        <f>HYPERLINK("https://klasma.github.io/Logging_2281/klagomål/A 59994-2024 FSC-klagomål.docx", "A 59994-2024")</f>
        <v/>
      </c>
      <c r="W196">
        <f>HYPERLINK("https://klasma.github.io/Logging_2281/klagomålsmail/A 59994-2024 FSC-klagomål mail.docx", "A 59994-2024")</f>
        <v/>
      </c>
      <c r="X196">
        <f>HYPERLINK("https://klasma.github.io/Logging_2281/tillsyn/A 59994-2024 tillsynsbegäran.docx", "A 59994-2024")</f>
        <v/>
      </c>
      <c r="Y196">
        <f>HYPERLINK("https://klasma.github.io/Logging_2281/tillsynsmail/A 59994-2024 tillsynsbegäran mail.docx", "A 59994-2024")</f>
        <v/>
      </c>
    </row>
    <row r="197" ht="15" customHeight="1">
      <c r="A197" t="inlineStr">
        <is>
          <t>A 26834-2025</t>
        </is>
      </c>
      <c r="B197" s="1" t="n">
        <v>45810.65725694445</v>
      </c>
      <c r="C197" s="1" t="n">
        <v>46165</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HYPERLINK("https://klasma.github.io/Logging_2281/artfynd/A 26834-2025 artfynd.xlsx", "A 26834-2025")</f>
        <v/>
      </c>
      <c r="T197">
        <f>HYPERLINK("https://klasma.github.io/Logging_2281/kartor/A 26834-2025 karta.png", "A 26834-2025")</f>
        <v/>
      </c>
      <c r="V197">
        <f>HYPERLINK("https://klasma.github.io/Logging_2281/klagomål/A 26834-2025 FSC-klagomål.docx", "A 26834-2025")</f>
        <v/>
      </c>
      <c r="W197">
        <f>HYPERLINK("https://klasma.github.io/Logging_2281/klagomålsmail/A 26834-2025 FSC-klagomål mail.docx", "A 26834-2025")</f>
        <v/>
      </c>
      <c r="X197">
        <f>HYPERLINK("https://klasma.github.io/Logging_2281/tillsyn/A 26834-2025 tillsynsbegäran.docx", "A 26834-2025")</f>
        <v/>
      </c>
      <c r="Y197">
        <f>HYPERLINK("https://klasma.github.io/Logging_2281/tillsynsmail/A 26834-2025 tillsynsbegäran mail.docx", "A 26834-2025")</f>
        <v/>
      </c>
    </row>
    <row r="198" ht="15" customHeight="1">
      <c r="A198" t="inlineStr">
        <is>
          <t>A 26833-2025</t>
        </is>
      </c>
      <c r="B198" s="1" t="n">
        <v>45810.65706018519</v>
      </c>
      <c r="C198" s="1" t="n">
        <v>46165</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HYPERLINK("https://klasma.github.io/Logging_2281/artfynd/A 26833-2025 artfynd.xlsx", "A 26833-2025")</f>
        <v/>
      </c>
      <c r="T198">
        <f>HYPERLINK("https://klasma.github.io/Logging_2281/kartor/A 26833-2025 karta.png", "A 26833-2025")</f>
        <v/>
      </c>
      <c r="V198">
        <f>HYPERLINK("https://klasma.github.io/Logging_2281/klagomål/A 26833-2025 FSC-klagomål.docx", "A 26833-2025")</f>
        <v/>
      </c>
      <c r="W198">
        <f>HYPERLINK("https://klasma.github.io/Logging_2281/klagomålsmail/A 26833-2025 FSC-klagomål mail.docx", "A 26833-2025")</f>
        <v/>
      </c>
      <c r="X198">
        <f>HYPERLINK("https://klasma.github.io/Logging_2281/tillsyn/A 26833-2025 tillsynsbegäran.docx", "A 26833-2025")</f>
        <v/>
      </c>
      <c r="Y198">
        <f>HYPERLINK("https://klasma.github.io/Logging_2281/tillsynsmail/A 26833-2025 tillsynsbegäran mail.docx", "A 26833-2025")</f>
        <v/>
      </c>
    </row>
    <row r="199" ht="15" customHeight="1">
      <c r="A199" t="inlineStr">
        <is>
          <t>A 6672-2025</t>
        </is>
      </c>
      <c r="B199" s="1" t="n">
        <v>45700.46920138889</v>
      </c>
      <c r="C199" s="1" t="n">
        <v>46165</v>
      </c>
      <c r="D199" t="inlineStr">
        <is>
          <t>VÄSTERNORRLANDS LÄN</t>
        </is>
      </c>
      <c r="E199" t="inlineStr">
        <is>
          <t>SUNDSVALL</t>
        </is>
      </c>
      <c r="G199" t="n">
        <v>2.8</v>
      </c>
      <c r="H199" t="n">
        <v>0</v>
      </c>
      <c r="I199" t="n">
        <v>1</v>
      </c>
      <c r="J199" t="n">
        <v>1</v>
      </c>
      <c r="K199" t="n">
        <v>0</v>
      </c>
      <c r="L199" t="n">
        <v>0</v>
      </c>
      <c r="M199" t="n">
        <v>0</v>
      </c>
      <c r="N199" t="n">
        <v>0</v>
      </c>
      <c r="O199" t="n">
        <v>1</v>
      </c>
      <c r="P199" t="n">
        <v>0</v>
      </c>
      <c r="Q199" t="n">
        <v>2</v>
      </c>
      <c r="R199" s="2" t="inlineStr">
        <is>
          <t>Tallticka
Björksplintborre</t>
        </is>
      </c>
      <c r="S199">
        <f>HYPERLINK("https://klasma.github.io/Logging_2281/artfynd/A 6672-2025 artfynd.xlsx", "A 6672-2025")</f>
        <v/>
      </c>
      <c r="T199">
        <f>HYPERLINK("https://klasma.github.io/Logging_2281/kartor/A 6672-2025 karta.png", "A 6672-2025")</f>
        <v/>
      </c>
      <c r="V199">
        <f>HYPERLINK("https://klasma.github.io/Logging_2281/klagomål/A 6672-2025 FSC-klagomål.docx", "A 6672-2025")</f>
        <v/>
      </c>
      <c r="W199">
        <f>HYPERLINK("https://klasma.github.io/Logging_2281/klagomålsmail/A 6672-2025 FSC-klagomål mail.docx", "A 6672-2025")</f>
        <v/>
      </c>
      <c r="X199">
        <f>HYPERLINK("https://klasma.github.io/Logging_2281/tillsyn/A 6672-2025 tillsynsbegäran.docx", "A 6672-2025")</f>
        <v/>
      </c>
      <c r="Y199">
        <f>HYPERLINK("https://klasma.github.io/Logging_2281/tillsynsmail/A 6672-2025 tillsynsbegäran mail.docx", "A 6672-2025")</f>
        <v/>
      </c>
    </row>
    <row r="200" ht="15" customHeight="1">
      <c r="A200" t="inlineStr">
        <is>
          <t>A 74384-2021</t>
        </is>
      </c>
      <c r="B200" s="1" t="n">
        <v>44559</v>
      </c>
      <c r="C200" s="1" t="n">
        <v>46165</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46165</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46165</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46165</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46165</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13347-2024</t>
        </is>
      </c>
      <c r="B205" s="1" t="n">
        <v>45386</v>
      </c>
      <c r="C205" s="1" t="n">
        <v>46165</v>
      </c>
      <c r="D205" t="inlineStr">
        <is>
          <t>VÄSTERNORRLANDS LÄN</t>
        </is>
      </c>
      <c r="E205" t="inlineStr">
        <is>
          <t>SUNDSVALL</t>
        </is>
      </c>
      <c r="G205" t="n">
        <v>1.6</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13347-2024 artfynd.xlsx", "A 13347-2024")</f>
        <v/>
      </c>
      <c r="T205">
        <f>HYPERLINK("https://klasma.github.io/Logging_2281/kartor/A 13347-2024 karta.png", "A 13347-2024")</f>
        <v/>
      </c>
      <c r="V205">
        <f>HYPERLINK("https://klasma.github.io/Logging_2281/klagomål/A 13347-2024 FSC-klagomål.docx", "A 13347-2024")</f>
        <v/>
      </c>
      <c r="W205">
        <f>HYPERLINK("https://klasma.github.io/Logging_2281/klagomålsmail/A 13347-2024 FSC-klagomål mail.docx", "A 13347-2024")</f>
        <v/>
      </c>
      <c r="X205">
        <f>HYPERLINK("https://klasma.github.io/Logging_2281/tillsyn/A 13347-2024 tillsynsbegäran.docx", "A 13347-2024")</f>
        <v/>
      </c>
      <c r="Y205">
        <f>HYPERLINK("https://klasma.github.io/Logging_2281/tillsynsmail/A 13347-2024 tillsynsbegäran mail.docx", "A 13347-2024")</f>
        <v/>
      </c>
      <c r="Z205">
        <f>HYPERLINK("https://klasma.github.io/Logging_2281/fåglar/A 13347-2024 prioriterade fågelarter.docx", "A 13347-2024")</f>
        <v/>
      </c>
    </row>
    <row r="206" ht="15" customHeight="1">
      <c r="A206" t="inlineStr">
        <is>
          <t>A 3924-2025</t>
        </is>
      </c>
      <c r="B206" s="1" t="n">
        <v>45684.44851851852</v>
      </c>
      <c r="C206" s="1" t="n">
        <v>46165</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51737-2023</t>
        </is>
      </c>
      <c r="B207" s="1" t="n">
        <v>45222</v>
      </c>
      <c r="C207" s="1" t="n">
        <v>46165</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46165</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20277-2024</t>
        </is>
      </c>
      <c r="B209" s="1" t="n">
        <v>45434</v>
      </c>
      <c r="C209" s="1" t="n">
        <v>46165</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Vedticka</t>
        </is>
      </c>
      <c r="S209">
        <f>HYPERLINK("https://klasma.github.io/Logging_2281/artfynd/A 20277-2024 artfynd.xlsx", "A 20277-2024")</f>
        <v/>
      </c>
      <c r="T209">
        <f>HYPERLINK("https://klasma.github.io/Logging_2281/kartor/A 20277-2024 karta.png", "A 20277-2024")</f>
        <v/>
      </c>
      <c r="V209">
        <f>HYPERLINK("https://klasma.github.io/Logging_2281/klagomål/A 20277-2024 FSC-klagomål.docx", "A 20277-2024")</f>
        <v/>
      </c>
      <c r="W209">
        <f>HYPERLINK("https://klasma.github.io/Logging_2281/klagomålsmail/A 20277-2024 FSC-klagomål mail.docx", "A 20277-2024")</f>
        <v/>
      </c>
      <c r="X209">
        <f>HYPERLINK("https://klasma.github.io/Logging_2281/tillsyn/A 20277-2024 tillsynsbegäran.docx", "A 20277-2024")</f>
        <v/>
      </c>
      <c r="Y209">
        <f>HYPERLINK("https://klasma.github.io/Logging_2281/tillsynsmail/A 20277-2024 tillsynsbegäran mail.docx", "A 20277-2024")</f>
        <v/>
      </c>
    </row>
    <row r="210" ht="15" customHeight="1">
      <c r="A210" t="inlineStr">
        <is>
          <t>A 20075-2025</t>
        </is>
      </c>
      <c r="B210" s="1" t="n">
        <v>45772.44855324074</v>
      </c>
      <c r="C210" s="1" t="n">
        <v>46165</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19762-2025</t>
        </is>
      </c>
      <c r="B211" s="1" t="n">
        <v>45771.40686342592</v>
      </c>
      <c r="C211" s="1" t="n">
        <v>46165</v>
      </c>
      <c r="D211" t="inlineStr">
        <is>
          <t>VÄSTERNORRLANDS LÄN</t>
        </is>
      </c>
      <c r="E211" t="inlineStr">
        <is>
          <t>SUNDSVALL</t>
        </is>
      </c>
      <c r="F211" t="inlineStr">
        <is>
          <t>Naturvårdsverket</t>
        </is>
      </c>
      <c r="G211" t="n">
        <v>2.3</v>
      </c>
      <c r="H211" t="n">
        <v>0</v>
      </c>
      <c r="I211" t="n">
        <v>1</v>
      </c>
      <c r="J211" t="n">
        <v>0</v>
      </c>
      <c r="K211" t="n">
        <v>0</v>
      </c>
      <c r="L211" t="n">
        <v>0</v>
      </c>
      <c r="M211" t="n">
        <v>0</v>
      </c>
      <c r="N211" t="n">
        <v>0</v>
      </c>
      <c r="O211" t="n">
        <v>0</v>
      </c>
      <c r="P211" t="n">
        <v>0</v>
      </c>
      <c r="Q211" t="n">
        <v>1</v>
      </c>
      <c r="R211" s="2" t="inlineStr">
        <is>
          <t>Barkticka</t>
        </is>
      </c>
      <c r="S211">
        <f>HYPERLINK("https://klasma.github.io/Logging_2281/artfynd/A 19762-2025 artfynd.xlsx", "A 19762-2025")</f>
        <v/>
      </c>
      <c r="T211">
        <f>HYPERLINK("https://klasma.github.io/Logging_2281/kartor/A 19762-2025 karta.png", "A 19762-2025")</f>
        <v/>
      </c>
      <c r="V211">
        <f>HYPERLINK("https://klasma.github.io/Logging_2281/klagomål/A 19762-2025 FSC-klagomål.docx", "A 19762-2025")</f>
        <v/>
      </c>
      <c r="W211">
        <f>HYPERLINK("https://klasma.github.io/Logging_2281/klagomålsmail/A 19762-2025 FSC-klagomål mail.docx", "A 19762-2025")</f>
        <v/>
      </c>
      <c r="X211">
        <f>HYPERLINK("https://klasma.github.io/Logging_2281/tillsyn/A 19762-2025 tillsynsbegäran.docx", "A 19762-2025")</f>
        <v/>
      </c>
      <c r="Y211">
        <f>HYPERLINK("https://klasma.github.io/Logging_2281/tillsynsmail/A 19762-2025 tillsynsbegäran mail.docx", "A 19762-2025")</f>
        <v/>
      </c>
    </row>
    <row r="212" ht="15" customHeight="1">
      <c r="A212" t="inlineStr">
        <is>
          <t>A 58186-2022</t>
        </is>
      </c>
      <c r="B212" s="1" t="n">
        <v>44900</v>
      </c>
      <c r="C212" s="1" t="n">
        <v>46165</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46165</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16557-2026</t>
        </is>
      </c>
      <c r="B214" s="1" t="n">
        <v>46112.55262731481</v>
      </c>
      <c r="C214" s="1" t="n">
        <v>46165</v>
      </c>
      <c r="D214" t="inlineStr">
        <is>
          <t>VÄSTERNORRLANDS LÄN</t>
        </is>
      </c>
      <c r="E214" t="inlineStr">
        <is>
          <t>SUNDSVALL</t>
        </is>
      </c>
      <c r="F214" t="inlineStr">
        <is>
          <t>SCA</t>
        </is>
      </c>
      <c r="G214" t="n">
        <v>3.9</v>
      </c>
      <c r="H214" t="n">
        <v>0</v>
      </c>
      <c r="I214" t="n">
        <v>1</v>
      </c>
      <c r="J214" t="n">
        <v>0</v>
      </c>
      <c r="K214" t="n">
        <v>0</v>
      </c>
      <c r="L214" t="n">
        <v>0</v>
      </c>
      <c r="M214" t="n">
        <v>0</v>
      </c>
      <c r="N214" t="n">
        <v>0</v>
      </c>
      <c r="O214" t="n">
        <v>0</v>
      </c>
      <c r="P214" t="n">
        <v>0</v>
      </c>
      <c r="Q214" t="n">
        <v>1</v>
      </c>
      <c r="R214" s="2" t="inlineStr">
        <is>
          <t>Fjällig taggsvamp s.str.</t>
        </is>
      </c>
      <c r="S214">
        <f>HYPERLINK("https://klasma.github.io/Logging_2281/artfynd/A 16557-2026 artfynd.xlsx", "A 16557-2026")</f>
        <v/>
      </c>
      <c r="T214">
        <f>HYPERLINK("https://klasma.github.io/Logging_2281/kartor/A 16557-2026 karta.png", "A 16557-2026")</f>
        <v/>
      </c>
      <c r="V214">
        <f>HYPERLINK("https://klasma.github.io/Logging_2281/klagomål/A 16557-2026 FSC-klagomål.docx", "A 16557-2026")</f>
        <v/>
      </c>
      <c r="W214">
        <f>HYPERLINK("https://klasma.github.io/Logging_2281/klagomålsmail/A 16557-2026 FSC-klagomål mail.docx", "A 16557-2026")</f>
        <v/>
      </c>
      <c r="X214">
        <f>HYPERLINK("https://klasma.github.io/Logging_2281/tillsyn/A 16557-2026 tillsynsbegäran.docx", "A 16557-2026")</f>
        <v/>
      </c>
      <c r="Y214">
        <f>HYPERLINK("https://klasma.github.io/Logging_2281/tillsynsmail/A 16557-2026 tillsynsbegäran mail.docx", "A 16557-2026")</f>
        <v/>
      </c>
    </row>
    <row r="215" ht="15" customHeight="1">
      <c r="A215" t="inlineStr">
        <is>
          <t>A 25791-2025</t>
        </is>
      </c>
      <c r="B215" s="1" t="n">
        <v>45804.38903935185</v>
      </c>
      <c r="C215" s="1" t="n">
        <v>46165</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7704-2026</t>
        </is>
      </c>
      <c r="B216" s="1" t="n">
        <v>46062.46886574074</v>
      </c>
      <c r="C216" s="1" t="n">
        <v>46165</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7704-2026 artfynd.xlsx", "A 7704-2026")</f>
        <v/>
      </c>
      <c r="T216">
        <f>HYPERLINK("https://klasma.github.io/Logging_2281/kartor/A 7704-2026 karta.png", "A 7704-2026")</f>
        <v/>
      </c>
      <c r="V216">
        <f>HYPERLINK("https://klasma.github.io/Logging_2281/klagomål/A 7704-2026 FSC-klagomål.docx", "A 7704-2026")</f>
        <v/>
      </c>
      <c r="W216">
        <f>HYPERLINK("https://klasma.github.io/Logging_2281/klagomålsmail/A 7704-2026 FSC-klagomål mail.docx", "A 7704-2026")</f>
        <v/>
      </c>
      <c r="X216">
        <f>HYPERLINK("https://klasma.github.io/Logging_2281/tillsyn/A 7704-2026 tillsynsbegäran.docx", "A 7704-2026")</f>
        <v/>
      </c>
      <c r="Y216">
        <f>HYPERLINK("https://klasma.github.io/Logging_2281/tillsynsmail/A 7704-2026 tillsynsbegäran mail.docx", "A 7704-2026")</f>
        <v/>
      </c>
      <c r="Z216">
        <f>HYPERLINK("https://klasma.github.io/Logging_2281/fåglar/A 7704-2026 prioriterade fågelarter.docx", "A 7704-2026")</f>
        <v/>
      </c>
    </row>
    <row r="217" ht="15" customHeight="1">
      <c r="A217" t="inlineStr">
        <is>
          <t>A 18347-2023</t>
        </is>
      </c>
      <c r="B217" s="1" t="n">
        <v>45040</v>
      </c>
      <c r="C217" s="1" t="n">
        <v>46165</v>
      </c>
      <c r="D217" t="inlineStr">
        <is>
          <t>VÄSTERNORRLANDS LÄN</t>
        </is>
      </c>
      <c r="E217" t="inlineStr">
        <is>
          <t>SUNDSVALL</t>
        </is>
      </c>
      <c r="G217" t="n">
        <v>16.7</v>
      </c>
      <c r="H217" t="n">
        <v>0</v>
      </c>
      <c r="I217" t="n">
        <v>0</v>
      </c>
      <c r="J217" t="n">
        <v>1</v>
      </c>
      <c r="K217" t="n">
        <v>0</v>
      </c>
      <c r="L217" t="n">
        <v>0</v>
      </c>
      <c r="M217" t="n">
        <v>0</v>
      </c>
      <c r="N217" t="n">
        <v>0</v>
      </c>
      <c r="O217" t="n">
        <v>1</v>
      </c>
      <c r="P217" t="n">
        <v>0</v>
      </c>
      <c r="Q217" t="n">
        <v>1</v>
      </c>
      <c r="R217" s="2" t="inlineStr">
        <is>
          <t>Garnlav</t>
        </is>
      </c>
      <c r="S217">
        <f>HYPERLINK("https://klasma.github.io/Logging_2281/artfynd/A 18347-2023 artfynd.xlsx", "A 18347-2023")</f>
        <v/>
      </c>
      <c r="T217">
        <f>HYPERLINK("https://klasma.github.io/Logging_2281/kartor/A 18347-2023 karta.png", "A 18347-2023")</f>
        <v/>
      </c>
      <c r="V217">
        <f>HYPERLINK("https://klasma.github.io/Logging_2281/klagomål/A 18347-2023 FSC-klagomål.docx", "A 18347-2023")</f>
        <v/>
      </c>
      <c r="W217">
        <f>HYPERLINK("https://klasma.github.io/Logging_2281/klagomålsmail/A 18347-2023 FSC-klagomål mail.docx", "A 18347-2023")</f>
        <v/>
      </c>
      <c r="X217">
        <f>HYPERLINK("https://klasma.github.io/Logging_2281/tillsyn/A 18347-2023 tillsynsbegäran.docx", "A 18347-2023")</f>
        <v/>
      </c>
      <c r="Y217">
        <f>HYPERLINK("https://klasma.github.io/Logging_2281/tillsynsmail/A 18347-2023 tillsynsbegäran mail.docx", "A 18347-2023")</f>
        <v/>
      </c>
    </row>
    <row r="218" ht="15" customHeight="1">
      <c r="A218" t="inlineStr">
        <is>
          <t>A 37564-2025</t>
        </is>
      </c>
      <c r="B218" s="1" t="n">
        <v>45880</v>
      </c>
      <c r="C218" s="1" t="n">
        <v>46165</v>
      </c>
      <c r="D218" t="inlineStr">
        <is>
          <t>VÄSTERNORRLANDS LÄN</t>
        </is>
      </c>
      <c r="E218" t="inlineStr">
        <is>
          <t>SUNDSVALL</t>
        </is>
      </c>
      <c r="G218" t="n">
        <v>4</v>
      </c>
      <c r="H218" t="n">
        <v>1</v>
      </c>
      <c r="I218" t="n">
        <v>1</v>
      </c>
      <c r="J218" t="n">
        <v>0</v>
      </c>
      <c r="K218" t="n">
        <v>0</v>
      </c>
      <c r="L218" t="n">
        <v>0</v>
      </c>
      <c r="M218" t="n">
        <v>0</v>
      </c>
      <c r="N218" t="n">
        <v>0</v>
      </c>
      <c r="O218" t="n">
        <v>0</v>
      </c>
      <c r="P218" t="n">
        <v>0</v>
      </c>
      <c r="Q218" t="n">
        <v>1</v>
      </c>
      <c r="R218" s="2" t="inlineStr">
        <is>
          <t>Korallrot</t>
        </is>
      </c>
      <c r="S218">
        <f>HYPERLINK("https://klasma.github.io/Logging_2281/artfynd/A 37564-2025 artfynd.xlsx", "A 37564-2025")</f>
        <v/>
      </c>
      <c r="T218">
        <f>HYPERLINK("https://klasma.github.io/Logging_2281/kartor/A 37564-2025 karta.png", "A 37564-2025")</f>
        <v/>
      </c>
      <c r="V218">
        <f>HYPERLINK("https://klasma.github.io/Logging_2281/klagomål/A 37564-2025 FSC-klagomål.docx", "A 37564-2025")</f>
        <v/>
      </c>
      <c r="W218">
        <f>HYPERLINK("https://klasma.github.io/Logging_2281/klagomålsmail/A 37564-2025 FSC-klagomål mail.docx", "A 37564-2025")</f>
        <v/>
      </c>
      <c r="X218">
        <f>HYPERLINK("https://klasma.github.io/Logging_2281/tillsyn/A 37564-2025 tillsynsbegäran.docx", "A 37564-2025")</f>
        <v/>
      </c>
      <c r="Y218">
        <f>HYPERLINK("https://klasma.github.io/Logging_2281/tillsynsmail/A 37564-2025 tillsynsbegäran mail.docx", "A 37564-2025")</f>
        <v/>
      </c>
    </row>
    <row r="219" ht="15" customHeight="1">
      <c r="A219" t="inlineStr">
        <is>
          <t>A 3347-2025</t>
        </is>
      </c>
      <c r="B219" s="1" t="n">
        <v>45679.78429398148</v>
      </c>
      <c r="C219" s="1" t="n">
        <v>46165</v>
      </c>
      <c r="D219" t="inlineStr">
        <is>
          <t>VÄSTERNORRLANDS LÄN</t>
        </is>
      </c>
      <c r="E219" t="inlineStr">
        <is>
          <t>SUNDSVALL</t>
        </is>
      </c>
      <c r="G219" t="n">
        <v>20.7</v>
      </c>
      <c r="H219" t="n">
        <v>0</v>
      </c>
      <c r="I219" t="n">
        <v>0</v>
      </c>
      <c r="J219" t="n">
        <v>1</v>
      </c>
      <c r="K219" t="n">
        <v>0</v>
      </c>
      <c r="L219" t="n">
        <v>0</v>
      </c>
      <c r="M219" t="n">
        <v>0</v>
      </c>
      <c r="N219" t="n">
        <v>0</v>
      </c>
      <c r="O219" t="n">
        <v>1</v>
      </c>
      <c r="P219" t="n">
        <v>0</v>
      </c>
      <c r="Q219" t="n">
        <v>1</v>
      </c>
      <c r="R219" s="2" t="inlineStr">
        <is>
          <t>Lunglav</t>
        </is>
      </c>
      <c r="S219">
        <f>HYPERLINK("https://klasma.github.io/Logging_2281/artfynd/A 3347-2025 artfynd.xlsx", "A 3347-2025")</f>
        <v/>
      </c>
      <c r="T219">
        <f>HYPERLINK("https://klasma.github.io/Logging_2281/kartor/A 3347-2025 karta.png", "A 3347-2025")</f>
        <v/>
      </c>
      <c r="V219">
        <f>HYPERLINK("https://klasma.github.io/Logging_2281/klagomål/A 3347-2025 FSC-klagomål.docx", "A 3347-2025")</f>
        <v/>
      </c>
      <c r="W219">
        <f>HYPERLINK("https://klasma.github.io/Logging_2281/klagomålsmail/A 3347-2025 FSC-klagomål mail.docx", "A 3347-2025")</f>
        <v/>
      </c>
      <c r="X219">
        <f>HYPERLINK("https://klasma.github.io/Logging_2281/tillsyn/A 3347-2025 tillsynsbegäran.docx", "A 3347-2025")</f>
        <v/>
      </c>
      <c r="Y219">
        <f>HYPERLINK("https://klasma.github.io/Logging_2281/tillsynsmail/A 3347-2025 tillsynsbegäran mail.docx", "A 3347-2025")</f>
        <v/>
      </c>
    </row>
    <row r="220" ht="15" customHeight="1">
      <c r="A220" t="inlineStr">
        <is>
          <t>A 11146-2025</t>
        </is>
      </c>
      <c r="B220" s="1" t="n">
        <v>45723.6775</v>
      </c>
      <c r="C220" s="1" t="n">
        <v>46165</v>
      </c>
      <c r="D220" t="inlineStr">
        <is>
          <t>VÄSTERNORRLANDS LÄN</t>
        </is>
      </c>
      <c r="E220" t="inlineStr">
        <is>
          <t>SUNDSVALL</t>
        </is>
      </c>
      <c r="F220" t="inlineStr">
        <is>
          <t>SCA</t>
        </is>
      </c>
      <c r="G220" t="n">
        <v>17.4</v>
      </c>
      <c r="H220" t="n">
        <v>0</v>
      </c>
      <c r="I220" t="n">
        <v>0</v>
      </c>
      <c r="J220" t="n">
        <v>1</v>
      </c>
      <c r="K220" t="n">
        <v>0</v>
      </c>
      <c r="L220" t="n">
        <v>0</v>
      </c>
      <c r="M220" t="n">
        <v>0</v>
      </c>
      <c r="N220" t="n">
        <v>0</v>
      </c>
      <c r="O220" t="n">
        <v>1</v>
      </c>
      <c r="P220" t="n">
        <v>0</v>
      </c>
      <c r="Q220" t="n">
        <v>1</v>
      </c>
      <c r="R220" s="2" t="inlineStr">
        <is>
          <t>Skogshare</t>
        </is>
      </c>
      <c r="S220">
        <f>HYPERLINK("https://klasma.github.io/Logging_2281/artfynd/A 11146-2025 artfynd.xlsx", "A 11146-2025")</f>
        <v/>
      </c>
      <c r="T220">
        <f>HYPERLINK("https://klasma.github.io/Logging_2281/kartor/A 11146-2025 karta.png", "A 11146-2025")</f>
        <v/>
      </c>
      <c r="V220">
        <f>HYPERLINK("https://klasma.github.io/Logging_2281/klagomål/A 11146-2025 FSC-klagomål.docx", "A 11146-2025")</f>
        <v/>
      </c>
      <c r="W220">
        <f>HYPERLINK("https://klasma.github.io/Logging_2281/klagomålsmail/A 11146-2025 FSC-klagomål mail.docx", "A 11146-2025")</f>
        <v/>
      </c>
      <c r="X220">
        <f>HYPERLINK("https://klasma.github.io/Logging_2281/tillsyn/A 11146-2025 tillsynsbegäran.docx", "A 11146-2025")</f>
        <v/>
      </c>
      <c r="Y220">
        <f>HYPERLINK("https://klasma.github.io/Logging_2281/tillsynsmail/A 11146-2025 tillsynsbegäran mail.docx", "A 11146-2025")</f>
        <v/>
      </c>
    </row>
    <row r="221" ht="15" customHeight="1">
      <c r="A221" t="inlineStr">
        <is>
          <t>A 38206-2025</t>
        </is>
      </c>
      <c r="B221" s="1" t="n">
        <v>45882.6987037037</v>
      </c>
      <c r="C221" s="1" t="n">
        <v>46165</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43362-2025</t>
        </is>
      </c>
      <c r="B222" s="1" t="n">
        <v>45911</v>
      </c>
      <c r="C222" s="1" t="n">
        <v>46165</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37057-2021</t>
        </is>
      </c>
      <c r="B223" s="1" t="n">
        <v>44393.93881944445</v>
      </c>
      <c r="C223" s="1" t="n">
        <v>46165</v>
      </c>
      <c r="D223" t="inlineStr">
        <is>
          <t>VÄSTERNORRLANDS LÄN</t>
        </is>
      </c>
      <c r="E223" t="inlineStr">
        <is>
          <t>SUNDSVALL</t>
        </is>
      </c>
      <c r="F223" t="inlineStr">
        <is>
          <t>SCA</t>
        </is>
      </c>
      <c r="G223" t="n">
        <v>9.800000000000001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37057-2021 artfynd.xlsx", "A 37057-2021")</f>
        <v/>
      </c>
      <c r="T223">
        <f>HYPERLINK("https://klasma.github.io/Logging_2281/kartor/A 37057-2021 karta.png", "A 37057-2021")</f>
        <v/>
      </c>
      <c r="V223">
        <f>HYPERLINK("https://klasma.github.io/Logging_2281/klagomål/A 37057-2021 FSC-klagomål.docx", "A 37057-2021")</f>
        <v/>
      </c>
      <c r="W223">
        <f>HYPERLINK("https://klasma.github.io/Logging_2281/klagomålsmail/A 37057-2021 FSC-klagomål mail.docx", "A 37057-2021")</f>
        <v/>
      </c>
      <c r="X223">
        <f>HYPERLINK("https://klasma.github.io/Logging_2281/tillsyn/A 37057-2021 tillsynsbegäran.docx", "A 37057-2021")</f>
        <v/>
      </c>
      <c r="Y223">
        <f>HYPERLINK("https://klasma.github.io/Logging_2281/tillsynsmail/A 37057-2021 tillsynsbegäran mail.docx", "A 37057-2021")</f>
        <v/>
      </c>
      <c r="Z223">
        <f>HYPERLINK("https://klasma.github.io/Logging_2281/fåglar/A 37057-2021 prioriterade fågelarter.docx", "A 37057-2021")</f>
        <v/>
      </c>
    </row>
    <row r="224" ht="15" customHeight="1">
      <c r="A224" t="inlineStr">
        <is>
          <t>A 44276-2025</t>
        </is>
      </c>
      <c r="B224" s="1" t="n">
        <v>45916.34459490741</v>
      </c>
      <c r="C224" s="1" t="n">
        <v>46165</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Garnlav</t>
        </is>
      </c>
      <c r="S224">
        <f>HYPERLINK("https://klasma.github.io/Logging_2281/artfynd/A 44276-2025 artfynd.xlsx", "A 44276-2025")</f>
        <v/>
      </c>
      <c r="T224">
        <f>HYPERLINK("https://klasma.github.io/Logging_2281/kartor/A 44276-2025 karta.png", "A 44276-2025")</f>
        <v/>
      </c>
      <c r="V224">
        <f>HYPERLINK("https://klasma.github.io/Logging_2281/klagomål/A 44276-2025 FSC-klagomål.docx", "A 44276-2025")</f>
        <v/>
      </c>
      <c r="W224">
        <f>HYPERLINK("https://klasma.github.io/Logging_2281/klagomålsmail/A 44276-2025 FSC-klagomål mail.docx", "A 44276-2025")</f>
        <v/>
      </c>
      <c r="X224">
        <f>HYPERLINK("https://klasma.github.io/Logging_2281/tillsyn/A 44276-2025 tillsynsbegäran.docx", "A 44276-2025")</f>
        <v/>
      </c>
      <c r="Y224">
        <f>HYPERLINK("https://klasma.github.io/Logging_2281/tillsynsmail/A 44276-2025 tillsynsbegäran mail.docx", "A 44276-2025")</f>
        <v/>
      </c>
    </row>
    <row r="225" ht="15" customHeight="1">
      <c r="A225" t="inlineStr">
        <is>
          <t>A 27320-2024</t>
        </is>
      </c>
      <c r="B225" s="1" t="n">
        <v>45471</v>
      </c>
      <c r="C225" s="1" t="n">
        <v>46165</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45500-2025</t>
        </is>
      </c>
      <c r="B226" s="1" t="n">
        <v>45922.57185185186</v>
      </c>
      <c r="C226" s="1" t="n">
        <v>46165</v>
      </c>
      <c r="D226" t="inlineStr">
        <is>
          <t>VÄSTERNORRLANDS LÄN</t>
        </is>
      </c>
      <c r="E226" t="inlineStr">
        <is>
          <t>SUNDSVALL</t>
        </is>
      </c>
      <c r="G226" t="n">
        <v>4.5</v>
      </c>
      <c r="H226" t="n">
        <v>1</v>
      </c>
      <c r="I226" t="n">
        <v>0</v>
      </c>
      <c r="J226" t="n">
        <v>0</v>
      </c>
      <c r="K226" t="n">
        <v>0</v>
      </c>
      <c r="L226" t="n">
        <v>0</v>
      </c>
      <c r="M226" t="n">
        <v>0</v>
      </c>
      <c r="N226" t="n">
        <v>0</v>
      </c>
      <c r="O226" t="n">
        <v>0</v>
      </c>
      <c r="P226" t="n">
        <v>0</v>
      </c>
      <c r="Q226" t="n">
        <v>1</v>
      </c>
      <c r="R226" s="2" t="inlineStr">
        <is>
          <t>Revlummer</t>
        </is>
      </c>
      <c r="S226">
        <f>HYPERLINK("https://klasma.github.io/Logging_2281/artfynd/A 45500-2025 artfynd.xlsx", "A 45500-2025")</f>
        <v/>
      </c>
      <c r="T226">
        <f>HYPERLINK("https://klasma.github.io/Logging_2281/kartor/A 45500-2025 karta.png", "A 45500-2025")</f>
        <v/>
      </c>
      <c r="V226">
        <f>HYPERLINK("https://klasma.github.io/Logging_2281/klagomål/A 45500-2025 FSC-klagomål.docx", "A 45500-2025")</f>
        <v/>
      </c>
      <c r="W226">
        <f>HYPERLINK("https://klasma.github.io/Logging_2281/klagomålsmail/A 45500-2025 FSC-klagomål mail.docx", "A 45500-2025")</f>
        <v/>
      </c>
      <c r="X226">
        <f>HYPERLINK("https://klasma.github.io/Logging_2281/tillsyn/A 45500-2025 tillsynsbegäran.docx", "A 45500-2025")</f>
        <v/>
      </c>
      <c r="Y226">
        <f>HYPERLINK("https://klasma.github.io/Logging_2281/tillsynsmail/A 45500-2025 tillsynsbegäran mail.docx", "A 45500-2025")</f>
        <v/>
      </c>
    </row>
    <row r="227" ht="15" customHeight="1">
      <c r="A227" t="inlineStr">
        <is>
          <t>A 46253-2025</t>
        </is>
      </c>
      <c r="B227" s="1" t="n">
        <v>45925</v>
      </c>
      <c r="C227" s="1" t="n">
        <v>46165</v>
      </c>
      <c r="D227" t="inlineStr">
        <is>
          <t>VÄSTERNORRLANDS LÄN</t>
        </is>
      </c>
      <c r="E227" t="inlineStr">
        <is>
          <t>SUNDSVALL</t>
        </is>
      </c>
      <c r="F227" t="inlineStr">
        <is>
          <t>Naturvårdsverket</t>
        </is>
      </c>
      <c r="G227" t="n">
        <v>19.4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46253-2025 artfynd.xlsx", "A 46253-2025")</f>
        <v/>
      </c>
      <c r="T227">
        <f>HYPERLINK("https://klasma.github.io/Logging_2281/kartor/A 46253-2025 karta.png", "A 46253-2025")</f>
        <v/>
      </c>
      <c r="V227">
        <f>HYPERLINK("https://klasma.github.io/Logging_2281/klagomål/A 46253-2025 FSC-klagomål.docx", "A 46253-2025")</f>
        <v/>
      </c>
      <c r="W227">
        <f>HYPERLINK("https://klasma.github.io/Logging_2281/klagomålsmail/A 46253-2025 FSC-klagomål mail.docx", "A 46253-2025")</f>
        <v/>
      </c>
      <c r="X227">
        <f>HYPERLINK("https://klasma.github.io/Logging_2281/tillsyn/A 46253-2025 tillsynsbegäran.docx", "A 46253-2025")</f>
        <v/>
      </c>
      <c r="Y227">
        <f>HYPERLINK("https://klasma.github.io/Logging_2281/tillsynsmail/A 46253-2025 tillsynsbegäran mail.docx", "A 46253-2025")</f>
        <v/>
      </c>
      <c r="Z227">
        <f>HYPERLINK("https://klasma.github.io/Logging_2281/fåglar/A 46253-2025 prioriterade fågelarter.docx", "A 46253-2025")</f>
        <v/>
      </c>
    </row>
    <row r="228" ht="15" customHeight="1">
      <c r="A228" t="inlineStr">
        <is>
          <t>A 1220-2023</t>
        </is>
      </c>
      <c r="B228" s="1" t="n">
        <v>44935</v>
      </c>
      <c r="C228" s="1" t="n">
        <v>46165</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41118-2025</t>
        </is>
      </c>
      <c r="B229" s="1" t="n">
        <v>45898</v>
      </c>
      <c r="C229" s="1" t="n">
        <v>46165</v>
      </c>
      <c r="D229" t="inlineStr">
        <is>
          <t>VÄSTERNORRLANDS LÄN</t>
        </is>
      </c>
      <c r="E229" t="inlineStr">
        <is>
          <t>SUNDSVALL</t>
        </is>
      </c>
      <c r="G229" t="n">
        <v>3.4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41118-2025 artfynd.xlsx", "A 41118-2025")</f>
        <v/>
      </c>
      <c r="T229">
        <f>HYPERLINK("https://klasma.github.io/Logging_2281/kartor/A 41118-2025 karta.png", "A 41118-2025")</f>
        <v/>
      </c>
      <c r="V229">
        <f>HYPERLINK("https://klasma.github.io/Logging_2281/klagomål/A 41118-2025 FSC-klagomål.docx", "A 41118-2025")</f>
        <v/>
      </c>
      <c r="W229">
        <f>HYPERLINK("https://klasma.github.io/Logging_2281/klagomålsmail/A 41118-2025 FSC-klagomål mail.docx", "A 41118-2025")</f>
        <v/>
      </c>
      <c r="X229">
        <f>HYPERLINK("https://klasma.github.io/Logging_2281/tillsyn/A 41118-2025 tillsynsbegäran.docx", "A 41118-2025")</f>
        <v/>
      </c>
      <c r="Y229">
        <f>HYPERLINK("https://klasma.github.io/Logging_2281/tillsynsmail/A 41118-2025 tillsynsbegäran mail.docx", "A 41118-2025")</f>
        <v/>
      </c>
      <c r="Z229">
        <f>HYPERLINK("https://klasma.github.io/Logging_2281/fåglar/A 41118-2025 prioriterade fågelarter.docx", "A 41118-2025")</f>
        <v/>
      </c>
    </row>
    <row r="230" ht="15" customHeight="1">
      <c r="A230" t="inlineStr">
        <is>
          <t>A 49554-2025</t>
        </is>
      </c>
      <c r="B230" s="1" t="n">
        <v>45939.44833333333</v>
      </c>
      <c r="C230" s="1" t="n">
        <v>46165</v>
      </c>
      <c r="D230" t="inlineStr">
        <is>
          <t>VÄSTERNORRLANDS LÄN</t>
        </is>
      </c>
      <c r="E230" t="inlineStr">
        <is>
          <t>SUNDSVALL</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HYPERLINK("https://klasma.github.io/Logging_2281/artfynd/A 49554-2025 artfynd.xlsx", "A 49554-2025")</f>
        <v/>
      </c>
      <c r="T230">
        <f>HYPERLINK("https://klasma.github.io/Logging_2281/kartor/A 49554-2025 karta.png", "A 49554-2025")</f>
        <v/>
      </c>
      <c r="V230">
        <f>HYPERLINK("https://klasma.github.io/Logging_2281/klagomål/A 49554-2025 FSC-klagomål.docx", "A 49554-2025")</f>
        <v/>
      </c>
      <c r="W230">
        <f>HYPERLINK("https://klasma.github.io/Logging_2281/klagomålsmail/A 49554-2025 FSC-klagomål mail.docx", "A 49554-2025")</f>
        <v/>
      </c>
      <c r="X230">
        <f>HYPERLINK("https://klasma.github.io/Logging_2281/tillsyn/A 49554-2025 tillsynsbegäran.docx", "A 49554-2025")</f>
        <v/>
      </c>
      <c r="Y230">
        <f>HYPERLINK("https://klasma.github.io/Logging_2281/tillsynsmail/A 49554-2025 tillsynsbegäran mail.docx", "A 49554-2025")</f>
        <v/>
      </c>
    </row>
    <row r="231" ht="15" customHeight="1">
      <c r="A231" t="inlineStr">
        <is>
          <t>A 49626-2025</t>
        </is>
      </c>
      <c r="B231" s="1" t="n">
        <v>45939.59484953704</v>
      </c>
      <c r="C231" s="1" t="n">
        <v>46165</v>
      </c>
      <c r="D231" t="inlineStr">
        <is>
          <t>VÄSTERNORRLANDS LÄN</t>
        </is>
      </c>
      <c r="E231" t="inlineStr">
        <is>
          <t>SUNDSVALL</t>
        </is>
      </c>
      <c r="G231" t="n">
        <v>4</v>
      </c>
      <c r="H231" t="n">
        <v>0</v>
      </c>
      <c r="I231" t="n">
        <v>0</v>
      </c>
      <c r="J231" t="n">
        <v>1</v>
      </c>
      <c r="K231" t="n">
        <v>0</v>
      </c>
      <c r="L231" t="n">
        <v>0</v>
      </c>
      <c r="M231" t="n">
        <v>0</v>
      </c>
      <c r="N231" t="n">
        <v>0</v>
      </c>
      <c r="O231" t="n">
        <v>1</v>
      </c>
      <c r="P231" t="n">
        <v>0</v>
      </c>
      <c r="Q231" t="n">
        <v>1</v>
      </c>
      <c r="R231" s="2" t="inlineStr">
        <is>
          <t>Garnlav</t>
        </is>
      </c>
      <c r="S231">
        <f>HYPERLINK("https://klasma.github.io/Logging_2281/artfynd/A 49626-2025 artfynd.xlsx", "A 49626-2025")</f>
        <v/>
      </c>
      <c r="T231">
        <f>HYPERLINK("https://klasma.github.io/Logging_2281/kartor/A 49626-2025 karta.png", "A 49626-2025")</f>
        <v/>
      </c>
      <c r="V231">
        <f>HYPERLINK("https://klasma.github.io/Logging_2281/klagomål/A 49626-2025 FSC-klagomål.docx", "A 49626-2025")</f>
        <v/>
      </c>
      <c r="W231">
        <f>HYPERLINK("https://klasma.github.io/Logging_2281/klagomålsmail/A 49626-2025 FSC-klagomål mail.docx", "A 49626-2025")</f>
        <v/>
      </c>
      <c r="X231">
        <f>HYPERLINK("https://klasma.github.io/Logging_2281/tillsyn/A 49626-2025 tillsynsbegäran.docx", "A 49626-2025")</f>
        <v/>
      </c>
      <c r="Y231">
        <f>HYPERLINK("https://klasma.github.io/Logging_2281/tillsynsmail/A 49626-2025 tillsynsbegäran mail.docx", "A 49626-2025")</f>
        <v/>
      </c>
    </row>
    <row r="232" ht="15" customHeight="1">
      <c r="A232" t="inlineStr">
        <is>
          <t>A 50213-2025</t>
        </is>
      </c>
      <c r="B232" s="1" t="n">
        <v>45943.67806712963</v>
      </c>
      <c r="C232" s="1" t="n">
        <v>46165</v>
      </c>
      <c r="D232" t="inlineStr">
        <is>
          <t>VÄSTERNORRLANDS LÄN</t>
        </is>
      </c>
      <c r="E232" t="inlineStr">
        <is>
          <t>SUNDSVALL</t>
        </is>
      </c>
      <c r="F232" t="inlineStr">
        <is>
          <t>SCA</t>
        </is>
      </c>
      <c r="G232" t="n">
        <v>4</v>
      </c>
      <c r="H232" t="n">
        <v>1</v>
      </c>
      <c r="I232" t="n">
        <v>0</v>
      </c>
      <c r="J232" t="n">
        <v>0</v>
      </c>
      <c r="K232" t="n">
        <v>0</v>
      </c>
      <c r="L232" t="n">
        <v>0</v>
      </c>
      <c r="M232" t="n">
        <v>0</v>
      </c>
      <c r="N232" t="n">
        <v>0</v>
      </c>
      <c r="O232" t="n">
        <v>0</v>
      </c>
      <c r="P232" t="n">
        <v>0</v>
      </c>
      <c r="Q232" t="n">
        <v>1</v>
      </c>
      <c r="R232" s="2" t="inlineStr">
        <is>
          <t>Nattviol</t>
        </is>
      </c>
      <c r="S232">
        <f>HYPERLINK("https://klasma.github.io/Logging_2281/artfynd/A 50213-2025 artfynd.xlsx", "A 50213-2025")</f>
        <v/>
      </c>
      <c r="T232">
        <f>HYPERLINK("https://klasma.github.io/Logging_2281/kartor/A 50213-2025 karta.png", "A 50213-2025")</f>
        <v/>
      </c>
      <c r="V232">
        <f>HYPERLINK("https://klasma.github.io/Logging_2281/klagomål/A 50213-2025 FSC-klagomål.docx", "A 50213-2025")</f>
        <v/>
      </c>
      <c r="W232">
        <f>HYPERLINK("https://klasma.github.io/Logging_2281/klagomålsmail/A 50213-2025 FSC-klagomål mail.docx", "A 50213-2025")</f>
        <v/>
      </c>
      <c r="X232">
        <f>HYPERLINK("https://klasma.github.io/Logging_2281/tillsyn/A 50213-2025 tillsynsbegäran.docx", "A 50213-2025")</f>
        <v/>
      </c>
      <c r="Y232">
        <f>HYPERLINK("https://klasma.github.io/Logging_2281/tillsynsmail/A 50213-2025 tillsynsbegäran mail.docx", "A 50213-2025")</f>
        <v/>
      </c>
    </row>
    <row r="233" ht="15" customHeight="1">
      <c r="A233" t="inlineStr">
        <is>
          <t>A 19866-2024</t>
        </is>
      </c>
      <c r="B233" s="1" t="n">
        <v>45433</v>
      </c>
      <c r="C233" s="1" t="n">
        <v>46165</v>
      </c>
      <c r="D233" t="inlineStr">
        <is>
          <t>VÄSTERNORRLANDS LÄN</t>
        </is>
      </c>
      <c r="E233" t="inlineStr">
        <is>
          <t>SUNDSVALL</t>
        </is>
      </c>
      <c r="G233" t="n">
        <v>4.2</v>
      </c>
      <c r="H233" t="n">
        <v>1</v>
      </c>
      <c r="I233" t="n">
        <v>0</v>
      </c>
      <c r="J233" t="n">
        <v>0</v>
      </c>
      <c r="K233" t="n">
        <v>0</v>
      </c>
      <c r="L233" t="n">
        <v>0</v>
      </c>
      <c r="M233" t="n">
        <v>0</v>
      </c>
      <c r="N233" t="n">
        <v>0</v>
      </c>
      <c r="O233" t="n">
        <v>0</v>
      </c>
      <c r="P233" t="n">
        <v>0</v>
      </c>
      <c r="Q233" t="n">
        <v>1</v>
      </c>
      <c r="R233" s="2" t="inlineStr">
        <is>
          <t>Grönsiska</t>
        </is>
      </c>
      <c r="S233">
        <f>HYPERLINK("https://klasma.github.io/Logging_2281/artfynd/A 19866-2024 artfynd.xlsx", "A 19866-2024")</f>
        <v/>
      </c>
      <c r="T233">
        <f>HYPERLINK("https://klasma.github.io/Logging_2281/kartor/A 19866-2024 karta.png", "A 19866-2024")</f>
        <v/>
      </c>
      <c r="V233">
        <f>HYPERLINK("https://klasma.github.io/Logging_2281/klagomål/A 19866-2024 FSC-klagomål.docx", "A 19866-2024")</f>
        <v/>
      </c>
      <c r="W233">
        <f>HYPERLINK("https://klasma.github.io/Logging_2281/klagomålsmail/A 19866-2024 FSC-klagomål mail.docx", "A 19866-2024")</f>
        <v/>
      </c>
      <c r="X233">
        <f>HYPERLINK("https://klasma.github.io/Logging_2281/tillsyn/A 19866-2024 tillsynsbegäran.docx", "A 19866-2024")</f>
        <v/>
      </c>
      <c r="Y233">
        <f>HYPERLINK("https://klasma.github.io/Logging_2281/tillsynsmail/A 19866-2024 tillsynsbegäran mail.docx", "A 19866-2024")</f>
        <v/>
      </c>
      <c r="Z233">
        <f>HYPERLINK("https://klasma.github.io/Logging_2281/fåglar/A 19866-2024 prioriterade fågelarter.docx", "A 19866-2024")</f>
        <v/>
      </c>
    </row>
    <row r="234" ht="15" customHeight="1">
      <c r="A234" t="inlineStr">
        <is>
          <t>A 37057-2021</t>
        </is>
      </c>
      <c r="B234" s="1" t="n">
        <v>44393.93881944445</v>
      </c>
      <c r="C234" s="1" t="n">
        <v>46165</v>
      </c>
      <c r="D234" t="inlineStr">
        <is>
          <t>VÄSTERNORRLANDS LÄN</t>
        </is>
      </c>
      <c r="E234" t="inlineStr">
        <is>
          <t>SUNDSVALL</t>
        </is>
      </c>
      <c r="F234" t="inlineStr">
        <is>
          <t>SCA</t>
        </is>
      </c>
      <c r="G234" t="n">
        <v>9.800000000000001</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37057-2021 artfynd.xlsx", "A 37057-2021")</f>
        <v/>
      </c>
      <c r="T234">
        <f>HYPERLINK("https://klasma.github.io/Logging_2281/kartor/A 37057-2021 karta.png", "A 37057-2021")</f>
        <v/>
      </c>
      <c r="V234">
        <f>HYPERLINK("https://klasma.github.io/Logging_2281/klagomål/A 37057-2021 FSC-klagomål.docx", "A 37057-2021")</f>
        <v/>
      </c>
      <c r="W234">
        <f>HYPERLINK("https://klasma.github.io/Logging_2281/klagomålsmail/A 37057-2021 FSC-klagomål mail.docx", "A 37057-2021")</f>
        <v/>
      </c>
      <c r="X234">
        <f>HYPERLINK("https://klasma.github.io/Logging_2281/tillsyn/A 37057-2021 tillsynsbegäran.docx", "A 37057-2021")</f>
        <v/>
      </c>
      <c r="Y234">
        <f>HYPERLINK("https://klasma.github.io/Logging_2281/tillsynsmail/A 37057-2021 tillsynsbegäran mail.docx", "A 37057-2021")</f>
        <v/>
      </c>
      <c r="Z234">
        <f>HYPERLINK("https://klasma.github.io/Logging_2281/fåglar/A 37057-2021 prioriterade fågelarter.docx", "A 37057-2021")</f>
        <v/>
      </c>
    </row>
    <row r="235" ht="15" customHeight="1">
      <c r="A235" t="inlineStr">
        <is>
          <t>A 50987-2025</t>
        </is>
      </c>
      <c r="B235" s="1" t="n">
        <v>45947.34546296296</v>
      </c>
      <c r="C235" s="1" t="n">
        <v>46165</v>
      </c>
      <c r="D235" t="inlineStr">
        <is>
          <t>VÄSTERNORRLANDS LÄN</t>
        </is>
      </c>
      <c r="E235" t="inlineStr">
        <is>
          <t>SUNDSVALL</t>
        </is>
      </c>
      <c r="G235" t="n">
        <v>2.9</v>
      </c>
      <c r="H235" t="n">
        <v>0</v>
      </c>
      <c r="I235" t="n">
        <v>0</v>
      </c>
      <c r="J235" t="n">
        <v>1</v>
      </c>
      <c r="K235" t="n">
        <v>0</v>
      </c>
      <c r="L235" t="n">
        <v>0</v>
      </c>
      <c r="M235" t="n">
        <v>0</v>
      </c>
      <c r="N235" t="n">
        <v>0</v>
      </c>
      <c r="O235" t="n">
        <v>1</v>
      </c>
      <c r="P235" t="n">
        <v>0</v>
      </c>
      <c r="Q235" t="n">
        <v>1</v>
      </c>
      <c r="R235" s="2" t="inlineStr">
        <is>
          <t>Lunglav</t>
        </is>
      </c>
      <c r="S235">
        <f>HYPERLINK("https://klasma.github.io/Logging_2281/artfynd/A 50987-2025 artfynd.xlsx", "A 50987-2025")</f>
        <v/>
      </c>
      <c r="T235">
        <f>HYPERLINK("https://klasma.github.io/Logging_2281/kartor/A 50987-2025 karta.png", "A 50987-2025")</f>
        <v/>
      </c>
      <c r="V235">
        <f>HYPERLINK("https://klasma.github.io/Logging_2281/klagomål/A 50987-2025 FSC-klagomål.docx", "A 50987-2025")</f>
        <v/>
      </c>
      <c r="W235">
        <f>HYPERLINK("https://klasma.github.io/Logging_2281/klagomålsmail/A 50987-2025 FSC-klagomål mail.docx", "A 50987-2025")</f>
        <v/>
      </c>
      <c r="X235">
        <f>HYPERLINK("https://klasma.github.io/Logging_2281/tillsyn/A 50987-2025 tillsynsbegäran.docx", "A 50987-2025")</f>
        <v/>
      </c>
      <c r="Y235">
        <f>HYPERLINK("https://klasma.github.io/Logging_2281/tillsynsmail/A 50987-2025 tillsynsbegäran mail.docx", "A 50987-2025")</f>
        <v/>
      </c>
    </row>
    <row r="236" ht="15" customHeight="1">
      <c r="A236" t="inlineStr">
        <is>
          <t>A 51586-2025</t>
        </is>
      </c>
      <c r="B236" s="1" t="n">
        <v>45951.34594907407</v>
      </c>
      <c r="C236" s="1" t="n">
        <v>46165</v>
      </c>
      <c r="D236" t="inlineStr">
        <is>
          <t>VÄSTERNORRLANDS LÄN</t>
        </is>
      </c>
      <c r="E236" t="inlineStr">
        <is>
          <t>SUNDSVALL</t>
        </is>
      </c>
      <c r="G236" t="n">
        <v>2.1</v>
      </c>
      <c r="H236" t="n">
        <v>1</v>
      </c>
      <c r="I236" t="n">
        <v>0</v>
      </c>
      <c r="J236" t="n">
        <v>0</v>
      </c>
      <c r="K236" t="n">
        <v>0</v>
      </c>
      <c r="L236" t="n">
        <v>0</v>
      </c>
      <c r="M236" t="n">
        <v>0</v>
      </c>
      <c r="N236" t="n">
        <v>0</v>
      </c>
      <c r="O236" t="n">
        <v>0</v>
      </c>
      <c r="P236" t="n">
        <v>0</v>
      </c>
      <c r="Q236" t="n">
        <v>1</v>
      </c>
      <c r="R236" s="2" t="inlineStr">
        <is>
          <t>Nattviol</t>
        </is>
      </c>
      <c r="S236">
        <f>HYPERLINK("https://klasma.github.io/Logging_2281/artfynd/A 51586-2025 artfynd.xlsx", "A 51586-2025")</f>
        <v/>
      </c>
      <c r="T236">
        <f>HYPERLINK("https://klasma.github.io/Logging_2281/kartor/A 51586-2025 karta.png", "A 51586-2025")</f>
        <v/>
      </c>
      <c r="V236">
        <f>HYPERLINK("https://klasma.github.io/Logging_2281/klagomål/A 51586-2025 FSC-klagomål.docx", "A 51586-2025")</f>
        <v/>
      </c>
      <c r="W236">
        <f>HYPERLINK("https://klasma.github.io/Logging_2281/klagomålsmail/A 51586-2025 FSC-klagomål mail.docx", "A 51586-2025")</f>
        <v/>
      </c>
      <c r="X236">
        <f>HYPERLINK("https://klasma.github.io/Logging_2281/tillsyn/A 51586-2025 tillsynsbegäran.docx", "A 51586-2025")</f>
        <v/>
      </c>
      <c r="Y236">
        <f>HYPERLINK("https://klasma.github.io/Logging_2281/tillsynsmail/A 51586-2025 tillsynsbegäran mail.docx", "A 51586-2025")</f>
        <v/>
      </c>
    </row>
    <row r="237" ht="15" customHeight="1">
      <c r="A237" t="inlineStr">
        <is>
          <t>A 64483-2023</t>
        </is>
      </c>
      <c r="B237" s="1" t="n">
        <v>45280</v>
      </c>
      <c r="C237" s="1" t="n">
        <v>46165</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11681-2024</t>
        </is>
      </c>
      <c r="B238" s="1" t="n">
        <v>45373.58155092593</v>
      </c>
      <c r="C238" s="1" t="n">
        <v>46165</v>
      </c>
      <c r="D238" t="inlineStr">
        <is>
          <t>VÄSTERNORRLANDS LÄN</t>
        </is>
      </c>
      <c r="E238" t="inlineStr">
        <is>
          <t>SUNDSVALL</t>
        </is>
      </c>
      <c r="F238" t="inlineStr">
        <is>
          <t>Holmen skog AB</t>
        </is>
      </c>
      <c r="G238" t="n">
        <v>9</v>
      </c>
      <c r="H238" t="n">
        <v>1</v>
      </c>
      <c r="I238" t="n">
        <v>0</v>
      </c>
      <c r="J238" t="n">
        <v>0</v>
      </c>
      <c r="K238" t="n">
        <v>0</v>
      </c>
      <c r="L238" t="n">
        <v>0</v>
      </c>
      <c r="M238" t="n">
        <v>0</v>
      </c>
      <c r="N238" t="n">
        <v>0</v>
      </c>
      <c r="O238" t="n">
        <v>0</v>
      </c>
      <c r="P238" t="n">
        <v>0</v>
      </c>
      <c r="Q238" t="n">
        <v>1</v>
      </c>
      <c r="R238" s="2" t="inlineStr">
        <is>
          <t>Tjäder</t>
        </is>
      </c>
      <c r="S238">
        <f>HYPERLINK("https://klasma.github.io/Logging_2281/artfynd/A 11681-2024 artfynd.xlsx", "A 11681-2024")</f>
        <v/>
      </c>
      <c r="T238">
        <f>HYPERLINK("https://klasma.github.io/Logging_2281/kartor/A 11681-2024 karta.png", "A 11681-2024")</f>
        <v/>
      </c>
      <c r="V238">
        <f>HYPERLINK("https://klasma.github.io/Logging_2281/klagomål/A 11681-2024 FSC-klagomål.docx", "A 11681-2024")</f>
        <v/>
      </c>
      <c r="W238">
        <f>HYPERLINK("https://klasma.github.io/Logging_2281/klagomålsmail/A 11681-2024 FSC-klagomål mail.docx", "A 11681-2024")</f>
        <v/>
      </c>
      <c r="X238">
        <f>HYPERLINK("https://klasma.github.io/Logging_2281/tillsyn/A 11681-2024 tillsynsbegäran.docx", "A 11681-2024")</f>
        <v/>
      </c>
      <c r="Y238">
        <f>HYPERLINK("https://klasma.github.io/Logging_2281/tillsynsmail/A 11681-2024 tillsynsbegäran mail.docx", "A 11681-2024")</f>
        <v/>
      </c>
      <c r="Z238">
        <f>HYPERLINK("https://klasma.github.io/Logging_2281/fåglar/A 11681-2024 prioriterade fågelarter.docx", "A 11681-2024")</f>
        <v/>
      </c>
    </row>
    <row r="239" ht="15" customHeight="1">
      <c r="A239" t="inlineStr">
        <is>
          <t>A 9584-2023</t>
        </is>
      </c>
      <c r="B239" s="1" t="n">
        <v>44982</v>
      </c>
      <c r="C239" s="1" t="n">
        <v>46165</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13301-2025</t>
        </is>
      </c>
      <c r="B240" s="1" t="n">
        <v>45735.57451388889</v>
      </c>
      <c r="C240" s="1" t="n">
        <v>46165</v>
      </c>
      <c r="D240" t="inlineStr">
        <is>
          <t>VÄSTERNORRLANDS LÄN</t>
        </is>
      </c>
      <c r="E240" t="inlineStr">
        <is>
          <t>SUNDSVALL</t>
        </is>
      </c>
      <c r="F240" t="inlineStr">
        <is>
          <t>SCA</t>
        </is>
      </c>
      <c r="G240" t="n">
        <v>13.4</v>
      </c>
      <c r="H240" t="n">
        <v>1</v>
      </c>
      <c r="I240" t="n">
        <v>0</v>
      </c>
      <c r="J240" t="n">
        <v>0</v>
      </c>
      <c r="K240" t="n">
        <v>0</v>
      </c>
      <c r="L240" t="n">
        <v>0</v>
      </c>
      <c r="M240" t="n">
        <v>0</v>
      </c>
      <c r="N240" t="n">
        <v>0</v>
      </c>
      <c r="O240" t="n">
        <v>0</v>
      </c>
      <c r="P240" t="n">
        <v>0</v>
      </c>
      <c r="Q240" t="n">
        <v>1</v>
      </c>
      <c r="R240" s="2" t="inlineStr">
        <is>
          <t>Blåsippa</t>
        </is>
      </c>
      <c r="S240">
        <f>HYPERLINK("https://klasma.github.io/Logging_2281/artfynd/A 13301-2025 artfynd.xlsx", "A 13301-2025")</f>
        <v/>
      </c>
      <c r="T240">
        <f>HYPERLINK("https://klasma.github.io/Logging_2281/kartor/A 13301-2025 karta.png", "A 13301-2025")</f>
        <v/>
      </c>
      <c r="V240">
        <f>HYPERLINK("https://klasma.github.io/Logging_2281/klagomål/A 13301-2025 FSC-klagomål.docx", "A 13301-2025")</f>
        <v/>
      </c>
      <c r="W240">
        <f>HYPERLINK("https://klasma.github.io/Logging_2281/klagomålsmail/A 13301-2025 FSC-klagomål mail.docx", "A 13301-2025")</f>
        <v/>
      </c>
      <c r="X240">
        <f>HYPERLINK("https://klasma.github.io/Logging_2281/tillsyn/A 13301-2025 tillsynsbegäran.docx", "A 13301-2025")</f>
        <v/>
      </c>
      <c r="Y240">
        <f>HYPERLINK("https://klasma.github.io/Logging_2281/tillsynsmail/A 13301-2025 tillsynsbegäran mail.docx", "A 13301-2025")</f>
        <v/>
      </c>
    </row>
    <row r="241" ht="15" customHeight="1">
      <c r="A241" t="inlineStr">
        <is>
          <t>A 56427-2025</t>
        </is>
      </c>
      <c r="B241" s="1" t="n">
        <v>45975.34572916666</v>
      </c>
      <c r="C241" s="1" t="n">
        <v>46165</v>
      </c>
      <c r="D241" t="inlineStr">
        <is>
          <t>VÄSTERNORRLANDS LÄN</t>
        </is>
      </c>
      <c r="E241" t="inlineStr">
        <is>
          <t>SUNDSVALL</t>
        </is>
      </c>
      <c r="G241" t="n">
        <v>0.5</v>
      </c>
      <c r="H241" t="n">
        <v>1</v>
      </c>
      <c r="I241" t="n">
        <v>0</v>
      </c>
      <c r="J241" t="n">
        <v>0</v>
      </c>
      <c r="K241" t="n">
        <v>0</v>
      </c>
      <c r="L241" t="n">
        <v>0</v>
      </c>
      <c r="M241" t="n">
        <v>0</v>
      </c>
      <c r="N241" t="n">
        <v>0</v>
      </c>
      <c r="O241" t="n">
        <v>0</v>
      </c>
      <c r="P241" t="n">
        <v>0</v>
      </c>
      <c r="Q241" t="n">
        <v>1</v>
      </c>
      <c r="R241" s="2" t="inlineStr">
        <is>
          <t>Trana</t>
        </is>
      </c>
      <c r="S241">
        <f>HYPERLINK("https://klasma.github.io/Logging_2281/artfynd/A 56427-2025 artfynd.xlsx", "A 56427-2025")</f>
        <v/>
      </c>
      <c r="T241">
        <f>HYPERLINK("https://klasma.github.io/Logging_2281/kartor/A 56427-2025 karta.png", "A 56427-2025")</f>
        <v/>
      </c>
      <c r="V241">
        <f>HYPERLINK("https://klasma.github.io/Logging_2281/klagomål/A 56427-2025 FSC-klagomål.docx", "A 56427-2025")</f>
        <v/>
      </c>
      <c r="W241">
        <f>HYPERLINK("https://klasma.github.io/Logging_2281/klagomålsmail/A 56427-2025 FSC-klagomål mail.docx", "A 56427-2025")</f>
        <v/>
      </c>
      <c r="X241">
        <f>HYPERLINK("https://klasma.github.io/Logging_2281/tillsyn/A 56427-2025 tillsynsbegäran.docx", "A 56427-2025")</f>
        <v/>
      </c>
      <c r="Y241">
        <f>HYPERLINK("https://klasma.github.io/Logging_2281/tillsynsmail/A 56427-2025 tillsynsbegäran mail.docx", "A 56427-2025")</f>
        <v/>
      </c>
      <c r="Z241">
        <f>HYPERLINK("https://klasma.github.io/Logging_2281/fåglar/A 56427-2025 prioriterade fågelarter.docx", "A 56427-2025")</f>
        <v/>
      </c>
    </row>
    <row r="242" ht="15" customHeight="1">
      <c r="A242" t="inlineStr">
        <is>
          <t>A 57049-2025</t>
        </is>
      </c>
      <c r="B242" s="1" t="n">
        <v>45979.34706018519</v>
      </c>
      <c r="C242" s="1" t="n">
        <v>46165</v>
      </c>
      <c r="D242" t="inlineStr">
        <is>
          <t>VÄSTERNORRLANDS LÄN</t>
        </is>
      </c>
      <c r="E242" t="inlineStr">
        <is>
          <t>SUNDSVALL</t>
        </is>
      </c>
      <c r="F242" t="inlineStr">
        <is>
          <t>SCA</t>
        </is>
      </c>
      <c r="G242" t="n">
        <v>7.8</v>
      </c>
      <c r="H242" t="n">
        <v>1</v>
      </c>
      <c r="I242" t="n">
        <v>0</v>
      </c>
      <c r="J242" t="n">
        <v>0</v>
      </c>
      <c r="K242" t="n">
        <v>0</v>
      </c>
      <c r="L242" t="n">
        <v>0</v>
      </c>
      <c r="M242" t="n">
        <v>0</v>
      </c>
      <c r="N242" t="n">
        <v>0</v>
      </c>
      <c r="O242" t="n">
        <v>0</v>
      </c>
      <c r="P242" t="n">
        <v>0</v>
      </c>
      <c r="Q242" t="n">
        <v>1</v>
      </c>
      <c r="R242" s="2" t="inlineStr">
        <is>
          <t>Tjäder</t>
        </is>
      </c>
      <c r="S242">
        <f>HYPERLINK("https://klasma.github.io/Logging_2281/artfynd/A 57049-2025 artfynd.xlsx", "A 57049-2025")</f>
        <v/>
      </c>
      <c r="T242">
        <f>HYPERLINK("https://klasma.github.io/Logging_2281/kartor/A 57049-2025 karta.png", "A 57049-2025")</f>
        <v/>
      </c>
      <c r="V242">
        <f>HYPERLINK("https://klasma.github.io/Logging_2281/klagomål/A 57049-2025 FSC-klagomål.docx", "A 57049-2025")</f>
        <v/>
      </c>
      <c r="W242">
        <f>HYPERLINK("https://klasma.github.io/Logging_2281/klagomålsmail/A 57049-2025 FSC-klagomål mail.docx", "A 57049-2025")</f>
        <v/>
      </c>
      <c r="X242">
        <f>HYPERLINK("https://klasma.github.io/Logging_2281/tillsyn/A 57049-2025 tillsynsbegäran.docx", "A 57049-2025")</f>
        <v/>
      </c>
      <c r="Y242">
        <f>HYPERLINK("https://klasma.github.io/Logging_2281/tillsynsmail/A 57049-2025 tillsynsbegäran mail.docx", "A 57049-2025")</f>
        <v/>
      </c>
      <c r="Z242">
        <f>HYPERLINK("https://klasma.github.io/Logging_2281/fåglar/A 57049-2025 prioriterade fågelarter.docx", "A 57049-2025")</f>
        <v/>
      </c>
    </row>
    <row r="243" ht="15" customHeight="1">
      <c r="A243" t="inlineStr">
        <is>
          <t>A 19826-2025</t>
        </is>
      </c>
      <c r="B243" s="1" t="n">
        <v>45771.4690625</v>
      </c>
      <c r="C243" s="1" t="n">
        <v>46165</v>
      </c>
      <c r="D243" t="inlineStr">
        <is>
          <t>VÄSTERNORRLANDS LÄN</t>
        </is>
      </c>
      <c r="E243" t="inlineStr">
        <is>
          <t>SUNDSVALL</t>
        </is>
      </c>
      <c r="F243" t="inlineStr">
        <is>
          <t>Naturvårdsverket</t>
        </is>
      </c>
      <c r="G243" t="n">
        <v>1.5</v>
      </c>
      <c r="H243" t="n">
        <v>0</v>
      </c>
      <c r="I243" t="n">
        <v>0</v>
      </c>
      <c r="J243" t="n">
        <v>1</v>
      </c>
      <c r="K243" t="n">
        <v>0</v>
      </c>
      <c r="L243" t="n">
        <v>0</v>
      </c>
      <c r="M243" t="n">
        <v>0</v>
      </c>
      <c r="N243" t="n">
        <v>0</v>
      </c>
      <c r="O243" t="n">
        <v>1</v>
      </c>
      <c r="P243" t="n">
        <v>0</v>
      </c>
      <c r="Q243" t="n">
        <v>1</v>
      </c>
      <c r="R243" s="2" t="inlineStr">
        <is>
          <t>Lunglav</t>
        </is>
      </c>
      <c r="S243">
        <f>HYPERLINK("https://klasma.github.io/Logging_2281/artfynd/A 19826-2025 artfynd.xlsx", "A 19826-2025")</f>
        <v/>
      </c>
      <c r="T243">
        <f>HYPERLINK("https://klasma.github.io/Logging_2281/kartor/A 19826-2025 karta.png", "A 19826-2025")</f>
        <v/>
      </c>
      <c r="V243">
        <f>HYPERLINK("https://klasma.github.io/Logging_2281/klagomål/A 19826-2025 FSC-klagomål.docx", "A 19826-2025")</f>
        <v/>
      </c>
      <c r="W243">
        <f>HYPERLINK("https://klasma.github.io/Logging_2281/klagomålsmail/A 19826-2025 FSC-klagomål mail.docx", "A 19826-2025")</f>
        <v/>
      </c>
      <c r="X243">
        <f>HYPERLINK("https://klasma.github.io/Logging_2281/tillsyn/A 19826-2025 tillsynsbegäran.docx", "A 19826-2025")</f>
        <v/>
      </c>
      <c r="Y243">
        <f>HYPERLINK("https://klasma.github.io/Logging_2281/tillsynsmail/A 19826-2025 tillsynsbegäran mail.docx", "A 19826-2025")</f>
        <v/>
      </c>
    </row>
    <row r="244" ht="15" customHeight="1">
      <c r="A244" t="inlineStr">
        <is>
          <t>A 39004-2024</t>
        </is>
      </c>
      <c r="B244" s="1" t="n">
        <v>45548</v>
      </c>
      <c r="C244" s="1" t="n">
        <v>46165</v>
      </c>
      <c r="D244" t="inlineStr">
        <is>
          <t>VÄSTERNORRLANDS LÄN</t>
        </is>
      </c>
      <c r="E244" t="inlineStr">
        <is>
          <t>SUNDSVALL</t>
        </is>
      </c>
      <c r="G244" t="n">
        <v>6.9</v>
      </c>
      <c r="H244" t="n">
        <v>0</v>
      </c>
      <c r="I244" t="n">
        <v>0</v>
      </c>
      <c r="J244" t="n">
        <v>1</v>
      </c>
      <c r="K244" t="n">
        <v>0</v>
      </c>
      <c r="L244" t="n">
        <v>0</v>
      </c>
      <c r="M244" t="n">
        <v>0</v>
      </c>
      <c r="N244" t="n">
        <v>0</v>
      </c>
      <c r="O244" t="n">
        <v>1</v>
      </c>
      <c r="P244" t="n">
        <v>0</v>
      </c>
      <c r="Q244" t="n">
        <v>1</v>
      </c>
      <c r="R244" s="2" t="inlineStr">
        <is>
          <t>Liten parasollmossa</t>
        </is>
      </c>
      <c r="S244">
        <f>HYPERLINK("https://klasma.github.io/Logging_2281/artfynd/A 39004-2024 artfynd.xlsx", "A 39004-2024")</f>
        <v/>
      </c>
      <c r="T244">
        <f>HYPERLINK("https://klasma.github.io/Logging_2281/kartor/A 39004-2024 karta.png", "A 39004-2024")</f>
        <v/>
      </c>
      <c r="V244">
        <f>HYPERLINK("https://klasma.github.io/Logging_2281/klagomål/A 39004-2024 FSC-klagomål.docx", "A 39004-2024")</f>
        <v/>
      </c>
      <c r="W244">
        <f>HYPERLINK("https://klasma.github.io/Logging_2281/klagomålsmail/A 39004-2024 FSC-klagomål mail.docx", "A 39004-2024")</f>
        <v/>
      </c>
      <c r="X244">
        <f>HYPERLINK("https://klasma.github.io/Logging_2281/tillsyn/A 39004-2024 tillsynsbegäran.docx", "A 39004-2024")</f>
        <v/>
      </c>
      <c r="Y244">
        <f>HYPERLINK("https://klasma.github.io/Logging_2281/tillsynsmail/A 39004-2024 tillsynsbegäran mail.docx", "A 39004-2024")</f>
        <v/>
      </c>
    </row>
    <row r="245" ht="15" customHeight="1">
      <c r="A245" t="inlineStr">
        <is>
          <t>A 10683-2025</t>
        </is>
      </c>
      <c r="B245" s="1" t="n">
        <v>45721.94451388889</v>
      </c>
      <c r="C245" s="1" t="n">
        <v>46165</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Björktrast</t>
        </is>
      </c>
      <c r="S245">
        <f>HYPERLINK("https://klasma.github.io/Logging_2281/artfynd/A 10683-2025 artfynd.xlsx", "A 10683-2025")</f>
        <v/>
      </c>
      <c r="T245">
        <f>HYPERLINK("https://klasma.github.io/Logging_2281/kartor/A 10683-2025 karta.png", "A 10683-2025")</f>
        <v/>
      </c>
      <c r="V245">
        <f>HYPERLINK("https://klasma.github.io/Logging_2281/klagomål/A 10683-2025 FSC-klagomål.docx", "A 10683-2025")</f>
        <v/>
      </c>
      <c r="W245">
        <f>HYPERLINK("https://klasma.github.io/Logging_2281/klagomålsmail/A 10683-2025 FSC-klagomål mail.docx", "A 10683-2025")</f>
        <v/>
      </c>
      <c r="X245">
        <f>HYPERLINK("https://klasma.github.io/Logging_2281/tillsyn/A 10683-2025 tillsynsbegäran.docx", "A 10683-2025")</f>
        <v/>
      </c>
      <c r="Y245">
        <f>HYPERLINK("https://klasma.github.io/Logging_2281/tillsynsmail/A 10683-2025 tillsynsbegäran mail.docx", "A 10683-2025")</f>
        <v/>
      </c>
      <c r="Z245">
        <f>HYPERLINK("https://klasma.github.io/Logging_2281/fåglar/A 10683-2025 prioriterade fågelarter.docx", "A 10683-2025")</f>
        <v/>
      </c>
    </row>
    <row r="246" ht="15" customHeight="1">
      <c r="A246" t="inlineStr">
        <is>
          <t>A 59075-2025</t>
        </is>
      </c>
      <c r="B246" s="1" t="n">
        <v>45988.42923611111</v>
      </c>
      <c r="C246" s="1" t="n">
        <v>46165</v>
      </c>
      <c r="D246" t="inlineStr">
        <is>
          <t>VÄSTERNORRLANDS LÄN</t>
        </is>
      </c>
      <c r="E246" t="inlineStr">
        <is>
          <t>SUNDSVALL</t>
        </is>
      </c>
      <c r="G246" t="n">
        <v>4.2</v>
      </c>
      <c r="H246" t="n">
        <v>0</v>
      </c>
      <c r="I246" t="n">
        <v>1</v>
      </c>
      <c r="J246" t="n">
        <v>0</v>
      </c>
      <c r="K246" t="n">
        <v>0</v>
      </c>
      <c r="L246" t="n">
        <v>0</v>
      </c>
      <c r="M246" t="n">
        <v>0</v>
      </c>
      <c r="N246" t="n">
        <v>0</v>
      </c>
      <c r="O246" t="n">
        <v>0</v>
      </c>
      <c r="P246" t="n">
        <v>0</v>
      </c>
      <c r="Q246" t="n">
        <v>1</v>
      </c>
      <c r="R246" s="2" t="inlineStr">
        <is>
          <t>Bronshjon</t>
        </is>
      </c>
      <c r="S246">
        <f>HYPERLINK("https://klasma.github.io/Logging_2281/artfynd/A 59075-2025 artfynd.xlsx", "A 59075-2025")</f>
        <v/>
      </c>
      <c r="T246">
        <f>HYPERLINK("https://klasma.github.io/Logging_2281/kartor/A 59075-2025 karta.png", "A 59075-2025")</f>
        <v/>
      </c>
      <c r="V246">
        <f>HYPERLINK("https://klasma.github.io/Logging_2281/klagomål/A 59075-2025 FSC-klagomål.docx", "A 59075-2025")</f>
        <v/>
      </c>
      <c r="W246">
        <f>HYPERLINK("https://klasma.github.io/Logging_2281/klagomålsmail/A 59075-2025 FSC-klagomål mail.docx", "A 59075-2025")</f>
        <v/>
      </c>
      <c r="X246">
        <f>HYPERLINK("https://klasma.github.io/Logging_2281/tillsyn/A 59075-2025 tillsynsbegäran.docx", "A 59075-2025")</f>
        <v/>
      </c>
      <c r="Y246">
        <f>HYPERLINK("https://klasma.github.io/Logging_2281/tillsynsmail/A 59075-2025 tillsynsbegäran mail.docx", "A 59075-2025")</f>
        <v/>
      </c>
    </row>
    <row r="247" ht="15" customHeight="1">
      <c r="A247" t="inlineStr">
        <is>
          <t>A 58470-2023</t>
        </is>
      </c>
      <c r="B247" s="1" t="n">
        <v>45250</v>
      </c>
      <c r="C247" s="1" t="n">
        <v>46165</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Granticka</t>
        </is>
      </c>
      <c r="S247">
        <f>HYPERLINK("https://klasma.github.io/Logging_2281/artfynd/A 58470-2023 artfynd.xlsx", "A 58470-2023")</f>
        <v/>
      </c>
      <c r="T247">
        <f>HYPERLINK("https://klasma.github.io/Logging_2281/kartor/A 58470-2023 karta.png", "A 58470-2023")</f>
        <v/>
      </c>
      <c r="V247">
        <f>HYPERLINK("https://klasma.github.io/Logging_2281/klagomål/A 58470-2023 FSC-klagomål.docx", "A 58470-2023")</f>
        <v/>
      </c>
      <c r="W247">
        <f>HYPERLINK("https://klasma.github.io/Logging_2281/klagomålsmail/A 58470-2023 FSC-klagomål mail.docx", "A 58470-2023")</f>
        <v/>
      </c>
      <c r="X247">
        <f>HYPERLINK("https://klasma.github.io/Logging_2281/tillsyn/A 58470-2023 tillsynsbegäran.docx", "A 58470-2023")</f>
        <v/>
      </c>
      <c r="Y247">
        <f>HYPERLINK("https://klasma.github.io/Logging_2281/tillsynsmail/A 58470-2023 tillsynsbegäran mail.docx", "A 58470-2023")</f>
        <v/>
      </c>
    </row>
    <row r="248" ht="15" customHeight="1">
      <c r="A248" t="inlineStr">
        <is>
          <t>A 22993-2023</t>
        </is>
      </c>
      <c r="B248" s="1" t="n">
        <v>45072</v>
      </c>
      <c r="C248" s="1" t="n">
        <v>46165</v>
      </c>
      <c r="D248" t="inlineStr">
        <is>
          <t>VÄSTERNORRLANDS LÄN</t>
        </is>
      </c>
      <c r="E248" t="inlineStr">
        <is>
          <t>SUNDSVALL</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HYPERLINK("https://klasma.github.io/Logging_2281/artfynd/A 22993-2023 artfynd.xlsx", "A 22993-2023")</f>
        <v/>
      </c>
      <c r="T248">
        <f>HYPERLINK("https://klasma.github.io/Logging_2281/kartor/A 22993-2023 karta.png", "A 22993-2023")</f>
        <v/>
      </c>
      <c r="V248">
        <f>HYPERLINK("https://klasma.github.io/Logging_2281/klagomål/A 22993-2023 FSC-klagomål.docx", "A 22993-2023")</f>
        <v/>
      </c>
      <c r="W248">
        <f>HYPERLINK("https://klasma.github.io/Logging_2281/klagomålsmail/A 22993-2023 FSC-klagomål mail.docx", "A 22993-2023")</f>
        <v/>
      </c>
      <c r="X248">
        <f>HYPERLINK("https://klasma.github.io/Logging_2281/tillsyn/A 22993-2023 tillsynsbegäran.docx", "A 22993-2023")</f>
        <v/>
      </c>
      <c r="Y248">
        <f>HYPERLINK("https://klasma.github.io/Logging_2281/tillsynsmail/A 22993-2023 tillsynsbegäran mail.docx", "A 22993-2023")</f>
        <v/>
      </c>
    </row>
    <row r="249" ht="15" customHeight="1">
      <c r="A249" t="inlineStr">
        <is>
          <t>A 60595-2025</t>
        </is>
      </c>
      <c r="B249" s="1" t="n">
        <v>45996.34443287037</v>
      </c>
      <c r="C249" s="1" t="n">
        <v>46165</v>
      </c>
      <c r="D249" t="inlineStr">
        <is>
          <t>VÄSTERNORRLANDS LÄN</t>
        </is>
      </c>
      <c r="E249" t="inlineStr">
        <is>
          <t>SUNDSVALL</t>
        </is>
      </c>
      <c r="F249" t="inlineStr">
        <is>
          <t>SCA</t>
        </is>
      </c>
      <c r="G249" t="n">
        <v>2.9</v>
      </c>
      <c r="H249" t="n">
        <v>1</v>
      </c>
      <c r="I249" t="n">
        <v>1</v>
      </c>
      <c r="J249" t="n">
        <v>0</v>
      </c>
      <c r="K249" t="n">
        <v>0</v>
      </c>
      <c r="L249" t="n">
        <v>0</v>
      </c>
      <c r="M249" t="n">
        <v>0</v>
      </c>
      <c r="N249" t="n">
        <v>0</v>
      </c>
      <c r="O249" t="n">
        <v>0</v>
      </c>
      <c r="P249" t="n">
        <v>0</v>
      </c>
      <c r="Q249" t="n">
        <v>1</v>
      </c>
      <c r="R249" s="2" t="inlineStr">
        <is>
          <t>Plattlummer</t>
        </is>
      </c>
      <c r="S249">
        <f>HYPERLINK("https://klasma.github.io/Logging_2281/artfynd/A 60595-2025 artfynd.xlsx", "A 60595-2025")</f>
        <v/>
      </c>
      <c r="T249">
        <f>HYPERLINK("https://klasma.github.io/Logging_2281/kartor/A 60595-2025 karta.png", "A 60595-2025")</f>
        <v/>
      </c>
      <c r="V249">
        <f>HYPERLINK("https://klasma.github.io/Logging_2281/klagomål/A 60595-2025 FSC-klagomål.docx", "A 60595-2025")</f>
        <v/>
      </c>
      <c r="W249">
        <f>HYPERLINK("https://klasma.github.io/Logging_2281/klagomålsmail/A 60595-2025 FSC-klagomål mail.docx", "A 60595-2025")</f>
        <v/>
      </c>
      <c r="X249">
        <f>HYPERLINK("https://klasma.github.io/Logging_2281/tillsyn/A 60595-2025 tillsynsbegäran.docx", "A 60595-2025")</f>
        <v/>
      </c>
      <c r="Y249">
        <f>HYPERLINK("https://klasma.github.io/Logging_2281/tillsynsmail/A 60595-2025 tillsynsbegäran mail.docx", "A 60595-2025")</f>
        <v/>
      </c>
    </row>
    <row r="250" ht="15" customHeight="1">
      <c r="A250" t="inlineStr">
        <is>
          <t>A 1058-2024</t>
        </is>
      </c>
      <c r="B250" s="1" t="n">
        <v>45301</v>
      </c>
      <c r="C250" s="1" t="n">
        <v>46165</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17395-2025</t>
        </is>
      </c>
      <c r="B251" s="1" t="n">
        <v>45757</v>
      </c>
      <c r="C251" s="1" t="n">
        <v>46165</v>
      </c>
      <c r="D251" t="inlineStr">
        <is>
          <t>VÄSTERNORRLANDS LÄN</t>
        </is>
      </c>
      <c r="E251" t="inlineStr">
        <is>
          <t>SUNDSVALL</t>
        </is>
      </c>
      <c r="F251" t="inlineStr">
        <is>
          <t>SCA</t>
        </is>
      </c>
      <c r="G251" t="n">
        <v>7.1</v>
      </c>
      <c r="H251" t="n">
        <v>1</v>
      </c>
      <c r="I251" t="n">
        <v>0</v>
      </c>
      <c r="J251" t="n">
        <v>0</v>
      </c>
      <c r="K251" t="n">
        <v>0</v>
      </c>
      <c r="L251" t="n">
        <v>0</v>
      </c>
      <c r="M251" t="n">
        <v>0</v>
      </c>
      <c r="N251" t="n">
        <v>0</v>
      </c>
      <c r="O251" t="n">
        <v>0</v>
      </c>
      <c r="P251" t="n">
        <v>0</v>
      </c>
      <c r="Q251" t="n">
        <v>1</v>
      </c>
      <c r="R251" s="2" t="inlineStr">
        <is>
          <t>Nattviol</t>
        </is>
      </c>
      <c r="S251">
        <f>HYPERLINK("https://klasma.github.io/Logging_2281/artfynd/A 17395-2025 artfynd.xlsx", "A 17395-2025")</f>
        <v/>
      </c>
      <c r="T251">
        <f>HYPERLINK("https://klasma.github.io/Logging_2281/kartor/A 17395-2025 karta.png", "A 17395-2025")</f>
        <v/>
      </c>
      <c r="V251">
        <f>HYPERLINK("https://klasma.github.io/Logging_2281/klagomål/A 17395-2025 FSC-klagomål.docx", "A 17395-2025")</f>
        <v/>
      </c>
      <c r="W251">
        <f>HYPERLINK("https://klasma.github.io/Logging_2281/klagomålsmail/A 17395-2025 FSC-klagomål mail.docx", "A 17395-2025")</f>
        <v/>
      </c>
      <c r="X251">
        <f>HYPERLINK("https://klasma.github.io/Logging_2281/tillsyn/A 17395-2025 tillsynsbegäran.docx", "A 17395-2025")</f>
        <v/>
      </c>
      <c r="Y251">
        <f>HYPERLINK("https://klasma.github.io/Logging_2281/tillsynsmail/A 17395-2025 tillsynsbegäran mail.docx", "A 17395-2025")</f>
        <v/>
      </c>
    </row>
    <row r="252" ht="15" customHeight="1">
      <c r="A252" t="inlineStr">
        <is>
          <t>A 12058-2023</t>
        </is>
      </c>
      <c r="B252" s="1" t="n">
        <v>44995</v>
      </c>
      <c r="C252" s="1" t="n">
        <v>46165</v>
      </c>
      <c r="D252" t="inlineStr">
        <is>
          <t>VÄSTERNORRLANDS LÄN</t>
        </is>
      </c>
      <c r="E252" t="inlineStr">
        <is>
          <t>SUNDSVALL</t>
        </is>
      </c>
      <c r="F252" t="inlineStr">
        <is>
          <t>SCA</t>
        </is>
      </c>
      <c r="G252" t="n">
        <v>4</v>
      </c>
      <c r="H252" t="n">
        <v>1</v>
      </c>
      <c r="I252" t="n">
        <v>0</v>
      </c>
      <c r="J252" t="n">
        <v>1</v>
      </c>
      <c r="K252" t="n">
        <v>0</v>
      </c>
      <c r="L252" t="n">
        <v>0</v>
      </c>
      <c r="M252" t="n">
        <v>0</v>
      </c>
      <c r="N252" t="n">
        <v>0</v>
      </c>
      <c r="O252" t="n">
        <v>1</v>
      </c>
      <c r="P252" t="n">
        <v>0</v>
      </c>
      <c r="Q252" t="n">
        <v>1</v>
      </c>
      <c r="R252" s="2" t="inlineStr">
        <is>
          <t>Fiskmås</t>
        </is>
      </c>
      <c r="S252">
        <f>HYPERLINK("https://klasma.github.io/Logging_2281/artfynd/A 12058-2023 artfynd.xlsx", "A 12058-2023")</f>
        <v/>
      </c>
      <c r="T252">
        <f>HYPERLINK("https://klasma.github.io/Logging_2281/kartor/A 12058-2023 karta.png", "A 12058-2023")</f>
        <v/>
      </c>
      <c r="V252">
        <f>HYPERLINK("https://klasma.github.io/Logging_2281/klagomål/A 12058-2023 FSC-klagomål.docx", "A 12058-2023")</f>
        <v/>
      </c>
      <c r="W252">
        <f>HYPERLINK("https://klasma.github.io/Logging_2281/klagomålsmail/A 12058-2023 FSC-klagomål mail.docx", "A 12058-2023")</f>
        <v/>
      </c>
      <c r="X252">
        <f>HYPERLINK("https://klasma.github.io/Logging_2281/tillsyn/A 12058-2023 tillsynsbegäran.docx", "A 12058-2023")</f>
        <v/>
      </c>
      <c r="Y252">
        <f>HYPERLINK("https://klasma.github.io/Logging_2281/tillsynsmail/A 12058-2023 tillsynsbegäran mail.docx", "A 12058-2023")</f>
        <v/>
      </c>
    </row>
    <row r="253" ht="15" customHeight="1">
      <c r="A253" t="inlineStr">
        <is>
          <t>A 51434-2024</t>
        </is>
      </c>
      <c r="B253" s="1" t="n">
        <v>45604.47024305556</v>
      </c>
      <c r="C253" s="1" t="n">
        <v>46165</v>
      </c>
      <c r="D253" t="inlineStr">
        <is>
          <t>VÄSTERNORRLANDS LÄN</t>
        </is>
      </c>
      <c r="E253" t="inlineStr">
        <is>
          <t>SUNDSVALL</t>
        </is>
      </c>
      <c r="G253" t="n">
        <v>5.4</v>
      </c>
      <c r="H253" t="n">
        <v>1</v>
      </c>
      <c r="I253" t="n">
        <v>0</v>
      </c>
      <c r="J253" t="n">
        <v>0</v>
      </c>
      <c r="K253" t="n">
        <v>0</v>
      </c>
      <c r="L253" t="n">
        <v>0</v>
      </c>
      <c r="M253" t="n">
        <v>0</v>
      </c>
      <c r="N253" t="n">
        <v>0</v>
      </c>
      <c r="O253" t="n">
        <v>0</v>
      </c>
      <c r="P253" t="n">
        <v>0</v>
      </c>
      <c r="Q253" t="n">
        <v>1</v>
      </c>
      <c r="R253" s="2" t="inlineStr">
        <is>
          <t>Fläcknycklar</t>
        </is>
      </c>
      <c r="S253">
        <f>HYPERLINK("https://klasma.github.io/Logging_2281/artfynd/A 51434-2024 artfynd.xlsx", "A 51434-2024")</f>
        <v/>
      </c>
      <c r="T253">
        <f>HYPERLINK("https://klasma.github.io/Logging_2281/kartor/A 51434-2024 karta.png", "A 51434-2024")</f>
        <v/>
      </c>
      <c r="V253">
        <f>HYPERLINK("https://klasma.github.io/Logging_2281/klagomål/A 51434-2024 FSC-klagomål.docx", "A 51434-2024")</f>
        <v/>
      </c>
      <c r="W253">
        <f>HYPERLINK("https://klasma.github.io/Logging_2281/klagomålsmail/A 51434-2024 FSC-klagomål mail.docx", "A 51434-2024")</f>
        <v/>
      </c>
      <c r="X253">
        <f>HYPERLINK("https://klasma.github.io/Logging_2281/tillsyn/A 51434-2024 tillsynsbegäran.docx", "A 51434-2024")</f>
        <v/>
      </c>
      <c r="Y253">
        <f>HYPERLINK("https://klasma.github.io/Logging_2281/tillsynsmail/A 51434-2024 tillsynsbegäran mail.docx", "A 51434-2024")</f>
        <v/>
      </c>
    </row>
    <row r="254" ht="15" customHeight="1">
      <c r="A254" t="inlineStr">
        <is>
          <t>A 1924-2026</t>
        </is>
      </c>
      <c r="B254" s="1" t="n">
        <v>46035</v>
      </c>
      <c r="C254" s="1" t="n">
        <v>46165</v>
      </c>
      <c r="D254" t="inlineStr">
        <is>
          <t>VÄSTERNORRLANDS LÄN</t>
        </is>
      </c>
      <c r="E254" t="inlineStr">
        <is>
          <t>SUNDSVALL</t>
        </is>
      </c>
      <c r="G254" t="n">
        <v>7</v>
      </c>
      <c r="H254" t="n">
        <v>1</v>
      </c>
      <c r="I254" t="n">
        <v>0</v>
      </c>
      <c r="J254" t="n">
        <v>1</v>
      </c>
      <c r="K254" t="n">
        <v>0</v>
      </c>
      <c r="L254" t="n">
        <v>0</v>
      </c>
      <c r="M254" t="n">
        <v>0</v>
      </c>
      <c r="N254" t="n">
        <v>0</v>
      </c>
      <c r="O254" t="n">
        <v>1</v>
      </c>
      <c r="P254" t="n">
        <v>0</v>
      </c>
      <c r="Q254" t="n">
        <v>1</v>
      </c>
      <c r="R254" s="2" t="inlineStr">
        <is>
          <t>Spillkråka</t>
        </is>
      </c>
      <c r="S254">
        <f>HYPERLINK("https://klasma.github.io/Logging_2281/artfynd/A 1924-2026 artfynd.xlsx", "A 1924-2026")</f>
        <v/>
      </c>
      <c r="T254">
        <f>HYPERLINK("https://klasma.github.io/Logging_2281/kartor/A 1924-2026 karta.png", "A 1924-2026")</f>
        <v/>
      </c>
      <c r="V254">
        <f>HYPERLINK("https://klasma.github.io/Logging_2281/klagomål/A 1924-2026 FSC-klagomål.docx", "A 1924-2026")</f>
        <v/>
      </c>
      <c r="W254">
        <f>HYPERLINK("https://klasma.github.io/Logging_2281/klagomålsmail/A 1924-2026 FSC-klagomål mail.docx", "A 1924-2026")</f>
        <v/>
      </c>
      <c r="X254">
        <f>HYPERLINK("https://klasma.github.io/Logging_2281/tillsyn/A 1924-2026 tillsynsbegäran.docx", "A 1924-2026")</f>
        <v/>
      </c>
      <c r="Y254">
        <f>HYPERLINK("https://klasma.github.io/Logging_2281/tillsynsmail/A 1924-2026 tillsynsbegäran mail.docx", "A 1924-2026")</f>
        <v/>
      </c>
      <c r="Z254">
        <f>HYPERLINK("https://klasma.github.io/Logging_2281/fåglar/A 1924-2026 prioriterade fågelarter.docx", "A 1924-2026")</f>
        <v/>
      </c>
    </row>
    <row r="255" ht="15" customHeight="1">
      <c r="A255" t="inlineStr">
        <is>
          <t>A 37232-2021</t>
        </is>
      </c>
      <c r="B255" s="1" t="n">
        <v>44396</v>
      </c>
      <c r="C255" s="1" t="n">
        <v>46165</v>
      </c>
      <c r="D255" t="inlineStr">
        <is>
          <t>VÄSTERNORRLANDS LÄN</t>
        </is>
      </c>
      <c r="E255" t="inlineStr">
        <is>
          <t>SUNDSVALL</t>
        </is>
      </c>
      <c r="F255" t="inlineStr">
        <is>
          <t>SCA</t>
        </is>
      </c>
      <c r="G255" t="n">
        <v>1.6</v>
      </c>
      <c r="H255" t="n">
        <v>0</v>
      </c>
      <c r="I255" t="n">
        <v>0</v>
      </c>
      <c r="J255" t="n">
        <v>1</v>
      </c>
      <c r="K255" t="n">
        <v>0</v>
      </c>
      <c r="L255" t="n">
        <v>0</v>
      </c>
      <c r="M255" t="n">
        <v>0</v>
      </c>
      <c r="N255" t="n">
        <v>0</v>
      </c>
      <c r="O255" t="n">
        <v>1</v>
      </c>
      <c r="P255" t="n">
        <v>0</v>
      </c>
      <c r="Q255" t="n">
        <v>1</v>
      </c>
      <c r="R255" s="2" t="inlineStr">
        <is>
          <t>Rosenticka</t>
        </is>
      </c>
      <c r="S255">
        <f>HYPERLINK("https://klasma.github.io/Logging_2281/artfynd/A 37232-2021 artfynd.xlsx", "A 37232-2021")</f>
        <v/>
      </c>
      <c r="T255">
        <f>HYPERLINK("https://klasma.github.io/Logging_2281/kartor/A 37232-2021 karta.png", "A 37232-2021")</f>
        <v/>
      </c>
      <c r="V255">
        <f>HYPERLINK("https://klasma.github.io/Logging_2281/klagomål/A 37232-2021 FSC-klagomål.docx", "A 37232-2021")</f>
        <v/>
      </c>
      <c r="W255">
        <f>HYPERLINK("https://klasma.github.io/Logging_2281/klagomålsmail/A 37232-2021 FSC-klagomål mail.docx", "A 37232-2021")</f>
        <v/>
      </c>
      <c r="X255">
        <f>HYPERLINK("https://klasma.github.io/Logging_2281/tillsyn/A 37232-2021 tillsynsbegäran.docx", "A 37232-2021")</f>
        <v/>
      </c>
      <c r="Y255">
        <f>HYPERLINK("https://klasma.github.io/Logging_2281/tillsynsmail/A 37232-2021 tillsynsbegäran mail.docx", "A 37232-2021")</f>
        <v/>
      </c>
    </row>
    <row r="256" ht="15" customHeight="1">
      <c r="A256" t="inlineStr">
        <is>
          <t>A 30827-2023</t>
        </is>
      </c>
      <c r="B256" s="1" t="n">
        <v>45112</v>
      </c>
      <c r="C256" s="1" t="n">
        <v>46165</v>
      </c>
      <c r="D256" t="inlineStr">
        <is>
          <t>VÄSTERNORRLANDS LÄN</t>
        </is>
      </c>
      <c r="E256" t="inlineStr">
        <is>
          <t>SUNDSVALL</t>
        </is>
      </c>
      <c r="F256" t="inlineStr">
        <is>
          <t>SCA</t>
        </is>
      </c>
      <c r="G256" t="n">
        <v>21.9</v>
      </c>
      <c r="H256" t="n">
        <v>0</v>
      </c>
      <c r="I256" t="n">
        <v>1</v>
      </c>
      <c r="J256" t="n">
        <v>0</v>
      </c>
      <c r="K256" t="n">
        <v>0</v>
      </c>
      <c r="L256" t="n">
        <v>0</v>
      </c>
      <c r="M256" t="n">
        <v>0</v>
      </c>
      <c r="N256" t="n">
        <v>0</v>
      </c>
      <c r="O256" t="n">
        <v>0</v>
      </c>
      <c r="P256" t="n">
        <v>0</v>
      </c>
      <c r="Q256" t="n">
        <v>1</v>
      </c>
      <c r="R256" s="2" t="inlineStr">
        <is>
          <t>Dropptaggsvamp</t>
        </is>
      </c>
      <c r="S256">
        <f>HYPERLINK("https://klasma.github.io/Logging_2281/artfynd/A 30827-2023 artfynd.xlsx", "A 30827-2023")</f>
        <v/>
      </c>
      <c r="T256">
        <f>HYPERLINK("https://klasma.github.io/Logging_2281/kartor/A 30827-2023 karta.png", "A 30827-2023")</f>
        <v/>
      </c>
      <c r="V256">
        <f>HYPERLINK("https://klasma.github.io/Logging_2281/klagomål/A 30827-2023 FSC-klagomål.docx", "A 30827-2023")</f>
        <v/>
      </c>
      <c r="W256">
        <f>HYPERLINK("https://klasma.github.io/Logging_2281/klagomålsmail/A 30827-2023 FSC-klagomål mail.docx", "A 30827-2023")</f>
        <v/>
      </c>
      <c r="X256">
        <f>HYPERLINK("https://klasma.github.io/Logging_2281/tillsyn/A 30827-2023 tillsynsbegäran.docx", "A 30827-2023")</f>
        <v/>
      </c>
      <c r="Y256">
        <f>HYPERLINK("https://klasma.github.io/Logging_2281/tillsynsmail/A 30827-2023 tillsynsbegäran mail.docx", "A 30827-2023")</f>
        <v/>
      </c>
    </row>
    <row r="257" ht="15" customHeight="1">
      <c r="A257" t="inlineStr">
        <is>
          <t>A 9200-2022</t>
        </is>
      </c>
      <c r="B257" s="1" t="n">
        <v>44615.92614583333</v>
      </c>
      <c r="C257" s="1" t="n">
        <v>46165</v>
      </c>
      <c r="D257" t="inlineStr">
        <is>
          <t>VÄSTERNORRLANDS LÄN</t>
        </is>
      </c>
      <c r="E257" t="inlineStr">
        <is>
          <t>SUNDSVALL</t>
        </is>
      </c>
      <c r="G257" t="n">
        <v>17.6</v>
      </c>
      <c r="H257" t="n">
        <v>0</v>
      </c>
      <c r="I257" t="n">
        <v>0</v>
      </c>
      <c r="J257" t="n">
        <v>1</v>
      </c>
      <c r="K257" t="n">
        <v>0</v>
      </c>
      <c r="L257" t="n">
        <v>0</v>
      </c>
      <c r="M257" t="n">
        <v>0</v>
      </c>
      <c r="N257" t="n">
        <v>0</v>
      </c>
      <c r="O257" t="n">
        <v>1</v>
      </c>
      <c r="P257" t="n">
        <v>0</v>
      </c>
      <c r="Q257" t="n">
        <v>1</v>
      </c>
      <c r="R257" s="2" t="inlineStr">
        <is>
          <t>Blå taggsvamp</t>
        </is>
      </c>
      <c r="S257">
        <f>HYPERLINK("https://klasma.github.io/Logging_2281/artfynd/A 9200-2022 artfynd.xlsx", "A 9200-2022")</f>
        <v/>
      </c>
      <c r="T257">
        <f>HYPERLINK("https://klasma.github.io/Logging_2281/kartor/A 9200-2022 karta.png", "A 9200-2022")</f>
        <v/>
      </c>
      <c r="V257">
        <f>HYPERLINK("https://klasma.github.io/Logging_2281/klagomål/A 9200-2022 FSC-klagomål.docx", "A 9200-2022")</f>
        <v/>
      </c>
      <c r="W257">
        <f>HYPERLINK("https://klasma.github.io/Logging_2281/klagomålsmail/A 9200-2022 FSC-klagomål mail.docx", "A 9200-2022")</f>
        <v/>
      </c>
      <c r="X257">
        <f>HYPERLINK("https://klasma.github.io/Logging_2281/tillsyn/A 9200-2022 tillsynsbegäran.docx", "A 9200-2022")</f>
        <v/>
      </c>
      <c r="Y257">
        <f>HYPERLINK("https://klasma.github.io/Logging_2281/tillsynsmail/A 9200-2022 tillsynsbegäran mail.docx", "A 9200-2022")</f>
        <v/>
      </c>
    </row>
    <row r="258" ht="15" customHeight="1">
      <c r="A258" t="inlineStr">
        <is>
          <t>A 3582-2026</t>
        </is>
      </c>
      <c r="B258" s="1" t="n">
        <v>46042.72751157408</v>
      </c>
      <c r="C258" s="1" t="n">
        <v>46165</v>
      </c>
      <c r="D258" t="inlineStr">
        <is>
          <t>VÄSTERNORRLANDS LÄN</t>
        </is>
      </c>
      <c r="E258" t="inlineStr">
        <is>
          <t>SUNDSVALL</t>
        </is>
      </c>
      <c r="G258" t="n">
        <v>3.8</v>
      </c>
      <c r="H258" t="n">
        <v>1</v>
      </c>
      <c r="I258" t="n">
        <v>0</v>
      </c>
      <c r="J258" t="n">
        <v>0</v>
      </c>
      <c r="K258" t="n">
        <v>0</v>
      </c>
      <c r="L258" t="n">
        <v>0</v>
      </c>
      <c r="M258" t="n">
        <v>0</v>
      </c>
      <c r="N258" t="n">
        <v>0</v>
      </c>
      <c r="O258" t="n">
        <v>0</v>
      </c>
      <c r="P258" t="n">
        <v>0</v>
      </c>
      <c r="Q258" t="n">
        <v>1</v>
      </c>
      <c r="R258" s="2" t="inlineStr">
        <is>
          <t>Nattviol</t>
        </is>
      </c>
      <c r="S258">
        <f>HYPERLINK("https://klasma.github.io/Logging_2281/artfynd/A 3582-2026 artfynd.xlsx", "A 3582-2026")</f>
        <v/>
      </c>
      <c r="T258">
        <f>HYPERLINK("https://klasma.github.io/Logging_2281/kartor/A 3582-2026 karta.png", "A 3582-2026")</f>
        <v/>
      </c>
      <c r="V258">
        <f>HYPERLINK("https://klasma.github.io/Logging_2281/klagomål/A 3582-2026 FSC-klagomål.docx", "A 3582-2026")</f>
        <v/>
      </c>
      <c r="W258">
        <f>HYPERLINK("https://klasma.github.io/Logging_2281/klagomålsmail/A 3582-2026 FSC-klagomål mail.docx", "A 3582-2026")</f>
        <v/>
      </c>
      <c r="X258">
        <f>HYPERLINK("https://klasma.github.io/Logging_2281/tillsyn/A 3582-2026 tillsynsbegäran.docx", "A 3582-2026")</f>
        <v/>
      </c>
      <c r="Y258">
        <f>HYPERLINK("https://klasma.github.io/Logging_2281/tillsynsmail/A 3582-2026 tillsynsbegäran mail.docx", "A 3582-2026")</f>
        <v/>
      </c>
    </row>
    <row r="259" ht="15" customHeight="1">
      <c r="A259" t="inlineStr">
        <is>
          <t>A 4265-2026</t>
        </is>
      </c>
      <c r="B259" s="1" t="n">
        <v>46045.34465277778</v>
      </c>
      <c r="C259" s="1" t="n">
        <v>46165</v>
      </c>
      <c r="D259" t="inlineStr">
        <is>
          <t>VÄSTERNORRLANDS LÄN</t>
        </is>
      </c>
      <c r="E259" t="inlineStr">
        <is>
          <t>SUNDSVALL</t>
        </is>
      </c>
      <c r="G259" t="n">
        <v>5.5</v>
      </c>
      <c r="H259" t="n">
        <v>1</v>
      </c>
      <c r="I259" t="n">
        <v>1</v>
      </c>
      <c r="J259" t="n">
        <v>0</v>
      </c>
      <c r="K259" t="n">
        <v>0</v>
      </c>
      <c r="L259" t="n">
        <v>0</v>
      </c>
      <c r="M259" t="n">
        <v>0</v>
      </c>
      <c r="N259" t="n">
        <v>0</v>
      </c>
      <c r="O259" t="n">
        <v>0</v>
      </c>
      <c r="P259" t="n">
        <v>0</v>
      </c>
      <c r="Q259" t="n">
        <v>1</v>
      </c>
      <c r="R259" s="2" t="inlineStr">
        <is>
          <t>Korallrot</t>
        </is>
      </c>
      <c r="S259">
        <f>HYPERLINK("https://klasma.github.io/Logging_2281/artfynd/A 4265-2026 artfynd.xlsx", "A 4265-2026")</f>
        <v/>
      </c>
      <c r="T259">
        <f>HYPERLINK("https://klasma.github.io/Logging_2281/kartor/A 4265-2026 karta.png", "A 4265-2026")</f>
        <v/>
      </c>
      <c r="V259">
        <f>HYPERLINK("https://klasma.github.io/Logging_2281/klagomål/A 4265-2026 FSC-klagomål.docx", "A 4265-2026")</f>
        <v/>
      </c>
      <c r="W259">
        <f>HYPERLINK("https://klasma.github.io/Logging_2281/klagomålsmail/A 4265-2026 FSC-klagomål mail.docx", "A 4265-2026")</f>
        <v/>
      </c>
      <c r="X259">
        <f>HYPERLINK("https://klasma.github.io/Logging_2281/tillsyn/A 4265-2026 tillsynsbegäran.docx", "A 4265-2026")</f>
        <v/>
      </c>
      <c r="Y259">
        <f>HYPERLINK("https://klasma.github.io/Logging_2281/tillsynsmail/A 4265-2026 tillsynsbegäran mail.docx", "A 4265-2026")</f>
        <v/>
      </c>
    </row>
    <row r="260" ht="15" customHeight="1">
      <c r="A260" t="inlineStr">
        <is>
          <t>A 49863-2023</t>
        </is>
      </c>
      <c r="B260" s="1" t="n">
        <v>45212</v>
      </c>
      <c r="C260" s="1" t="n">
        <v>46165</v>
      </c>
      <c r="D260" t="inlineStr">
        <is>
          <t>VÄSTERNORRLANDS LÄN</t>
        </is>
      </c>
      <c r="E260" t="inlineStr">
        <is>
          <t>SUNDSVALL</t>
        </is>
      </c>
      <c r="F260" t="inlineStr">
        <is>
          <t>SCA</t>
        </is>
      </c>
      <c r="G260" t="n">
        <v>2.3</v>
      </c>
      <c r="H260" t="n">
        <v>1</v>
      </c>
      <c r="I260" t="n">
        <v>0</v>
      </c>
      <c r="J260" t="n">
        <v>1</v>
      </c>
      <c r="K260" t="n">
        <v>0</v>
      </c>
      <c r="L260" t="n">
        <v>0</v>
      </c>
      <c r="M260" t="n">
        <v>0</v>
      </c>
      <c r="N260" t="n">
        <v>0</v>
      </c>
      <c r="O260" t="n">
        <v>1</v>
      </c>
      <c r="P260" t="n">
        <v>0</v>
      </c>
      <c r="Q260" t="n">
        <v>1</v>
      </c>
      <c r="R260" s="2" t="inlineStr">
        <is>
          <t>Tretåig hackspett</t>
        </is>
      </c>
      <c r="S260">
        <f>HYPERLINK("https://klasma.github.io/Logging_2281/artfynd/A 49863-2023 artfynd.xlsx", "A 49863-2023")</f>
        <v/>
      </c>
      <c r="T260">
        <f>HYPERLINK("https://klasma.github.io/Logging_2281/kartor/A 49863-2023 karta.png", "A 49863-2023")</f>
        <v/>
      </c>
      <c r="V260">
        <f>HYPERLINK("https://klasma.github.io/Logging_2281/klagomål/A 49863-2023 FSC-klagomål.docx", "A 49863-2023")</f>
        <v/>
      </c>
      <c r="W260">
        <f>HYPERLINK("https://klasma.github.io/Logging_2281/klagomålsmail/A 49863-2023 FSC-klagomål mail.docx", "A 49863-2023")</f>
        <v/>
      </c>
      <c r="X260">
        <f>HYPERLINK("https://klasma.github.io/Logging_2281/tillsyn/A 49863-2023 tillsynsbegäran.docx", "A 49863-2023")</f>
        <v/>
      </c>
      <c r="Y260">
        <f>HYPERLINK("https://klasma.github.io/Logging_2281/tillsynsmail/A 49863-2023 tillsynsbegäran mail.docx", "A 49863-2023")</f>
        <v/>
      </c>
      <c r="Z260">
        <f>HYPERLINK("https://klasma.github.io/Logging_2281/fåglar/A 49863-2023 prioriterade fågelarter.docx", "A 49863-2023")</f>
        <v/>
      </c>
    </row>
    <row r="261" ht="15" customHeight="1">
      <c r="A261" t="inlineStr">
        <is>
          <t>A 24431-2025</t>
        </is>
      </c>
      <c r="B261" s="1" t="n">
        <v>45797</v>
      </c>
      <c r="C261" s="1" t="n">
        <v>46165</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24431-2025 artfynd.xlsx", "A 24431-2025")</f>
        <v/>
      </c>
      <c r="T261">
        <f>HYPERLINK("https://klasma.github.io/Logging_2281/kartor/A 24431-2025 karta.png", "A 24431-2025")</f>
        <v/>
      </c>
      <c r="V261">
        <f>HYPERLINK("https://klasma.github.io/Logging_2281/klagomål/A 24431-2025 FSC-klagomål.docx", "A 24431-2025")</f>
        <v/>
      </c>
      <c r="W261">
        <f>HYPERLINK("https://klasma.github.io/Logging_2281/klagomålsmail/A 24431-2025 FSC-klagomål mail.docx", "A 24431-2025")</f>
        <v/>
      </c>
      <c r="X261">
        <f>HYPERLINK("https://klasma.github.io/Logging_2281/tillsyn/A 24431-2025 tillsynsbegäran.docx", "A 24431-2025")</f>
        <v/>
      </c>
      <c r="Y261">
        <f>HYPERLINK("https://klasma.github.io/Logging_2281/tillsynsmail/A 24431-2025 tillsynsbegäran mail.docx", "A 24431-2025")</f>
        <v/>
      </c>
      <c r="Z261">
        <f>HYPERLINK("https://klasma.github.io/Logging_2281/fåglar/A 24431-2025 prioriterade fågelarter.docx", "A 24431-2025")</f>
        <v/>
      </c>
    </row>
    <row r="262" ht="15" customHeight="1">
      <c r="A262" t="inlineStr">
        <is>
          <t>A 8176-2026</t>
        </is>
      </c>
      <c r="B262" s="1" t="n">
        <v>46064.40684027778</v>
      </c>
      <c r="C262" s="1" t="n">
        <v>46165</v>
      </c>
      <c r="D262" t="inlineStr">
        <is>
          <t>VÄSTERNORRLANDS LÄN</t>
        </is>
      </c>
      <c r="E262" t="inlineStr">
        <is>
          <t>SUNDSVALL</t>
        </is>
      </c>
      <c r="F262" t="inlineStr">
        <is>
          <t>SCA</t>
        </is>
      </c>
      <c r="G262" t="n">
        <v>31.5</v>
      </c>
      <c r="H262" t="n">
        <v>0</v>
      </c>
      <c r="I262" t="n">
        <v>0</v>
      </c>
      <c r="J262" t="n">
        <v>1</v>
      </c>
      <c r="K262" t="n">
        <v>0</v>
      </c>
      <c r="L262" t="n">
        <v>0</v>
      </c>
      <c r="M262" t="n">
        <v>0</v>
      </c>
      <c r="N262" t="n">
        <v>0</v>
      </c>
      <c r="O262" t="n">
        <v>1</v>
      </c>
      <c r="P262" t="n">
        <v>0</v>
      </c>
      <c r="Q262" t="n">
        <v>1</v>
      </c>
      <c r="R262" s="2" t="inlineStr">
        <is>
          <t>Brunklöver</t>
        </is>
      </c>
      <c r="S262">
        <f>HYPERLINK("https://klasma.github.io/Logging_2281/artfynd/A 8176-2026 artfynd.xlsx", "A 8176-2026")</f>
        <v/>
      </c>
      <c r="T262">
        <f>HYPERLINK("https://klasma.github.io/Logging_2281/kartor/A 8176-2026 karta.png", "A 8176-2026")</f>
        <v/>
      </c>
      <c r="V262">
        <f>HYPERLINK("https://klasma.github.io/Logging_2281/klagomål/A 8176-2026 FSC-klagomål.docx", "A 8176-2026")</f>
        <v/>
      </c>
      <c r="W262">
        <f>HYPERLINK("https://klasma.github.io/Logging_2281/klagomålsmail/A 8176-2026 FSC-klagomål mail.docx", "A 8176-2026")</f>
        <v/>
      </c>
      <c r="X262">
        <f>HYPERLINK("https://klasma.github.io/Logging_2281/tillsyn/A 8176-2026 tillsynsbegäran.docx", "A 8176-2026")</f>
        <v/>
      </c>
      <c r="Y262">
        <f>HYPERLINK("https://klasma.github.io/Logging_2281/tillsynsmail/A 8176-2026 tillsynsbegäran mail.docx", "A 8176-2026")</f>
        <v/>
      </c>
    </row>
    <row r="263" ht="15" customHeight="1">
      <c r="A263" t="inlineStr">
        <is>
          <t>A 44193-2023</t>
        </is>
      </c>
      <c r="B263" s="1" t="n">
        <v>45188</v>
      </c>
      <c r="C263" s="1" t="n">
        <v>46165</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20078-2025</t>
        </is>
      </c>
      <c r="B264" s="1" t="n">
        <v>45772.44892361111</v>
      </c>
      <c r="C264" s="1" t="n">
        <v>46165</v>
      </c>
      <c r="D264" t="inlineStr">
        <is>
          <t>VÄSTERNORRLANDS LÄN</t>
        </is>
      </c>
      <c r="E264" t="inlineStr">
        <is>
          <t>SUNDSVALL</t>
        </is>
      </c>
      <c r="F264" t="inlineStr">
        <is>
          <t>Naturvårdsverket</t>
        </is>
      </c>
      <c r="G264" t="n">
        <v>6.9</v>
      </c>
      <c r="H264" t="n">
        <v>0</v>
      </c>
      <c r="I264" t="n">
        <v>0</v>
      </c>
      <c r="J264" t="n">
        <v>1</v>
      </c>
      <c r="K264" t="n">
        <v>0</v>
      </c>
      <c r="L264" t="n">
        <v>0</v>
      </c>
      <c r="M264" t="n">
        <v>0</v>
      </c>
      <c r="N264" t="n">
        <v>0</v>
      </c>
      <c r="O264" t="n">
        <v>1</v>
      </c>
      <c r="P264" t="n">
        <v>0</v>
      </c>
      <c r="Q264" t="n">
        <v>1</v>
      </c>
      <c r="R264" s="2" t="inlineStr">
        <is>
          <t>Lunglav</t>
        </is>
      </c>
      <c r="S264">
        <f>HYPERLINK("https://klasma.github.io/Logging_2281/artfynd/A 20078-2025 artfynd.xlsx", "A 20078-2025")</f>
        <v/>
      </c>
      <c r="T264">
        <f>HYPERLINK("https://klasma.github.io/Logging_2281/kartor/A 20078-2025 karta.png", "A 20078-2025")</f>
        <v/>
      </c>
      <c r="V264">
        <f>HYPERLINK("https://klasma.github.io/Logging_2281/klagomål/A 20078-2025 FSC-klagomål.docx", "A 20078-2025")</f>
        <v/>
      </c>
      <c r="W264">
        <f>HYPERLINK("https://klasma.github.io/Logging_2281/klagomålsmail/A 20078-2025 FSC-klagomål mail.docx", "A 20078-2025")</f>
        <v/>
      </c>
      <c r="X264">
        <f>HYPERLINK("https://klasma.github.io/Logging_2281/tillsyn/A 20078-2025 tillsynsbegäran.docx", "A 20078-2025")</f>
        <v/>
      </c>
      <c r="Y264">
        <f>HYPERLINK("https://klasma.github.io/Logging_2281/tillsynsmail/A 20078-2025 tillsynsbegäran mail.docx", "A 20078-2025")</f>
        <v/>
      </c>
    </row>
    <row r="265" ht="15" customHeight="1">
      <c r="A265" t="inlineStr">
        <is>
          <t>A 30462-2024</t>
        </is>
      </c>
      <c r="B265" s="1" t="n">
        <v>45491</v>
      </c>
      <c r="C265" s="1" t="n">
        <v>46165</v>
      </c>
      <c r="D265" t="inlineStr">
        <is>
          <t>VÄSTERNORRLANDS LÄN</t>
        </is>
      </c>
      <c r="E265" t="inlineStr">
        <is>
          <t>SUNDSVALL</t>
        </is>
      </c>
      <c r="F265" t="inlineStr">
        <is>
          <t>SCA</t>
        </is>
      </c>
      <c r="G265" t="n">
        <v>4.1</v>
      </c>
      <c r="H265" t="n">
        <v>0</v>
      </c>
      <c r="I265" t="n">
        <v>0</v>
      </c>
      <c r="J265" t="n">
        <v>1</v>
      </c>
      <c r="K265" t="n">
        <v>0</v>
      </c>
      <c r="L265" t="n">
        <v>0</v>
      </c>
      <c r="M265" t="n">
        <v>0</v>
      </c>
      <c r="N265" t="n">
        <v>0</v>
      </c>
      <c r="O265" t="n">
        <v>1</v>
      </c>
      <c r="P265" t="n">
        <v>0</v>
      </c>
      <c r="Q265" t="n">
        <v>1</v>
      </c>
      <c r="R265" s="2" t="inlineStr">
        <is>
          <t>Igelkott</t>
        </is>
      </c>
      <c r="S265">
        <f>HYPERLINK("https://klasma.github.io/Logging_2281/artfynd/A 30462-2024 artfynd.xlsx", "A 30462-2024")</f>
        <v/>
      </c>
      <c r="T265">
        <f>HYPERLINK("https://klasma.github.io/Logging_2281/kartor/A 30462-2024 karta.png", "A 30462-2024")</f>
        <v/>
      </c>
      <c r="V265">
        <f>HYPERLINK("https://klasma.github.io/Logging_2281/klagomål/A 30462-2024 FSC-klagomål.docx", "A 30462-2024")</f>
        <v/>
      </c>
      <c r="W265">
        <f>HYPERLINK("https://klasma.github.io/Logging_2281/klagomålsmail/A 30462-2024 FSC-klagomål mail.docx", "A 30462-2024")</f>
        <v/>
      </c>
      <c r="X265">
        <f>HYPERLINK("https://klasma.github.io/Logging_2281/tillsyn/A 30462-2024 tillsynsbegäran.docx", "A 30462-2024")</f>
        <v/>
      </c>
      <c r="Y265">
        <f>HYPERLINK("https://klasma.github.io/Logging_2281/tillsynsmail/A 30462-2024 tillsynsbegäran mail.docx", "A 30462-2024")</f>
        <v/>
      </c>
    </row>
    <row r="266" ht="15" customHeight="1">
      <c r="A266" t="inlineStr">
        <is>
          <t>A 13143-2026</t>
        </is>
      </c>
      <c r="B266" s="1" t="n">
        <v>46093</v>
      </c>
      <c r="C266" s="1" t="n">
        <v>46165</v>
      </c>
      <c r="D266" t="inlineStr">
        <is>
          <t>VÄSTERNORRLANDS LÄN</t>
        </is>
      </c>
      <c r="E266" t="inlineStr">
        <is>
          <t>SUNDSVALL</t>
        </is>
      </c>
      <c r="F266" t="inlineStr">
        <is>
          <t>SCA</t>
        </is>
      </c>
      <c r="G266" t="n">
        <v>12.4</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13143-2026 artfynd.xlsx", "A 13143-2026")</f>
        <v/>
      </c>
      <c r="T266">
        <f>HYPERLINK("https://klasma.github.io/Logging_2281/kartor/A 13143-2026 karta.png", "A 13143-2026")</f>
        <v/>
      </c>
      <c r="V266">
        <f>HYPERLINK("https://klasma.github.io/Logging_2281/klagomål/A 13143-2026 FSC-klagomål.docx", "A 13143-2026")</f>
        <v/>
      </c>
      <c r="W266">
        <f>HYPERLINK("https://klasma.github.io/Logging_2281/klagomålsmail/A 13143-2026 FSC-klagomål mail.docx", "A 13143-2026")</f>
        <v/>
      </c>
      <c r="X266">
        <f>HYPERLINK("https://klasma.github.io/Logging_2281/tillsyn/A 13143-2026 tillsynsbegäran.docx", "A 13143-2026")</f>
        <v/>
      </c>
      <c r="Y266">
        <f>HYPERLINK("https://klasma.github.io/Logging_2281/tillsynsmail/A 13143-2026 tillsynsbegäran mail.docx", "A 13143-2026")</f>
        <v/>
      </c>
      <c r="Z266">
        <f>HYPERLINK("https://klasma.github.io/Logging_2281/fåglar/A 13143-2026 prioriterade fågelarter.docx", "A 13143-2026")</f>
        <v/>
      </c>
    </row>
    <row r="267" ht="15" customHeight="1">
      <c r="A267" t="inlineStr">
        <is>
          <t>A 20119-2026</t>
        </is>
      </c>
      <c r="B267" s="1" t="n">
        <v>46136.65724537037</v>
      </c>
      <c r="C267" s="1" t="n">
        <v>46165</v>
      </c>
      <c r="D267" t="inlineStr">
        <is>
          <t>VÄSTERNORRLANDS LÄN</t>
        </is>
      </c>
      <c r="E267" t="inlineStr">
        <is>
          <t>SUNDSVALL</t>
        </is>
      </c>
      <c r="F267" t="inlineStr">
        <is>
          <t>SCA</t>
        </is>
      </c>
      <c r="G267" t="n">
        <v>2</v>
      </c>
      <c r="H267" t="n">
        <v>1</v>
      </c>
      <c r="I267" t="n">
        <v>0</v>
      </c>
      <c r="J267" t="n">
        <v>0</v>
      </c>
      <c r="K267" t="n">
        <v>0</v>
      </c>
      <c r="L267" t="n">
        <v>0</v>
      </c>
      <c r="M267" t="n">
        <v>0</v>
      </c>
      <c r="N267" t="n">
        <v>0</v>
      </c>
      <c r="O267" t="n">
        <v>0</v>
      </c>
      <c r="P267" t="n">
        <v>0</v>
      </c>
      <c r="Q267" t="n">
        <v>1</v>
      </c>
      <c r="R267" s="2" t="inlineStr">
        <is>
          <t>Tjäder</t>
        </is>
      </c>
      <c r="S267">
        <f>HYPERLINK("https://klasma.github.io/Logging_2281/artfynd/A 20119-2026 artfynd.xlsx", "A 20119-2026")</f>
        <v/>
      </c>
      <c r="T267">
        <f>HYPERLINK("https://klasma.github.io/Logging_2281/kartor/A 20119-2026 karta.png", "A 20119-2026")</f>
        <v/>
      </c>
      <c r="V267">
        <f>HYPERLINK("https://klasma.github.io/Logging_2281/klagomål/A 20119-2026 FSC-klagomål.docx", "A 20119-2026")</f>
        <v/>
      </c>
      <c r="W267">
        <f>HYPERLINK("https://klasma.github.io/Logging_2281/klagomålsmail/A 20119-2026 FSC-klagomål mail.docx", "A 20119-2026")</f>
        <v/>
      </c>
      <c r="X267">
        <f>HYPERLINK("https://klasma.github.io/Logging_2281/tillsyn/A 20119-2026 tillsynsbegäran.docx", "A 20119-2026")</f>
        <v/>
      </c>
      <c r="Y267">
        <f>HYPERLINK("https://klasma.github.io/Logging_2281/tillsynsmail/A 20119-2026 tillsynsbegäran mail.docx", "A 20119-2026")</f>
        <v/>
      </c>
      <c r="Z267">
        <f>HYPERLINK("https://klasma.github.io/Logging_2281/fåglar/A 20119-2026 prioriterade fågelarter.docx", "A 20119-2026")</f>
        <v/>
      </c>
    </row>
    <row r="268" ht="15" customHeight="1">
      <c r="A268" t="inlineStr">
        <is>
          <t>A 15376-2024</t>
        </is>
      </c>
      <c r="B268" s="1" t="n">
        <v>45400</v>
      </c>
      <c r="C268" s="1" t="n">
        <v>46165</v>
      </c>
      <c r="D268" t="inlineStr">
        <is>
          <t>VÄSTERNORRLANDS LÄN</t>
        </is>
      </c>
      <c r="E268" t="inlineStr">
        <is>
          <t>SUNDSVALL</t>
        </is>
      </c>
      <c r="F268" t="inlineStr">
        <is>
          <t>Naturvårdsverket</t>
        </is>
      </c>
      <c r="G268" t="n">
        <v>1.2</v>
      </c>
      <c r="H268" t="n">
        <v>0</v>
      </c>
      <c r="I268" t="n">
        <v>0</v>
      </c>
      <c r="J268" t="n">
        <v>1</v>
      </c>
      <c r="K268" t="n">
        <v>0</v>
      </c>
      <c r="L268" t="n">
        <v>0</v>
      </c>
      <c r="M268" t="n">
        <v>0</v>
      </c>
      <c r="N268" t="n">
        <v>0</v>
      </c>
      <c r="O268" t="n">
        <v>1</v>
      </c>
      <c r="P268" t="n">
        <v>0</v>
      </c>
      <c r="Q268" t="n">
        <v>1</v>
      </c>
      <c r="R268" s="2" t="inlineStr">
        <is>
          <t>Granticka</t>
        </is>
      </c>
      <c r="S268">
        <f>HYPERLINK("https://klasma.github.io/Logging_2281/artfynd/A 15376-2024 artfynd.xlsx", "A 15376-2024")</f>
        <v/>
      </c>
      <c r="T268">
        <f>HYPERLINK("https://klasma.github.io/Logging_2281/kartor/A 15376-2024 karta.png", "A 15376-2024")</f>
        <v/>
      </c>
      <c r="V268">
        <f>HYPERLINK("https://klasma.github.io/Logging_2281/klagomål/A 15376-2024 FSC-klagomål.docx", "A 15376-2024")</f>
        <v/>
      </c>
      <c r="W268">
        <f>HYPERLINK("https://klasma.github.io/Logging_2281/klagomålsmail/A 15376-2024 FSC-klagomål mail.docx", "A 15376-2024")</f>
        <v/>
      </c>
      <c r="X268">
        <f>HYPERLINK("https://klasma.github.io/Logging_2281/tillsyn/A 15376-2024 tillsynsbegäran.docx", "A 15376-2024")</f>
        <v/>
      </c>
      <c r="Y268">
        <f>HYPERLINK("https://klasma.github.io/Logging_2281/tillsynsmail/A 15376-2024 tillsynsbegäran mail.docx", "A 15376-2024")</f>
        <v/>
      </c>
    </row>
    <row r="269" ht="15" customHeight="1">
      <c r="A269" t="inlineStr">
        <is>
          <t>A 19966-2026</t>
        </is>
      </c>
      <c r="B269" s="1" t="n">
        <v>46136.42440972223</v>
      </c>
      <c r="C269" s="1" t="n">
        <v>46165</v>
      </c>
      <c r="D269" t="inlineStr">
        <is>
          <t>VÄSTERNORRLANDS LÄN</t>
        </is>
      </c>
      <c r="E269" t="inlineStr">
        <is>
          <t>SUNDSVALL</t>
        </is>
      </c>
      <c r="G269" t="n">
        <v>6.4</v>
      </c>
      <c r="H269" t="n">
        <v>1</v>
      </c>
      <c r="I269" t="n">
        <v>0</v>
      </c>
      <c r="J269" t="n">
        <v>0</v>
      </c>
      <c r="K269" t="n">
        <v>0</v>
      </c>
      <c r="L269" t="n">
        <v>0</v>
      </c>
      <c r="M269" t="n">
        <v>0</v>
      </c>
      <c r="N269" t="n">
        <v>0</v>
      </c>
      <c r="O269" t="n">
        <v>0</v>
      </c>
      <c r="P269" t="n">
        <v>0</v>
      </c>
      <c r="Q269" t="n">
        <v>1</v>
      </c>
      <c r="R269" s="2" t="inlineStr">
        <is>
          <t>Fläcknycklar</t>
        </is>
      </c>
      <c r="S269">
        <f>HYPERLINK("https://klasma.github.io/Logging_2281/artfynd/A 19966-2026 artfynd.xlsx", "A 19966-2026")</f>
        <v/>
      </c>
      <c r="T269">
        <f>HYPERLINK("https://klasma.github.io/Logging_2281/kartor/A 19966-2026 karta.png", "A 19966-2026")</f>
        <v/>
      </c>
      <c r="V269">
        <f>HYPERLINK("https://klasma.github.io/Logging_2281/klagomål/A 19966-2026 FSC-klagomål.docx", "A 19966-2026")</f>
        <v/>
      </c>
      <c r="W269">
        <f>HYPERLINK("https://klasma.github.io/Logging_2281/klagomålsmail/A 19966-2026 FSC-klagomål mail.docx", "A 19966-2026")</f>
        <v/>
      </c>
      <c r="X269">
        <f>HYPERLINK("https://klasma.github.io/Logging_2281/tillsyn/A 19966-2026 tillsynsbegäran.docx", "A 19966-2026")</f>
        <v/>
      </c>
      <c r="Y269">
        <f>HYPERLINK("https://klasma.github.io/Logging_2281/tillsynsmail/A 19966-2026 tillsynsbegäran mail.docx", "A 19966-2026")</f>
        <v/>
      </c>
    </row>
    <row r="270" ht="15" customHeight="1">
      <c r="A270" t="inlineStr">
        <is>
          <t>A 20115-2026</t>
        </is>
      </c>
      <c r="B270" s="1" t="n">
        <v>46136.65674768519</v>
      </c>
      <c r="C270" s="1" t="n">
        <v>46165</v>
      </c>
      <c r="D270" t="inlineStr">
        <is>
          <t>VÄSTERNORRLANDS LÄN</t>
        </is>
      </c>
      <c r="E270" t="inlineStr">
        <is>
          <t>SUNDSVALL</t>
        </is>
      </c>
      <c r="F270" t="inlineStr">
        <is>
          <t>SCA</t>
        </is>
      </c>
      <c r="G270" t="n">
        <v>1.8</v>
      </c>
      <c r="H270" t="n">
        <v>1</v>
      </c>
      <c r="I270" t="n">
        <v>0</v>
      </c>
      <c r="J270" t="n">
        <v>0</v>
      </c>
      <c r="K270" t="n">
        <v>0</v>
      </c>
      <c r="L270" t="n">
        <v>0</v>
      </c>
      <c r="M270" t="n">
        <v>0</v>
      </c>
      <c r="N270" t="n">
        <v>0</v>
      </c>
      <c r="O270" t="n">
        <v>0</v>
      </c>
      <c r="P270" t="n">
        <v>0</v>
      </c>
      <c r="Q270" t="n">
        <v>1</v>
      </c>
      <c r="R270" s="2" t="inlineStr">
        <is>
          <t>Tjäder</t>
        </is>
      </c>
      <c r="S270">
        <f>HYPERLINK("https://klasma.github.io/Logging_2281/artfynd/A 20115-2026 artfynd.xlsx", "A 20115-2026")</f>
        <v/>
      </c>
      <c r="T270">
        <f>HYPERLINK("https://klasma.github.io/Logging_2281/kartor/A 20115-2026 karta.png", "A 20115-2026")</f>
        <v/>
      </c>
      <c r="V270">
        <f>HYPERLINK("https://klasma.github.io/Logging_2281/klagomål/A 20115-2026 FSC-klagomål.docx", "A 20115-2026")</f>
        <v/>
      </c>
      <c r="W270">
        <f>HYPERLINK("https://klasma.github.io/Logging_2281/klagomålsmail/A 20115-2026 FSC-klagomål mail.docx", "A 20115-2026")</f>
        <v/>
      </c>
      <c r="X270">
        <f>HYPERLINK("https://klasma.github.io/Logging_2281/tillsyn/A 20115-2026 tillsynsbegäran.docx", "A 20115-2026")</f>
        <v/>
      </c>
      <c r="Y270">
        <f>HYPERLINK("https://klasma.github.io/Logging_2281/tillsynsmail/A 20115-2026 tillsynsbegäran mail.docx", "A 20115-2026")</f>
        <v/>
      </c>
      <c r="Z270">
        <f>HYPERLINK("https://klasma.github.io/Logging_2281/fåglar/A 20115-2026 prioriterade fågelarter.docx", "A 20115-2026")</f>
        <v/>
      </c>
    </row>
    <row r="271" ht="15" customHeight="1">
      <c r="A271" t="inlineStr">
        <is>
          <t>A 40123-2021</t>
        </is>
      </c>
      <c r="B271" s="1" t="n">
        <v>44418</v>
      </c>
      <c r="C271" s="1" t="n">
        <v>46165</v>
      </c>
      <c r="D271" t="inlineStr">
        <is>
          <t>VÄSTERNORRLANDS LÄN</t>
        </is>
      </c>
      <c r="E271" t="inlineStr">
        <is>
          <t>SUNDSVALL</t>
        </is>
      </c>
      <c r="G271" t="n">
        <v>12.2</v>
      </c>
      <c r="H271" t="n">
        <v>1</v>
      </c>
      <c r="I271" t="n">
        <v>0</v>
      </c>
      <c r="J271" t="n">
        <v>1</v>
      </c>
      <c r="K271" t="n">
        <v>0</v>
      </c>
      <c r="L271" t="n">
        <v>0</v>
      </c>
      <c r="M271" t="n">
        <v>0</v>
      </c>
      <c r="N271" t="n">
        <v>0</v>
      </c>
      <c r="O271" t="n">
        <v>1</v>
      </c>
      <c r="P271" t="n">
        <v>0</v>
      </c>
      <c r="Q271" t="n">
        <v>1</v>
      </c>
      <c r="R271" s="2" t="inlineStr">
        <is>
          <t>Skogsfru</t>
        </is>
      </c>
      <c r="S271">
        <f>HYPERLINK("https://klasma.github.io/Logging_2281/artfynd/A 40123-2021 artfynd.xlsx", "A 40123-2021")</f>
        <v/>
      </c>
      <c r="T271">
        <f>HYPERLINK("https://klasma.github.io/Logging_2281/kartor/A 40123-2021 karta.png", "A 40123-2021")</f>
        <v/>
      </c>
      <c r="V271">
        <f>HYPERLINK("https://klasma.github.io/Logging_2281/klagomål/A 40123-2021 FSC-klagomål.docx", "A 40123-2021")</f>
        <v/>
      </c>
      <c r="W271">
        <f>HYPERLINK("https://klasma.github.io/Logging_2281/klagomålsmail/A 40123-2021 FSC-klagomål mail.docx", "A 40123-2021")</f>
        <v/>
      </c>
      <c r="X271">
        <f>HYPERLINK("https://klasma.github.io/Logging_2281/tillsyn/A 40123-2021 tillsynsbegäran.docx", "A 40123-2021")</f>
        <v/>
      </c>
      <c r="Y271">
        <f>HYPERLINK("https://klasma.github.io/Logging_2281/tillsynsmail/A 40123-2021 tillsynsbegäran mail.docx", "A 40123-2021")</f>
        <v/>
      </c>
    </row>
    <row r="272" ht="15" customHeight="1">
      <c r="A272" t="inlineStr">
        <is>
          <t>A 20883-2026</t>
        </is>
      </c>
      <c r="B272" s="1" t="n">
        <v>46142.42783564814</v>
      </c>
      <c r="C272" s="1" t="n">
        <v>46165</v>
      </c>
      <c r="D272" t="inlineStr">
        <is>
          <t>VÄSTERNORRLANDS LÄN</t>
        </is>
      </c>
      <c r="E272" t="inlineStr">
        <is>
          <t>SUNDSVALL</t>
        </is>
      </c>
      <c r="F272" t="inlineStr">
        <is>
          <t>SCA</t>
        </is>
      </c>
      <c r="G272" t="n">
        <v>1.7</v>
      </c>
      <c r="H272" t="n">
        <v>0</v>
      </c>
      <c r="I272" t="n">
        <v>0</v>
      </c>
      <c r="J272" t="n">
        <v>1</v>
      </c>
      <c r="K272" t="n">
        <v>0</v>
      </c>
      <c r="L272" t="n">
        <v>0</v>
      </c>
      <c r="M272" t="n">
        <v>0</v>
      </c>
      <c r="N272" t="n">
        <v>0</v>
      </c>
      <c r="O272" t="n">
        <v>1</v>
      </c>
      <c r="P272" t="n">
        <v>0</v>
      </c>
      <c r="Q272" t="n">
        <v>1</v>
      </c>
      <c r="R272" s="2" t="inlineStr">
        <is>
          <t>Kolflarnlav</t>
        </is>
      </c>
      <c r="S272">
        <f>HYPERLINK("https://klasma.github.io/Logging_2281/artfynd/A 20883-2026 artfynd.xlsx", "A 20883-2026")</f>
        <v/>
      </c>
      <c r="T272">
        <f>HYPERLINK("https://klasma.github.io/Logging_2281/kartor/A 20883-2026 karta.png", "A 20883-2026")</f>
        <v/>
      </c>
      <c r="V272">
        <f>HYPERLINK("https://klasma.github.io/Logging_2281/klagomål/A 20883-2026 FSC-klagomål.docx", "A 20883-2026")</f>
        <v/>
      </c>
      <c r="W272">
        <f>HYPERLINK("https://klasma.github.io/Logging_2281/klagomålsmail/A 20883-2026 FSC-klagomål mail.docx", "A 20883-2026")</f>
        <v/>
      </c>
      <c r="X272">
        <f>HYPERLINK("https://klasma.github.io/Logging_2281/tillsyn/A 20883-2026 tillsynsbegäran.docx", "A 20883-2026")</f>
        <v/>
      </c>
      <c r="Y272">
        <f>HYPERLINK("https://klasma.github.io/Logging_2281/tillsynsmail/A 20883-2026 tillsynsbegäran mail.docx", "A 20883-2026")</f>
        <v/>
      </c>
    </row>
    <row r="273" ht="15" customHeight="1">
      <c r="A273" t="inlineStr">
        <is>
          <t>A 50396-2024</t>
        </is>
      </c>
      <c r="B273" s="1" t="n">
        <v>45601</v>
      </c>
      <c r="C273" s="1" t="n">
        <v>46165</v>
      </c>
      <c r="D273" t="inlineStr">
        <is>
          <t>VÄSTERNORRLANDS LÄN</t>
        </is>
      </c>
      <c r="E273" t="inlineStr">
        <is>
          <t>SUNDSVALL</t>
        </is>
      </c>
      <c r="F273" t="inlineStr">
        <is>
          <t>SCA</t>
        </is>
      </c>
      <c r="G273" t="n">
        <v>8</v>
      </c>
      <c r="H273" t="n">
        <v>1</v>
      </c>
      <c r="I273" t="n">
        <v>0</v>
      </c>
      <c r="J273" t="n">
        <v>1</v>
      </c>
      <c r="K273" t="n">
        <v>0</v>
      </c>
      <c r="L273" t="n">
        <v>0</v>
      </c>
      <c r="M273" t="n">
        <v>0</v>
      </c>
      <c r="N273" t="n">
        <v>0</v>
      </c>
      <c r="O273" t="n">
        <v>1</v>
      </c>
      <c r="P273" t="n">
        <v>0</v>
      </c>
      <c r="Q273" t="n">
        <v>1</v>
      </c>
      <c r="R273" s="2" t="inlineStr">
        <is>
          <t>Järpe</t>
        </is>
      </c>
      <c r="S273">
        <f>HYPERLINK("https://klasma.github.io/Logging_2281/artfynd/A 50396-2024 artfynd.xlsx", "A 50396-2024")</f>
        <v/>
      </c>
      <c r="T273">
        <f>HYPERLINK("https://klasma.github.io/Logging_2281/kartor/A 50396-2024 karta.png", "A 50396-2024")</f>
        <v/>
      </c>
      <c r="V273">
        <f>HYPERLINK("https://klasma.github.io/Logging_2281/klagomål/A 50396-2024 FSC-klagomål.docx", "A 50396-2024")</f>
        <v/>
      </c>
      <c r="W273">
        <f>HYPERLINK("https://klasma.github.io/Logging_2281/klagomålsmail/A 50396-2024 FSC-klagomål mail.docx", "A 50396-2024")</f>
        <v/>
      </c>
      <c r="X273">
        <f>HYPERLINK("https://klasma.github.io/Logging_2281/tillsyn/A 50396-2024 tillsynsbegäran.docx", "A 50396-2024")</f>
        <v/>
      </c>
      <c r="Y273">
        <f>HYPERLINK("https://klasma.github.io/Logging_2281/tillsynsmail/A 50396-2024 tillsynsbegäran mail.docx", "A 50396-2024")</f>
        <v/>
      </c>
      <c r="Z273">
        <f>HYPERLINK("https://klasma.github.io/Logging_2281/fåglar/A 50396-2024 prioriterade fågelarter.docx", "A 50396-2024")</f>
        <v/>
      </c>
    </row>
    <row r="274" ht="15" customHeight="1">
      <c r="A274" t="inlineStr">
        <is>
          <t>A 46260-2023</t>
        </is>
      </c>
      <c r="B274" s="1" t="n">
        <v>45196</v>
      </c>
      <c r="C274" s="1" t="n">
        <v>46165</v>
      </c>
      <c r="D274" t="inlineStr">
        <is>
          <t>VÄSTERNORRLANDS LÄN</t>
        </is>
      </c>
      <c r="E274" t="inlineStr">
        <is>
          <t>SUNDSVALL</t>
        </is>
      </c>
      <c r="F274" t="inlineStr">
        <is>
          <t>SCA</t>
        </is>
      </c>
      <c r="G274" t="n">
        <v>3</v>
      </c>
      <c r="H274" t="n">
        <v>1</v>
      </c>
      <c r="I274" t="n">
        <v>0</v>
      </c>
      <c r="J274" t="n">
        <v>1</v>
      </c>
      <c r="K274" t="n">
        <v>0</v>
      </c>
      <c r="L274" t="n">
        <v>0</v>
      </c>
      <c r="M274" t="n">
        <v>0</v>
      </c>
      <c r="N274" t="n">
        <v>0</v>
      </c>
      <c r="O274" t="n">
        <v>1</v>
      </c>
      <c r="P274" t="n">
        <v>0</v>
      </c>
      <c r="Q274" t="n">
        <v>1</v>
      </c>
      <c r="R274" s="2" t="inlineStr">
        <is>
          <t>Spillkråka</t>
        </is>
      </c>
      <c r="S274">
        <f>HYPERLINK("https://klasma.github.io/Logging_2281/artfynd/A 46260-2023 artfynd.xlsx", "A 46260-2023")</f>
        <v/>
      </c>
      <c r="T274">
        <f>HYPERLINK("https://klasma.github.io/Logging_2281/kartor/A 46260-2023 karta.png", "A 46260-2023")</f>
        <v/>
      </c>
      <c r="V274">
        <f>HYPERLINK("https://klasma.github.io/Logging_2281/klagomål/A 46260-2023 FSC-klagomål.docx", "A 46260-2023")</f>
        <v/>
      </c>
      <c r="W274">
        <f>HYPERLINK("https://klasma.github.io/Logging_2281/klagomålsmail/A 46260-2023 FSC-klagomål mail.docx", "A 46260-2023")</f>
        <v/>
      </c>
      <c r="X274">
        <f>HYPERLINK("https://klasma.github.io/Logging_2281/tillsyn/A 46260-2023 tillsynsbegäran.docx", "A 46260-2023")</f>
        <v/>
      </c>
      <c r="Y274">
        <f>HYPERLINK("https://klasma.github.io/Logging_2281/tillsynsmail/A 46260-2023 tillsynsbegäran mail.docx", "A 46260-2023")</f>
        <v/>
      </c>
      <c r="Z274">
        <f>HYPERLINK("https://klasma.github.io/Logging_2281/fåglar/A 46260-2023 prioriterade fågelarter.docx", "A 46260-2023")</f>
        <v/>
      </c>
    </row>
    <row r="275" ht="15" customHeight="1">
      <c r="A275" t="inlineStr">
        <is>
          <t>A 3819-2024</t>
        </is>
      </c>
      <c r="B275" s="1" t="n">
        <v>45321</v>
      </c>
      <c r="C275" s="1" t="n">
        <v>46165</v>
      </c>
      <c r="D275" t="inlineStr">
        <is>
          <t>VÄSTERNORRLANDS LÄN</t>
        </is>
      </c>
      <c r="E275" t="inlineStr">
        <is>
          <t>SUNDSVALL</t>
        </is>
      </c>
      <c r="G275" t="n">
        <v>13.5</v>
      </c>
      <c r="H275" t="n">
        <v>1</v>
      </c>
      <c r="I275" t="n">
        <v>0</v>
      </c>
      <c r="J275" t="n">
        <v>0</v>
      </c>
      <c r="K275" t="n">
        <v>1</v>
      </c>
      <c r="L275" t="n">
        <v>0</v>
      </c>
      <c r="M275" t="n">
        <v>0</v>
      </c>
      <c r="N275" t="n">
        <v>0</v>
      </c>
      <c r="O275" t="n">
        <v>1</v>
      </c>
      <c r="P275" t="n">
        <v>1</v>
      </c>
      <c r="Q275" t="n">
        <v>1</v>
      </c>
      <c r="R275" s="2" t="inlineStr">
        <is>
          <t>Bombmurkla</t>
        </is>
      </c>
      <c r="S275">
        <f>HYPERLINK("https://klasma.github.io/Logging_2281/artfynd/A 3819-2024 artfynd.xlsx", "A 3819-2024")</f>
        <v/>
      </c>
      <c r="T275">
        <f>HYPERLINK("https://klasma.github.io/Logging_2281/kartor/A 3819-2024 karta.png", "A 3819-2024")</f>
        <v/>
      </c>
      <c r="V275">
        <f>HYPERLINK("https://klasma.github.io/Logging_2281/klagomål/A 3819-2024 FSC-klagomål.docx", "A 3819-2024")</f>
        <v/>
      </c>
      <c r="W275">
        <f>HYPERLINK("https://klasma.github.io/Logging_2281/klagomålsmail/A 3819-2024 FSC-klagomål mail.docx", "A 3819-2024")</f>
        <v/>
      </c>
      <c r="X275">
        <f>HYPERLINK("https://klasma.github.io/Logging_2281/tillsyn/A 3819-2024 tillsynsbegäran.docx", "A 3819-2024")</f>
        <v/>
      </c>
      <c r="Y275">
        <f>HYPERLINK("https://klasma.github.io/Logging_2281/tillsynsmail/A 3819-2024 tillsynsbegäran mail.docx", "A 3819-2024")</f>
        <v/>
      </c>
    </row>
    <row r="276" ht="15" customHeight="1">
      <c r="A276" t="inlineStr">
        <is>
          <t>A 7264-2025</t>
        </is>
      </c>
      <c r="B276" s="1" t="n">
        <v>45702.59416666667</v>
      </c>
      <c r="C276" s="1" t="n">
        <v>46165</v>
      </c>
      <c r="D276" t="inlineStr">
        <is>
          <t>VÄSTERNORRLANDS LÄN</t>
        </is>
      </c>
      <c r="E276" t="inlineStr">
        <is>
          <t>SUNDSVALL</t>
        </is>
      </c>
      <c r="F276" t="inlineStr">
        <is>
          <t>SCA</t>
        </is>
      </c>
      <c r="G276" t="n">
        <v>2.1</v>
      </c>
      <c r="H276" t="n">
        <v>0</v>
      </c>
      <c r="I276" t="n">
        <v>0</v>
      </c>
      <c r="J276" t="n">
        <v>1</v>
      </c>
      <c r="K276" t="n">
        <v>0</v>
      </c>
      <c r="L276" t="n">
        <v>0</v>
      </c>
      <c r="M276" t="n">
        <v>0</v>
      </c>
      <c r="N276" t="n">
        <v>0</v>
      </c>
      <c r="O276" t="n">
        <v>1</v>
      </c>
      <c r="P276" t="n">
        <v>0</v>
      </c>
      <c r="Q276" t="n">
        <v>1</v>
      </c>
      <c r="R276" s="2" t="inlineStr">
        <is>
          <t>Ullticka</t>
        </is>
      </c>
      <c r="S276">
        <f>HYPERLINK("https://klasma.github.io/Logging_2281/artfynd/A 7264-2025 artfynd.xlsx", "A 7264-2025")</f>
        <v/>
      </c>
      <c r="T276">
        <f>HYPERLINK("https://klasma.github.io/Logging_2281/kartor/A 7264-2025 karta.png", "A 7264-2025")</f>
        <v/>
      </c>
      <c r="U276">
        <f>HYPERLINK("https://klasma.github.io/Logging_2281/knärot/A 7264-2025 karta knärot.png", "A 7264-2025")</f>
        <v/>
      </c>
      <c r="V276">
        <f>HYPERLINK("https://klasma.github.io/Logging_2281/klagomål/A 7264-2025 FSC-klagomål.docx", "A 7264-2025")</f>
        <v/>
      </c>
      <c r="W276">
        <f>HYPERLINK("https://klasma.github.io/Logging_2281/klagomålsmail/A 7264-2025 FSC-klagomål mail.docx", "A 7264-2025")</f>
        <v/>
      </c>
      <c r="X276">
        <f>HYPERLINK("https://klasma.github.io/Logging_2281/tillsyn/A 7264-2025 tillsynsbegäran.docx", "A 7264-2025")</f>
        <v/>
      </c>
      <c r="Y276">
        <f>HYPERLINK("https://klasma.github.io/Logging_2281/tillsynsmail/A 7264-2025 tillsynsbegäran mail.docx", "A 7264-2025")</f>
        <v/>
      </c>
    </row>
    <row r="277" ht="15" customHeight="1">
      <c r="A277" t="inlineStr">
        <is>
          <t>A 19305-2022</t>
        </is>
      </c>
      <c r="B277" s="1" t="n">
        <v>44692</v>
      </c>
      <c r="C277" s="1" t="n">
        <v>46165</v>
      </c>
      <c r="D277" t="inlineStr">
        <is>
          <t>VÄSTERNORRLANDS LÄN</t>
        </is>
      </c>
      <c r="E277" t="inlineStr">
        <is>
          <t>SUNDSVALL</t>
        </is>
      </c>
      <c r="G277" t="n">
        <v>4.1</v>
      </c>
      <c r="H277" t="n">
        <v>0</v>
      </c>
      <c r="I277" t="n">
        <v>0</v>
      </c>
      <c r="J277" t="n">
        <v>1</v>
      </c>
      <c r="K277" t="n">
        <v>0</v>
      </c>
      <c r="L277" t="n">
        <v>0</v>
      </c>
      <c r="M277" t="n">
        <v>0</v>
      </c>
      <c r="N277" t="n">
        <v>0</v>
      </c>
      <c r="O277" t="n">
        <v>1</v>
      </c>
      <c r="P277" t="n">
        <v>0</v>
      </c>
      <c r="Q277" t="n">
        <v>1</v>
      </c>
      <c r="R277" s="2" t="inlineStr">
        <is>
          <t>Månlåsbräken</t>
        </is>
      </c>
      <c r="S277">
        <f>HYPERLINK("https://klasma.github.io/Logging_2281/artfynd/A 19305-2022 artfynd.xlsx", "A 19305-2022")</f>
        <v/>
      </c>
      <c r="T277">
        <f>HYPERLINK("https://klasma.github.io/Logging_2281/kartor/A 19305-2022 karta.png", "A 19305-2022")</f>
        <v/>
      </c>
      <c r="V277">
        <f>HYPERLINK("https://klasma.github.io/Logging_2281/klagomål/A 19305-2022 FSC-klagomål.docx", "A 19305-2022")</f>
        <v/>
      </c>
      <c r="W277">
        <f>HYPERLINK("https://klasma.github.io/Logging_2281/klagomålsmail/A 19305-2022 FSC-klagomål mail.docx", "A 19305-2022")</f>
        <v/>
      </c>
      <c r="X277">
        <f>HYPERLINK("https://klasma.github.io/Logging_2281/tillsyn/A 19305-2022 tillsynsbegäran.docx", "A 19305-2022")</f>
        <v/>
      </c>
      <c r="Y277">
        <f>HYPERLINK("https://klasma.github.io/Logging_2281/tillsynsmail/A 19305-2022 tillsynsbegäran mail.docx", "A 19305-2022")</f>
        <v/>
      </c>
    </row>
    <row r="278" ht="15" customHeight="1">
      <c r="A278" t="inlineStr">
        <is>
          <t>A 52515-2024</t>
        </is>
      </c>
      <c r="B278" s="1" t="n">
        <v>45609</v>
      </c>
      <c r="C278" s="1" t="n">
        <v>46165</v>
      </c>
      <c r="D278" t="inlineStr">
        <is>
          <t>VÄSTERNORRLANDS LÄN</t>
        </is>
      </c>
      <c r="E278" t="inlineStr">
        <is>
          <t>SUNDSVALL</t>
        </is>
      </c>
      <c r="G278" t="n">
        <v>2.4</v>
      </c>
      <c r="H278" t="n">
        <v>0</v>
      </c>
      <c r="I278" t="n">
        <v>1</v>
      </c>
      <c r="J278" t="n">
        <v>0</v>
      </c>
      <c r="K278" t="n">
        <v>0</v>
      </c>
      <c r="L278" t="n">
        <v>0</v>
      </c>
      <c r="M278" t="n">
        <v>0</v>
      </c>
      <c r="N278" t="n">
        <v>0</v>
      </c>
      <c r="O278" t="n">
        <v>0</v>
      </c>
      <c r="P278" t="n">
        <v>0</v>
      </c>
      <c r="Q278" t="n">
        <v>1</v>
      </c>
      <c r="R278" s="2" t="inlineStr">
        <is>
          <t>Tibast</t>
        </is>
      </c>
      <c r="S278">
        <f>HYPERLINK("https://klasma.github.io/Logging_2281/artfynd/A 52515-2024 artfynd.xlsx", "A 52515-2024")</f>
        <v/>
      </c>
      <c r="T278">
        <f>HYPERLINK("https://klasma.github.io/Logging_2281/kartor/A 52515-2024 karta.png", "A 52515-2024")</f>
        <v/>
      </c>
      <c r="V278">
        <f>HYPERLINK("https://klasma.github.io/Logging_2281/klagomål/A 52515-2024 FSC-klagomål.docx", "A 52515-2024")</f>
        <v/>
      </c>
      <c r="W278">
        <f>HYPERLINK("https://klasma.github.io/Logging_2281/klagomålsmail/A 52515-2024 FSC-klagomål mail.docx", "A 52515-2024")</f>
        <v/>
      </c>
      <c r="X278">
        <f>HYPERLINK("https://klasma.github.io/Logging_2281/tillsyn/A 52515-2024 tillsynsbegäran.docx", "A 52515-2024")</f>
        <v/>
      </c>
      <c r="Y278">
        <f>HYPERLINK("https://klasma.github.io/Logging_2281/tillsynsmail/A 52515-2024 tillsynsbegäran mail.docx", "A 52515-2024")</f>
        <v/>
      </c>
    </row>
    <row r="279" ht="15" customHeight="1">
      <c r="A279" t="inlineStr">
        <is>
          <t>A 49850-2022</t>
        </is>
      </c>
      <c r="B279" s="1" t="n">
        <v>44862</v>
      </c>
      <c r="C279" s="1" t="n">
        <v>46165</v>
      </c>
      <c r="D279" t="inlineStr">
        <is>
          <t>VÄSTERNORRLANDS LÄN</t>
        </is>
      </c>
      <c r="E279" t="inlineStr">
        <is>
          <t>SUNDSVALL</t>
        </is>
      </c>
      <c r="F279" t="inlineStr">
        <is>
          <t>SCA</t>
        </is>
      </c>
      <c r="G279" t="n">
        <v>5.5</v>
      </c>
      <c r="H279" t="n">
        <v>0</v>
      </c>
      <c r="I279" t="n">
        <v>0</v>
      </c>
      <c r="J279" t="n">
        <v>0</v>
      </c>
      <c r="K279" t="n">
        <v>1</v>
      </c>
      <c r="L279" t="n">
        <v>0</v>
      </c>
      <c r="M279" t="n">
        <v>0</v>
      </c>
      <c r="N279" t="n">
        <v>0</v>
      </c>
      <c r="O279" t="n">
        <v>1</v>
      </c>
      <c r="P279" t="n">
        <v>1</v>
      </c>
      <c r="Q279" t="n">
        <v>1</v>
      </c>
      <c r="R279" s="2" t="inlineStr">
        <is>
          <t>Rynkskinn</t>
        </is>
      </c>
      <c r="S279">
        <f>HYPERLINK("https://klasma.github.io/Logging_2281/artfynd/A 49850-2022 artfynd.xlsx", "A 49850-2022")</f>
        <v/>
      </c>
      <c r="T279">
        <f>HYPERLINK("https://klasma.github.io/Logging_2281/kartor/A 49850-2022 karta.png", "A 49850-2022")</f>
        <v/>
      </c>
      <c r="V279">
        <f>HYPERLINK("https://klasma.github.io/Logging_2281/klagomål/A 49850-2022 FSC-klagomål.docx", "A 49850-2022")</f>
        <v/>
      </c>
      <c r="W279">
        <f>HYPERLINK("https://klasma.github.io/Logging_2281/klagomålsmail/A 49850-2022 FSC-klagomål mail.docx", "A 49850-2022")</f>
        <v/>
      </c>
      <c r="X279">
        <f>HYPERLINK("https://klasma.github.io/Logging_2281/tillsyn/A 49850-2022 tillsynsbegäran.docx", "A 49850-2022")</f>
        <v/>
      </c>
      <c r="Y279">
        <f>HYPERLINK("https://klasma.github.io/Logging_2281/tillsynsmail/A 49850-2022 tillsynsbegäran mail.docx", "A 49850-2022")</f>
        <v/>
      </c>
    </row>
    <row r="280" ht="15" customHeight="1">
      <c r="A280" t="inlineStr">
        <is>
          <t>A 233-2024</t>
        </is>
      </c>
      <c r="B280" s="1" t="n">
        <v>45294</v>
      </c>
      <c r="C280" s="1" t="n">
        <v>46165</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15346-2023</t>
        </is>
      </c>
      <c r="B281" s="1" t="n">
        <v>45016</v>
      </c>
      <c r="C281" s="1" t="n">
        <v>46165</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14665-2023</t>
        </is>
      </c>
      <c r="B282" s="1" t="n">
        <v>45013.9258912037</v>
      </c>
      <c r="C282" s="1" t="n">
        <v>46165</v>
      </c>
      <c r="D282" t="inlineStr">
        <is>
          <t>VÄSTERNORRLANDS LÄN</t>
        </is>
      </c>
      <c r="E282" t="inlineStr">
        <is>
          <t>SUNDSVALL</t>
        </is>
      </c>
      <c r="G282" t="n">
        <v>1.8</v>
      </c>
      <c r="H282" t="n">
        <v>1</v>
      </c>
      <c r="I282" t="n">
        <v>0</v>
      </c>
      <c r="J282" t="n">
        <v>0</v>
      </c>
      <c r="K282" t="n">
        <v>0</v>
      </c>
      <c r="L282" t="n">
        <v>0</v>
      </c>
      <c r="M282" t="n">
        <v>0</v>
      </c>
      <c r="N282" t="n">
        <v>0</v>
      </c>
      <c r="O282" t="n">
        <v>0</v>
      </c>
      <c r="P282" t="n">
        <v>0</v>
      </c>
      <c r="Q282" t="n">
        <v>1</v>
      </c>
      <c r="R282" s="2" t="inlineStr">
        <is>
          <t>Trana</t>
        </is>
      </c>
      <c r="S282">
        <f>HYPERLINK("https://klasma.github.io/Logging_2281/artfynd/A 14665-2023 artfynd.xlsx", "A 14665-2023")</f>
        <v/>
      </c>
      <c r="T282">
        <f>HYPERLINK("https://klasma.github.io/Logging_2281/kartor/A 14665-2023 karta.png", "A 14665-2023")</f>
        <v/>
      </c>
      <c r="V282">
        <f>HYPERLINK("https://klasma.github.io/Logging_2281/klagomål/A 14665-2023 FSC-klagomål.docx", "A 14665-2023")</f>
        <v/>
      </c>
      <c r="W282">
        <f>HYPERLINK("https://klasma.github.io/Logging_2281/klagomålsmail/A 14665-2023 FSC-klagomål mail.docx", "A 14665-2023")</f>
        <v/>
      </c>
      <c r="X282">
        <f>HYPERLINK("https://klasma.github.io/Logging_2281/tillsyn/A 14665-2023 tillsynsbegäran.docx", "A 14665-2023")</f>
        <v/>
      </c>
      <c r="Y282">
        <f>HYPERLINK("https://klasma.github.io/Logging_2281/tillsynsmail/A 14665-2023 tillsynsbegäran mail.docx", "A 14665-2023")</f>
        <v/>
      </c>
      <c r="Z282">
        <f>HYPERLINK("https://klasma.github.io/Logging_2281/fåglar/A 14665-2023 prioriterade fågelarter.docx", "A 14665-2023")</f>
        <v/>
      </c>
    </row>
    <row r="283" ht="15" customHeight="1">
      <c r="A283" t="inlineStr">
        <is>
          <t>A 59895-2024</t>
        </is>
      </c>
      <c r="B283" s="1" t="n">
        <v>45641.59408564815</v>
      </c>
      <c r="C283" s="1" t="n">
        <v>46165</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23711-2022</t>
        </is>
      </c>
      <c r="B284" s="1" t="n">
        <v>44722</v>
      </c>
      <c r="C284" s="1" t="n">
        <v>46165</v>
      </c>
      <c r="D284" t="inlineStr">
        <is>
          <t>VÄSTERNORRLANDS LÄN</t>
        </is>
      </c>
      <c r="E284" t="inlineStr">
        <is>
          <t>SUNDSVALL</t>
        </is>
      </c>
      <c r="F284" t="inlineStr">
        <is>
          <t>Holmen skog AB</t>
        </is>
      </c>
      <c r="G284" t="n">
        <v>2.8</v>
      </c>
      <c r="H284" t="n">
        <v>0</v>
      </c>
      <c r="I284" t="n">
        <v>0</v>
      </c>
      <c r="J284" t="n">
        <v>1</v>
      </c>
      <c r="K284" t="n">
        <v>0</v>
      </c>
      <c r="L284" t="n">
        <v>0</v>
      </c>
      <c r="M284" t="n">
        <v>0</v>
      </c>
      <c r="N284" t="n">
        <v>0</v>
      </c>
      <c r="O284" t="n">
        <v>1</v>
      </c>
      <c r="P284" t="n">
        <v>0</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20631-2025</t>
        </is>
      </c>
      <c r="B285" s="1" t="n">
        <v>45776</v>
      </c>
      <c r="C285" s="1" t="n">
        <v>46165</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46165</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46165</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46165</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27211-2025</t>
        </is>
      </c>
      <c r="B289" s="1" t="n">
        <v>45812.4068287037</v>
      </c>
      <c r="C289" s="1" t="n">
        <v>46165</v>
      </c>
      <c r="D289" t="inlineStr">
        <is>
          <t>VÄSTERNORRLANDS LÄN</t>
        </is>
      </c>
      <c r="E289" t="inlineStr">
        <is>
          <t>SUNDSVALL</t>
        </is>
      </c>
      <c r="F289" t="inlineStr">
        <is>
          <t>SCA</t>
        </is>
      </c>
      <c r="G289" t="n">
        <v>0.6</v>
      </c>
      <c r="H289" t="n">
        <v>0</v>
      </c>
      <c r="I289" t="n">
        <v>0</v>
      </c>
      <c r="J289" t="n">
        <v>1</v>
      </c>
      <c r="K289" t="n">
        <v>0</v>
      </c>
      <c r="L289" t="n">
        <v>0</v>
      </c>
      <c r="M289" t="n">
        <v>0</v>
      </c>
      <c r="N289" t="n">
        <v>0</v>
      </c>
      <c r="O289" t="n">
        <v>1</v>
      </c>
      <c r="P289" t="n">
        <v>0</v>
      </c>
      <c r="Q289" t="n">
        <v>1</v>
      </c>
      <c r="R289" s="2" t="inlineStr">
        <is>
          <t>Garnlav</t>
        </is>
      </c>
      <c r="S289">
        <f>HYPERLINK("https://klasma.github.io/Logging_2281/artfynd/A 27211-2025 artfynd.xlsx", "A 27211-2025")</f>
        <v/>
      </c>
      <c r="T289">
        <f>HYPERLINK("https://klasma.github.io/Logging_2281/kartor/A 27211-2025 karta.png", "A 27211-2025")</f>
        <v/>
      </c>
      <c r="V289">
        <f>HYPERLINK("https://klasma.github.io/Logging_2281/klagomål/A 27211-2025 FSC-klagomål.docx", "A 27211-2025")</f>
        <v/>
      </c>
      <c r="W289">
        <f>HYPERLINK("https://klasma.github.io/Logging_2281/klagomålsmail/A 27211-2025 FSC-klagomål mail.docx", "A 27211-2025")</f>
        <v/>
      </c>
      <c r="X289">
        <f>HYPERLINK("https://klasma.github.io/Logging_2281/tillsyn/A 27211-2025 tillsynsbegäran.docx", "A 27211-2025")</f>
        <v/>
      </c>
      <c r="Y289">
        <f>HYPERLINK("https://klasma.github.io/Logging_2281/tillsynsmail/A 27211-2025 tillsynsbegäran mail.docx", "A 27211-2025")</f>
        <v/>
      </c>
    </row>
    <row r="290" ht="15" customHeight="1">
      <c r="A290" t="inlineStr">
        <is>
          <t>A 28452-2025</t>
        </is>
      </c>
      <c r="B290" s="1" t="n">
        <v>45819.40657407408</v>
      </c>
      <c r="C290" s="1" t="n">
        <v>46165</v>
      </c>
      <c r="D290" t="inlineStr">
        <is>
          <t>VÄSTERNORRLANDS LÄN</t>
        </is>
      </c>
      <c r="E290" t="inlineStr">
        <is>
          <t>SUNDSVALL</t>
        </is>
      </c>
      <c r="F290" t="inlineStr">
        <is>
          <t>Naturvårdsverket</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HYPERLINK("https://klasma.github.io/Logging_2281/artfynd/A 28452-2025 artfynd.xlsx", "A 28452-2025")</f>
        <v/>
      </c>
      <c r="T290">
        <f>HYPERLINK("https://klasma.github.io/Logging_2281/kartor/A 28452-2025 karta.png", "A 28452-2025")</f>
        <v/>
      </c>
      <c r="V290">
        <f>HYPERLINK("https://klasma.github.io/Logging_2281/klagomål/A 28452-2025 FSC-klagomål.docx", "A 28452-2025")</f>
        <v/>
      </c>
      <c r="W290">
        <f>HYPERLINK("https://klasma.github.io/Logging_2281/klagomålsmail/A 28452-2025 FSC-klagomål mail.docx", "A 28452-2025")</f>
        <v/>
      </c>
      <c r="X290">
        <f>HYPERLINK("https://klasma.github.io/Logging_2281/tillsyn/A 28452-2025 tillsynsbegäran.docx", "A 28452-2025")</f>
        <v/>
      </c>
      <c r="Y290">
        <f>HYPERLINK("https://klasma.github.io/Logging_2281/tillsynsmail/A 28452-2025 tillsynsbegäran mail.docx", "A 28452-2025")</f>
        <v/>
      </c>
    </row>
    <row r="291" ht="15" customHeight="1">
      <c r="A291" t="inlineStr">
        <is>
          <t>A 21765-2025</t>
        </is>
      </c>
      <c r="B291" s="1" t="n">
        <v>45783.64675925926</v>
      </c>
      <c r="C291" s="1" t="n">
        <v>46165</v>
      </c>
      <c r="D291" t="inlineStr">
        <is>
          <t>VÄSTERNORRLANDS LÄN</t>
        </is>
      </c>
      <c r="E291" t="inlineStr">
        <is>
          <t>SUNDSVALL</t>
        </is>
      </c>
      <c r="G291" t="n">
        <v>8</v>
      </c>
      <c r="H291" t="n">
        <v>1</v>
      </c>
      <c r="I291" t="n">
        <v>0</v>
      </c>
      <c r="J291" t="n">
        <v>0</v>
      </c>
      <c r="K291" t="n">
        <v>0</v>
      </c>
      <c r="L291" t="n">
        <v>0</v>
      </c>
      <c r="M291" t="n">
        <v>0</v>
      </c>
      <c r="N291" t="n">
        <v>0</v>
      </c>
      <c r="O291" t="n">
        <v>0</v>
      </c>
      <c r="P291" t="n">
        <v>0</v>
      </c>
      <c r="Q291" t="n">
        <v>1</v>
      </c>
      <c r="R291" s="2" t="inlineStr">
        <is>
          <t>Orre</t>
        </is>
      </c>
      <c r="S291">
        <f>HYPERLINK("https://klasma.github.io/Logging_2281/artfynd/A 21765-2025 artfynd.xlsx", "A 21765-2025")</f>
        <v/>
      </c>
      <c r="T291">
        <f>HYPERLINK("https://klasma.github.io/Logging_2281/kartor/A 21765-2025 karta.png", "A 21765-2025")</f>
        <v/>
      </c>
      <c r="V291">
        <f>HYPERLINK("https://klasma.github.io/Logging_2281/klagomål/A 21765-2025 FSC-klagomål.docx", "A 21765-2025")</f>
        <v/>
      </c>
      <c r="W291">
        <f>HYPERLINK("https://klasma.github.io/Logging_2281/klagomålsmail/A 21765-2025 FSC-klagomål mail.docx", "A 21765-2025")</f>
        <v/>
      </c>
      <c r="X291">
        <f>HYPERLINK("https://klasma.github.io/Logging_2281/tillsyn/A 21765-2025 tillsynsbegäran.docx", "A 21765-2025")</f>
        <v/>
      </c>
      <c r="Y291">
        <f>HYPERLINK("https://klasma.github.io/Logging_2281/tillsynsmail/A 21765-2025 tillsynsbegäran mail.docx", "A 21765-2025")</f>
        <v/>
      </c>
      <c r="Z291">
        <f>HYPERLINK("https://klasma.github.io/Logging_2281/fåglar/A 21765-2025 prioriterade fågelarter.docx", "A 21765-2025")</f>
        <v/>
      </c>
    </row>
    <row r="292" ht="15" customHeight="1">
      <c r="A292" t="inlineStr">
        <is>
          <t>A 44610-2021</t>
        </is>
      </c>
      <c r="B292" s="1" t="n">
        <v>44435.94177083333</v>
      </c>
      <c r="C292" s="1" t="n">
        <v>46165</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46165</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46165</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46165</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46165</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26424-2021</t>
        </is>
      </c>
      <c r="B297" s="1" t="n">
        <v>44347</v>
      </c>
      <c r="C297" s="1" t="n">
        <v>46165</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46165</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46165</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46165</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46165</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46165</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46165</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46165</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46165</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46165</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46165</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46165</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46165</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46165</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46165</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46165</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12177-2022</t>
        </is>
      </c>
      <c r="B313" s="1" t="n">
        <v>44636.77550925926</v>
      </c>
      <c r="C313" s="1" t="n">
        <v>46165</v>
      </c>
      <c r="D313" t="inlineStr">
        <is>
          <t>VÄSTERNORRLANDS LÄN</t>
        </is>
      </c>
      <c r="E313" t="inlineStr">
        <is>
          <t>SUNDSVALL</t>
        </is>
      </c>
      <c r="G313" t="n">
        <v>5.3</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46165</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46165</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46165</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46165</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46165</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25484-2021</t>
        </is>
      </c>
      <c r="B319" s="1" t="n">
        <v>44342</v>
      </c>
      <c r="C319" s="1" t="n">
        <v>46165</v>
      </c>
      <c r="D319" t="inlineStr">
        <is>
          <t>VÄSTERNORRLANDS LÄN</t>
        </is>
      </c>
      <c r="E319" t="inlineStr">
        <is>
          <t>SUNDSVALL</t>
        </is>
      </c>
      <c r="G319" t="n">
        <v>1.8</v>
      </c>
      <c r="H319" t="n">
        <v>0</v>
      </c>
      <c r="I319" t="n">
        <v>0</v>
      </c>
      <c r="J319" t="n">
        <v>0</v>
      </c>
      <c r="K319" t="n">
        <v>0</v>
      </c>
      <c r="L319" t="n">
        <v>0</v>
      </c>
      <c r="M319" t="n">
        <v>0</v>
      </c>
      <c r="N319" t="n">
        <v>0</v>
      </c>
      <c r="O319" t="n">
        <v>0</v>
      </c>
      <c r="P319" t="n">
        <v>0</v>
      </c>
      <c r="Q319" t="n">
        <v>0</v>
      </c>
      <c r="R319" s="2" t="inlineStr"/>
    </row>
    <row r="320" ht="15" customHeight="1">
      <c r="A320" t="inlineStr">
        <is>
          <t>A 36316-2021</t>
        </is>
      </c>
      <c r="B320" s="1" t="n">
        <v>44390.45508101852</v>
      </c>
      <c r="C320" s="1" t="n">
        <v>46165</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46165</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46165</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46165</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29292-2021</t>
        </is>
      </c>
      <c r="B324" s="1" t="n">
        <v>44358</v>
      </c>
      <c r="C324" s="1" t="n">
        <v>46165</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70309-2021</t>
        </is>
      </c>
      <c r="B325" s="1" t="n">
        <v>44533</v>
      </c>
      <c r="C325" s="1" t="n">
        <v>46165</v>
      </c>
      <c r="D325" t="inlineStr">
        <is>
          <t>VÄSTERNORRLANDS LÄN</t>
        </is>
      </c>
      <c r="E325" t="inlineStr">
        <is>
          <t>SUNDSVALL</t>
        </is>
      </c>
      <c r="G325" t="n">
        <v>18.8</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46165</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46165</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46165</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46165</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46165</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46165</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46165</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46165</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46165</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46165</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46165</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46165</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46165</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46165</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46165</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46165</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46165</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46165</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46165</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29403-2021</t>
        </is>
      </c>
      <c r="B345" s="1" t="n">
        <v>44361</v>
      </c>
      <c r="C345" s="1" t="n">
        <v>46165</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35483-2022</t>
        </is>
      </c>
      <c r="B346" s="1" t="n">
        <v>44798.92721064815</v>
      </c>
      <c r="C346" s="1" t="n">
        <v>46165</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46165</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32172-2021</t>
        </is>
      </c>
      <c r="B348" s="1" t="n">
        <v>44371</v>
      </c>
      <c r="C348" s="1" t="n">
        <v>46165</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46165</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46165</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46165</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46165</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46165</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46165</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46165</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46165</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46165</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46165</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46165</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46165</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46165</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46165</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46165</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46165</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46165</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25539-2021</t>
        </is>
      </c>
      <c r="B366" s="1" t="n">
        <v>44343.3071875</v>
      </c>
      <c r="C366" s="1" t="n">
        <v>46165</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67474-2021</t>
        </is>
      </c>
      <c r="B367" s="1" t="n">
        <v>44524</v>
      </c>
      <c r="C367" s="1" t="n">
        <v>46165</v>
      </c>
      <c r="D367" t="inlineStr">
        <is>
          <t>VÄSTERNORRLANDS LÄN</t>
        </is>
      </c>
      <c r="E367" t="inlineStr">
        <is>
          <t>SUNDSVALL</t>
        </is>
      </c>
      <c r="G367" t="n">
        <v>8</v>
      </c>
      <c r="H367" t="n">
        <v>0</v>
      </c>
      <c r="I367" t="n">
        <v>0</v>
      </c>
      <c r="J367" t="n">
        <v>0</v>
      </c>
      <c r="K367" t="n">
        <v>0</v>
      </c>
      <c r="L367" t="n">
        <v>0</v>
      </c>
      <c r="M367" t="n">
        <v>0</v>
      </c>
      <c r="N367" t="n">
        <v>0</v>
      </c>
      <c r="O367" t="n">
        <v>0</v>
      </c>
      <c r="P367" t="n">
        <v>0</v>
      </c>
      <c r="Q367" t="n">
        <v>0</v>
      </c>
      <c r="R367" s="2" t="inlineStr"/>
    </row>
    <row r="368" ht="15" customHeight="1">
      <c r="A368" t="inlineStr">
        <is>
          <t>A 31510-2021</t>
        </is>
      </c>
      <c r="B368" s="1" t="n">
        <v>44369.45827546297</v>
      </c>
      <c r="C368" s="1" t="n">
        <v>46165</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46165</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46165</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46165</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36694-2022</t>
        </is>
      </c>
      <c r="B372" s="1" t="n">
        <v>44804.94784722223</v>
      </c>
      <c r="C372" s="1" t="n">
        <v>46165</v>
      </c>
      <c r="D372" t="inlineStr">
        <is>
          <t>VÄSTERNORRLANDS LÄN</t>
        </is>
      </c>
      <c r="E372" t="inlineStr">
        <is>
          <t>SUNDSVALL</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29468-2021</t>
        </is>
      </c>
      <c r="B373" s="1" t="n">
        <v>44361</v>
      </c>
      <c r="C373" s="1" t="n">
        <v>46165</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29576-2021</t>
        </is>
      </c>
      <c r="B374" s="1" t="n">
        <v>44361</v>
      </c>
      <c r="C374" s="1" t="n">
        <v>46165</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32183-2021</t>
        </is>
      </c>
      <c r="B375" s="1" t="n">
        <v>44371</v>
      </c>
      <c r="C375" s="1" t="n">
        <v>46165</v>
      </c>
      <c r="D375" t="inlineStr">
        <is>
          <t>VÄSTERNORRLANDS LÄN</t>
        </is>
      </c>
      <c r="E375" t="inlineStr">
        <is>
          <t>SUNDSVALL</t>
        </is>
      </c>
      <c r="G375" t="n">
        <v>1.7</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46165</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46165</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46165</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46165</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41469-2021</t>
        </is>
      </c>
      <c r="B380" s="1" t="n">
        <v>44424</v>
      </c>
      <c r="C380" s="1" t="n">
        <v>46165</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43199-2021</t>
        </is>
      </c>
      <c r="B381" s="1" t="n">
        <v>44431.91931712963</v>
      </c>
      <c r="C381" s="1" t="n">
        <v>46165</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48705-2021</t>
        </is>
      </c>
      <c r="B382" s="1" t="n">
        <v>44452</v>
      </c>
      <c r="C382" s="1" t="n">
        <v>46165</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46165</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46165</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46165</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28829-2021</t>
        </is>
      </c>
      <c r="B386" s="1" t="n">
        <v>44357</v>
      </c>
      <c r="C386" s="1" t="n">
        <v>46165</v>
      </c>
      <c r="D386" t="inlineStr">
        <is>
          <t>VÄSTERNORRLANDS LÄN</t>
        </is>
      </c>
      <c r="E386" t="inlineStr">
        <is>
          <t>SUNDSVALL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46165</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46165</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46165</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46165</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46165</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40160-2021</t>
        </is>
      </c>
      <c r="B392" s="1" t="n">
        <v>44418.6568287037</v>
      </c>
      <c r="C392" s="1" t="n">
        <v>46165</v>
      </c>
      <c r="D392" t="inlineStr">
        <is>
          <t>VÄSTERNORRLANDS LÄN</t>
        </is>
      </c>
      <c r="E392" t="inlineStr">
        <is>
          <t>SUNDSVALL</t>
        </is>
      </c>
      <c r="G392" t="n">
        <v>1.6</v>
      </c>
      <c r="H392" t="n">
        <v>0</v>
      </c>
      <c r="I392" t="n">
        <v>0</v>
      </c>
      <c r="J392" t="n">
        <v>0</v>
      </c>
      <c r="K392" t="n">
        <v>0</v>
      </c>
      <c r="L392" t="n">
        <v>0</v>
      </c>
      <c r="M392" t="n">
        <v>0</v>
      </c>
      <c r="N392" t="n">
        <v>0</v>
      </c>
      <c r="O392" t="n">
        <v>0</v>
      </c>
      <c r="P392" t="n">
        <v>0</v>
      </c>
      <c r="Q392" t="n">
        <v>0</v>
      </c>
      <c r="R392" s="2" t="inlineStr"/>
    </row>
    <row r="393" ht="15" customHeight="1">
      <c r="A393" t="inlineStr">
        <is>
          <t>A 1335-2022</t>
        </is>
      </c>
      <c r="B393" s="1" t="n">
        <v>44572.92060185185</v>
      </c>
      <c r="C393" s="1" t="n">
        <v>46165</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46165</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46165</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46165</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46165</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46165</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61562-2021</t>
        </is>
      </c>
      <c r="B399" s="1" t="n">
        <v>44501</v>
      </c>
      <c r="C399" s="1" t="n">
        <v>46165</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46165</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46165</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46165</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46165</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46165</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46165</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46165</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25748-2021</t>
        </is>
      </c>
      <c r="B407" s="1" t="n">
        <v>44343</v>
      </c>
      <c r="C407" s="1" t="n">
        <v>46165</v>
      </c>
      <c r="D407" t="inlineStr">
        <is>
          <t>VÄSTERNORRLANDS LÄN</t>
        </is>
      </c>
      <c r="E407" t="inlineStr">
        <is>
          <t>SUNDSVALL</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46165</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46165</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46165</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46165</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46165</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46165</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46165</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46165</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46165</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46165</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46165</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46165</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46165</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20510-2022</t>
        </is>
      </c>
      <c r="B421" s="1" t="n">
        <v>44699.92501157407</v>
      </c>
      <c r="C421" s="1" t="n">
        <v>46165</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20516-2022</t>
        </is>
      </c>
      <c r="B422" s="1" t="n">
        <v>44699.92626157407</v>
      </c>
      <c r="C422" s="1" t="n">
        <v>46165</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46165</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46165</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46165</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46165</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46165</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46165</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46165</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46165</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46165</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46165</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46165</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46165</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46165</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46165</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46165</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46165</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46165</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59146-2021</t>
        </is>
      </c>
      <c r="B440" s="1" t="n">
        <v>44490</v>
      </c>
      <c r="C440" s="1" t="n">
        <v>46165</v>
      </c>
      <c r="D440" t="inlineStr">
        <is>
          <t>VÄSTERNORRLANDS LÄN</t>
        </is>
      </c>
      <c r="E440" t="inlineStr">
        <is>
          <t>SUNDSVALL</t>
        </is>
      </c>
      <c r="G440" t="n">
        <v>4</v>
      </c>
      <c r="H440" t="n">
        <v>0</v>
      </c>
      <c r="I440" t="n">
        <v>0</v>
      </c>
      <c r="J440" t="n">
        <v>0</v>
      </c>
      <c r="K440" t="n">
        <v>0</v>
      </c>
      <c r="L440" t="n">
        <v>0</v>
      </c>
      <c r="M440" t="n">
        <v>0</v>
      </c>
      <c r="N440" t="n">
        <v>0</v>
      </c>
      <c r="O440" t="n">
        <v>0</v>
      </c>
      <c r="P440" t="n">
        <v>0</v>
      </c>
      <c r="Q440" t="n">
        <v>0</v>
      </c>
      <c r="R440" s="2" t="inlineStr"/>
    </row>
    <row r="441" ht="15" customHeight="1">
      <c r="A441" t="inlineStr">
        <is>
          <t>A 29298-2022</t>
        </is>
      </c>
      <c r="B441" s="1" t="n">
        <v>44750.94349537037</v>
      </c>
      <c r="C441" s="1" t="n">
        <v>46165</v>
      </c>
      <c r="D441" t="inlineStr">
        <is>
          <t>VÄSTERNORRLANDS LÄN</t>
        </is>
      </c>
      <c r="E441" t="inlineStr">
        <is>
          <t>SUNDSVALL</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46165</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46165</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46165</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46165</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46165</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46165</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46165</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46165</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46165</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15733-2022</t>
        </is>
      </c>
      <c r="B451" s="1" t="n">
        <v>44663.5059837963</v>
      </c>
      <c r="C451" s="1" t="n">
        <v>46165</v>
      </c>
      <c r="D451" t="inlineStr">
        <is>
          <t>VÄSTERNORRLANDS LÄN</t>
        </is>
      </c>
      <c r="E451" t="inlineStr">
        <is>
          <t>SUNDSVALL</t>
        </is>
      </c>
      <c r="G451" t="n">
        <v>6.8</v>
      </c>
      <c r="H451" t="n">
        <v>0</v>
      </c>
      <c r="I451" t="n">
        <v>0</v>
      </c>
      <c r="J451" t="n">
        <v>0</v>
      </c>
      <c r="K451" t="n">
        <v>0</v>
      </c>
      <c r="L451" t="n">
        <v>0</v>
      </c>
      <c r="M451" t="n">
        <v>0</v>
      </c>
      <c r="N451" t="n">
        <v>0</v>
      </c>
      <c r="O451" t="n">
        <v>0</v>
      </c>
      <c r="P451" t="n">
        <v>0</v>
      </c>
      <c r="Q451" t="n">
        <v>0</v>
      </c>
      <c r="R451" s="2" t="inlineStr"/>
    </row>
    <row r="452" ht="15" customHeight="1">
      <c r="A452" t="inlineStr">
        <is>
          <t>A 45700-2022</t>
        </is>
      </c>
      <c r="B452" s="1" t="n">
        <v>44845</v>
      </c>
      <c r="C452" s="1" t="n">
        <v>46165</v>
      </c>
      <c r="D452" t="inlineStr">
        <is>
          <t>VÄSTERNORRLANDS LÄN</t>
        </is>
      </c>
      <c r="E452" t="inlineStr">
        <is>
          <t>SUNDSVALL</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46165</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46165</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46165</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46165</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46165</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46165</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46165</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46165</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46165</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46165</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46165</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46165</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46165</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59975-2021</t>
        </is>
      </c>
      <c r="B466" s="1" t="n">
        <v>44494.93675925926</v>
      </c>
      <c r="C466" s="1" t="n">
        <v>46165</v>
      </c>
      <c r="D466" t="inlineStr">
        <is>
          <t>VÄSTERNORRLANDS LÄN</t>
        </is>
      </c>
      <c r="E466" t="inlineStr">
        <is>
          <t>SUNDSVALL</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52554-2021</t>
        </is>
      </c>
      <c r="B467" s="1" t="n">
        <v>44466</v>
      </c>
      <c r="C467" s="1" t="n">
        <v>46165</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46165</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46165</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46165</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46165</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46165</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56894-2021</t>
        </is>
      </c>
      <c r="B473" s="1" t="n">
        <v>44481</v>
      </c>
      <c r="C473" s="1" t="n">
        <v>46165</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23840-2022</t>
        </is>
      </c>
      <c r="B474" s="1" t="n">
        <v>44722</v>
      </c>
      <c r="C474" s="1" t="n">
        <v>46165</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46165</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46165</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46165</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46165</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46165</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46165</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44545.94166666667</v>
      </c>
      <c r="C481" s="1" t="n">
        <v>46165</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46165</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46165</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46165</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46165</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46165</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46165</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46165</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46165</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29322-2021</t>
        </is>
      </c>
      <c r="B490" s="1" t="n">
        <v>44361.42559027778</v>
      </c>
      <c r="C490" s="1" t="n">
        <v>46165</v>
      </c>
      <c r="D490" t="inlineStr">
        <is>
          <t>VÄSTERNORRLANDS LÄN</t>
        </is>
      </c>
      <c r="E490" t="inlineStr">
        <is>
          <t>SUNDSVALL</t>
        </is>
      </c>
      <c r="G490" t="n">
        <v>7.2</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46165</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41222-2022</t>
        </is>
      </c>
      <c r="B492" s="1" t="n">
        <v>44825</v>
      </c>
      <c r="C492" s="1" t="n">
        <v>46165</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46165</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45484.93993055556</v>
      </c>
      <c r="C494" s="1" t="n">
        <v>46165</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35923-2022</t>
        </is>
      </c>
      <c r="B495" s="1" t="n">
        <v>44802</v>
      </c>
      <c r="C495" s="1" t="n">
        <v>46165</v>
      </c>
      <c r="D495" t="inlineStr">
        <is>
          <t>VÄSTERNORRLANDS LÄN</t>
        </is>
      </c>
      <c r="E495" t="inlineStr">
        <is>
          <t>SUNDSVALL</t>
        </is>
      </c>
      <c r="G495" t="n">
        <v>8.1</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46165</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46165</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45387.95395833333</v>
      </c>
      <c r="C498" s="1" t="n">
        <v>46165</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46165</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4332-2022</t>
        </is>
      </c>
      <c r="B500" s="1" t="n">
        <v>44588</v>
      </c>
      <c r="C500" s="1" t="n">
        <v>46165</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44022-2023</t>
        </is>
      </c>
      <c r="B501" s="1" t="n">
        <v>45188.34800925926</v>
      </c>
      <c r="C501" s="1" t="n">
        <v>46165</v>
      </c>
      <c r="D501" t="inlineStr">
        <is>
          <t>VÄSTERNORRLANDS LÄN</t>
        </is>
      </c>
      <c r="E501" t="inlineStr">
        <is>
          <t>SUNDSVALL</t>
        </is>
      </c>
      <c r="G501" t="n">
        <v>3.3</v>
      </c>
      <c r="H501" t="n">
        <v>0</v>
      </c>
      <c r="I501" t="n">
        <v>0</v>
      </c>
      <c r="J501" t="n">
        <v>0</v>
      </c>
      <c r="K501" t="n">
        <v>0</v>
      </c>
      <c r="L501" t="n">
        <v>0</v>
      </c>
      <c r="M501" t="n">
        <v>0</v>
      </c>
      <c r="N501" t="n">
        <v>0</v>
      </c>
      <c r="O501" t="n">
        <v>0</v>
      </c>
      <c r="P501" t="n">
        <v>0</v>
      </c>
      <c r="Q501" t="n">
        <v>0</v>
      </c>
      <c r="R501" s="2" t="inlineStr"/>
    </row>
    <row r="502" ht="15" customHeight="1">
      <c r="A502" t="inlineStr">
        <is>
          <t>A 18153-2023</t>
        </is>
      </c>
      <c r="B502" s="1" t="n">
        <v>45040</v>
      </c>
      <c r="C502" s="1" t="n">
        <v>46165</v>
      </c>
      <c r="D502" t="inlineStr">
        <is>
          <t>VÄSTERNORRLANDS LÄN</t>
        </is>
      </c>
      <c r="E502" t="inlineStr">
        <is>
          <t>SUNDSVALL</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31317-2024</t>
        </is>
      </c>
      <c r="B503" s="1" t="n">
        <v>45504</v>
      </c>
      <c r="C503" s="1" t="n">
        <v>46165</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14154-2024</t>
        </is>
      </c>
      <c r="B504" s="1" t="n">
        <v>45392.92877314815</v>
      </c>
      <c r="C504" s="1" t="n">
        <v>46165</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25407-2023</t>
        </is>
      </c>
      <c r="B505" s="1" t="n">
        <v>45089.37394675926</v>
      </c>
      <c r="C505" s="1" t="n">
        <v>46165</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5022-2025</t>
        </is>
      </c>
      <c r="B506" s="1" t="n">
        <v>45691.406875</v>
      </c>
      <c r="C506" s="1" t="n">
        <v>46165</v>
      </c>
      <c r="D506" t="inlineStr">
        <is>
          <t>VÄSTERNORRLANDS LÄN</t>
        </is>
      </c>
      <c r="E506" t="inlineStr">
        <is>
          <t>SUNDSVALL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13353-2024</t>
        </is>
      </c>
      <c r="B507" s="1" t="n">
        <v>45387.33446759259</v>
      </c>
      <c r="C507" s="1" t="n">
        <v>46165</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45588.42511574074</v>
      </c>
      <c r="C508" s="1" t="n">
        <v>46165</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22102-2024</t>
        </is>
      </c>
      <c r="B509" s="1" t="n">
        <v>45443.95085648148</v>
      </c>
      <c r="C509" s="1" t="n">
        <v>46165</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46165</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26200-2024</t>
        </is>
      </c>
      <c r="B511" s="1" t="n">
        <v>45468</v>
      </c>
      <c r="C511" s="1" t="n">
        <v>46165</v>
      </c>
      <c r="D511" t="inlineStr">
        <is>
          <t>VÄSTERNORRLANDS LÄN</t>
        </is>
      </c>
      <c r="E511" t="inlineStr">
        <is>
          <t>SUNDSVALL</t>
        </is>
      </c>
      <c r="G511" t="n">
        <v>6.7</v>
      </c>
      <c r="H511" t="n">
        <v>0</v>
      </c>
      <c r="I511" t="n">
        <v>0</v>
      </c>
      <c r="J511" t="n">
        <v>0</v>
      </c>
      <c r="K511" t="n">
        <v>0</v>
      </c>
      <c r="L511" t="n">
        <v>0</v>
      </c>
      <c r="M511" t="n">
        <v>0</v>
      </c>
      <c r="N511" t="n">
        <v>0</v>
      </c>
      <c r="O511" t="n">
        <v>0</v>
      </c>
      <c r="P511" t="n">
        <v>0</v>
      </c>
      <c r="Q511" t="n">
        <v>0</v>
      </c>
      <c r="R511" s="2" t="inlineStr"/>
    </row>
    <row r="512" ht="15" customHeight="1">
      <c r="A512" t="inlineStr">
        <is>
          <t>A 62301-2023</t>
        </is>
      </c>
      <c r="B512" s="1" t="n">
        <v>45267</v>
      </c>
      <c r="C512" s="1" t="n">
        <v>46165</v>
      </c>
      <c r="D512" t="inlineStr">
        <is>
          <t>VÄSTERNORRLANDS LÄN</t>
        </is>
      </c>
      <c r="E512" t="inlineStr">
        <is>
          <t>SUNDSVALL</t>
        </is>
      </c>
      <c r="G512" t="n">
        <v>2.6</v>
      </c>
      <c r="H512" t="n">
        <v>0</v>
      </c>
      <c r="I512" t="n">
        <v>0</v>
      </c>
      <c r="J512" t="n">
        <v>0</v>
      </c>
      <c r="K512" t="n">
        <v>0</v>
      </c>
      <c r="L512" t="n">
        <v>0</v>
      </c>
      <c r="M512" t="n">
        <v>0</v>
      </c>
      <c r="N512" t="n">
        <v>0</v>
      </c>
      <c r="O512" t="n">
        <v>0</v>
      </c>
      <c r="P512" t="n">
        <v>0</v>
      </c>
      <c r="Q512" t="n">
        <v>0</v>
      </c>
      <c r="R512" s="2" t="inlineStr"/>
    </row>
    <row r="513" ht="15" customHeight="1">
      <c r="A513" t="inlineStr">
        <is>
          <t>A 35010-2023</t>
        </is>
      </c>
      <c r="B513" s="1" t="n">
        <v>45142</v>
      </c>
      <c r="C513" s="1" t="n">
        <v>46165</v>
      </c>
      <c r="D513" t="inlineStr">
        <is>
          <t>VÄSTERNORRLANDS LÄN</t>
        </is>
      </c>
      <c r="E513" t="inlineStr">
        <is>
          <t>SUNDSVALL</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29629-2023</t>
        </is>
      </c>
      <c r="B514" s="1" t="n">
        <v>45106.94587962963</v>
      </c>
      <c r="C514" s="1" t="n">
        <v>46165</v>
      </c>
      <c r="D514" t="inlineStr">
        <is>
          <t>VÄSTERNORRLANDS LÄN</t>
        </is>
      </c>
      <c r="E514" t="inlineStr">
        <is>
          <t>SUNDSVALL</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2129-2023</t>
        </is>
      </c>
      <c r="B515" s="1" t="n">
        <v>44939.93967592593</v>
      </c>
      <c r="C515" s="1" t="n">
        <v>46165</v>
      </c>
      <c r="D515" t="inlineStr">
        <is>
          <t>VÄSTERNORRLANDS LÄN</t>
        </is>
      </c>
      <c r="E515" t="inlineStr">
        <is>
          <t>SUNDSVALL</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35254-2023</t>
        </is>
      </c>
      <c r="B516" s="1" t="n">
        <v>45145</v>
      </c>
      <c r="C516" s="1" t="n">
        <v>46165</v>
      </c>
      <c r="D516" t="inlineStr">
        <is>
          <t>VÄSTERNORRLANDS LÄN</t>
        </is>
      </c>
      <c r="E516" t="inlineStr">
        <is>
          <t>SUNDSVALL</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1375-2023</t>
        </is>
      </c>
      <c r="B517" s="1" t="n">
        <v>44936.66675925926</v>
      </c>
      <c r="C517" s="1" t="n">
        <v>46165</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46165</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33206-2021</t>
        </is>
      </c>
      <c r="B519" s="1" t="n">
        <v>44376.93366898148</v>
      </c>
      <c r="C519" s="1" t="n">
        <v>46165</v>
      </c>
      <c r="D519" t="inlineStr">
        <is>
          <t>VÄSTERNORRLANDS LÄN</t>
        </is>
      </c>
      <c r="E519" t="inlineStr">
        <is>
          <t>SUNDSVALL</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45062-2023</t>
        </is>
      </c>
      <c r="B520" s="1" t="n">
        <v>45191</v>
      </c>
      <c r="C520" s="1" t="n">
        <v>46165</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27693-2023</t>
        </is>
      </c>
      <c r="B521" s="1" t="n">
        <v>45097.9384375</v>
      </c>
      <c r="C521" s="1" t="n">
        <v>46165</v>
      </c>
      <c r="D521" t="inlineStr">
        <is>
          <t>VÄSTERNORRLANDS LÄN</t>
        </is>
      </c>
      <c r="E521" t="inlineStr">
        <is>
          <t>SUNDSVALL</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15551-2025</t>
        </is>
      </c>
      <c r="B522" s="1" t="n">
        <v>45747.67410879629</v>
      </c>
      <c r="C522" s="1" t="n">
        <v>46165</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61268-2023</t>
        </is>
      </c>
      <c r="B523" s="1" t="n">
        <v>45264</v>
      </c>
      <c r="C523" s="1" t="n">
        <v>46165</v>
      </c>
      <c r="D523" t="inlineStr">
        <is>
          <t>VÄSTERNORRLANDS LÄN</t>
        </is>
      </c>
      <c r="E523" t="inlineStr">
        <is>
          <t>SUNDSVALL</t>
        </is>
      </c>
      <c r="G523" t="n">
        <v>1.6</v>
      </c>
      <c r="H523" t="n">
        <v>0</v>
      </c>
      <c r="I523" t="n">
        <v>0</v>
      </c>
      <c r="J523" t="n">
        <v>0</v>
      </c>
      <c r="K523" t="n">
        <v>0</v>
      </c>
      <c r="L523" t="n">
        <v>0</v>
      </c>
      <c r="M523" t="n">
        <v>0</v>
      </c>
      <c r="N523" t="n">
        <v>0</v>
      </c>
      <c r="O523" t="n">
        <v>0</v>
      </c>
      <c r="P523" t="n">
        <v>0</v>
      </c>
      <c r="Q523" t="n">
        <v>0</v>
      </c>
      <c r="R523" s="2" t="inlineStr"/>
    </row>
    <row r="524" ht="15" customHeight="1">
      <c r="A524" t="inlineStr">
        <is>
          <t>A 61049-2022</t>
        </is>
      </c>
      <c r="B524" s="1" t="n">
        <v>44914.97056712963</v>
      </c>
      <c r="C524" s="1" t="n">
        <v>46165</v>
      </c>
      <c r="D524" t="inlineStr">
        <is>
          <t>VÄSTERNORRLANDS LÄN</t>
        </is>
      </c>
      <c r="E524" t="inlineStr">
        <is>
          <t>SUNDSVALL</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55568-2024</t>
        </is>
      </c>
      <c r="B525" s="1" t="n">
        <v>45622.54879629629</v>
      </c>
      <c r="C525" s="1" t="n">
        <v>46165</v>
      </c>
      <c r="D525" t="inlineStr">
        <is>
          <t>VÄSTERNORRLANDS LÄN</t>
        </is>
      </c>
      <c r="E525" t="inlineStr">
        <is>
          <t>SUNDSVALL</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18816-2025</t>
        </is>
      </c>
      <c r="B526" s="1" t="n">
        <v>45764.37059027778</v>
      </c>
      <c r="C526" s="1" t="n">
        <v>46165</v>
      </c>
      <c r="D526" t="inlineStr">
        <is>
          <t>VÄSTERNORRLANDS LÄN</t>
        </is>
      </c>
      <c r="E526" t="inlineStr">
        <is>
          <t>SUNDSVALL</t>
        </is>
      </c>
      <c r="G526" t="n">
        <v>1.4</v>
      </c>
      <c r="H526" t="n">
        <v>0</v>
      </c>
      <c r="I526" t="n">
        <v>0</v>
      </c>
      <c r="J526" t="n">
        <v>0</v>
      </c>
      <c r="K526" t="n">
        <v>0</v>
      </c>
      <c r="L526" t="n">
        <v>0</v>
      </c>
      <c r="M526" t="n">
        <v>0</v>
      </c>
      <c r="N526" t="n">
        <v>0</v>
      </c>
      <c r="O526" t="n">
        <v>0</v>
      </c>
      <c r="P526" t="n">
        <v>0</v>
      </c>
      <c r="Q526" t="n">
        <v>0</v>
      </c>
      <c r="R526" s="2" t="inlineStr"/>
    </row>
    <row r="527" ht="15" customHeight="1">
      <c r="A527" t="inlineStr">
        <is>
          <t>A 65192-2023</t>
        </is>
      </c>
      <c r="B527" s="1" t="n">
        <v>45288</v>
      </c>
      <c r="C527" s="1" t="n">
        <v>46165</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25011-2022</t>
        </is>
      </c>
      <c r="B528" s="1" t="n">
        <v>44728.92876157408</v>
      </c>
      <c r="C528" s="1" t="n">
        <v>46165</v>
      </c>
      <c r="D528" t="inlineStr">
        <is>
          <t>VÄSTERNORRLANDS LÄN</t>
        </is>
      </c>
      <c r="E528" t="inlineStr">
        <is>
          <t>SUNDSVALL</t>
        </is>
      </c>
      <c r="G528" t="n">
        <v>1.9</v>
      </c>
      <c r="H528" t="n">
        <v>0</v>
      </c>
      <c r="I528" t="n">
        <v>0</v>
      </c>
      <c r="J528" t="n">
        <v>0</v>
      </c>
      <c r="K528" t="n">
        <v>0</v>
      </c>
      <c r="L528" t="n">
        <v>0</v>
      </c>
      <c r="M528" t="n">
        <v>0</v>
      </c>
      <c r="N528" t="n">
        <v>0</v>
      </c>
      <c r="O528" t="n">
        <v>0</v>
      </c>
      <c r="P528" t="n">
        <v>0</v>
      </c>
      <c r="Q528" t="n">
        <v>0</v>
      </c>
      <c r="R528" s="2" t="inlineStr"/>
    </row>
    <row r="529" ht="15" customHeight="1">
      <c r="A529" t="inlineStr">
        <is>
          <t>A 65193-2023</t>
        </is>
      </c>
      <c r="B529" s="1" t="n">
        <v>45288</v>
      </c>
      <c r="C529" s="1" t="n">
        <v>46165</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43168-2024</t>
        </is>
      </c>
      <c r="B530" s="1" t="n">
        <v>45567.656875</v>
      </c>
      <c r="C530" s="1" t="n">
        <v>46165</v>
      </c>
      <c r="D530" t="inlineStr">
        <is>
          <t>VÄSTERNORRLANDS LÄN</t>
        </is>
      </c>
      <c r="E530" t="inlineStr">
        <is>
          <t>SUNDSVALL</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20418-2024</t>
        </is>
      </c>
      <c r="B531" s="1" t="n">
        <v>45435</v>
      </c>
      <c r="C531" s="1" t="n">
        <v>46165</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44035-2024</t>
        </is>
      </c>
      <c r="B532" s="1" t="n">
        <v>45572.57914351852</v>
      </c>
      <c r="C532" s="1" t="n">
        <v>46165</v>
      </c>
      <c r="D532" t="inlineStr">
        <is>
          <t>VÄSTERNORRLANDS LÄN</t>
        </is>
      </c>
      <c r="E532" t="inlineStr">
        <is>
          <t>SUNDSVALL</t>
        </is>
      </c>
      <c r="G532" t="n">
        <v>3.7</v>
      </c>
      <c r="H532" t="n">
        <v>0</v>
      </c>
      <c r="I532" t="n">
        <v>0</v>
      </c>
      <c r="J532" t="n">
        <v>0</v>
      </c>
      <c r="K532" t="n">
        <v>0</v>
      </c>
      <c r="L532" t="n">
        <v>0</v>
      </c>
      <c r="M532" t="n">
        <v>0</v>
      </c>
      <c r="N532" t="n">
        <v>0</v>
      </c>
      <c r="O532" t="n">
        <v>0</v>
      </c>
      <c r="P532" t="n">
        <v>0</v>
      </c>
      <c r="Q532" t="n">
        <v>0</v>
      </c>
      <c r="R532" s="2" t="inlineStr"/>
    </row>
    <row r="533" ht="15" customHeight="1">
      <c r="A533" t="inlineStr">
        <is>
          <t>A 13152-2025</t>
        </is>
      </c>
      <c r="B533" s="1" t="n">
        <v>45735</v>
      </c>
      <c r="C533" s="1" t="n">
        <v>46165</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27639-2023</t>
        </is>
      </c>
      <c r="B534" s="1" t="n">
        <v>45097</v>
      </c>
      <c r="C534" s="1" t="n">
        <v>46165</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19385-2022</t>
        </is>
      </c>
      <c r="B535" s="1" t="n">
        <v>44692.92344907407</v>
      </c>
      <c r="C535" s="1" t="n">
        <v>46165</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13180-2025</t>
        </is>
      </c>
      <c r="B536" s="1" t="n">
        <v>45735.38108796296</v>
      </c>
      <c r="C536" s="1" t="n">
        <v>46165</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2589-2025</t>
        </is>
      </c>
      <c r="B537" s="1" t="n">
        <v>45674.6950462963</v>
      </c>
      <c r="C537" s="1" t="n">
        <v>46165</v>
      </c>
      <c r="D537" t="inlineStr">
        <is>
          <t>VÄSTERNORRLANDS LÄN</t>
        </is>
      </c>
      <c r="E537" t="inlineStr">
        <is>
          <t>SUNDSVALL</t>
        </is>
      </c>
      <c r="G537" t="n">
        <v>1.2</v>
      </c>
      <c r="H537" t="n">
        <v>0</v>
      </c>
      <c r="I537" t="n">
        <v>0</v>
      </c>
      <c r="J537" t="n">
        <v>0</v>
      </c>
      <c r="K537" t="n">
        <v>0</v>
      </c>
      <c r="L537" t="n">
        <v>0</v>
      </c>
      <c r="M537" t="n">
        <v>0</v>
      </c>
      <c r="N537" t="n">
        <v>0</v>
      </c>
      <c r="O537" t="n">
        <v>0</v>
      </c>
      <c r="P537" t="n">
        <v>0</v>
      </c>
      <c r="Q537" t="n">
        <v>0</v>
      </c>
      <c r="R537" s="2" t="inlineStr"/>
    </row>
    <row r="538" ht="15" customHeight="1">
      <c r="A538" t="inlineStr">
        <is>
          <t>A 35218-2024</t>
        </is>
      </c>
      <c r="B538" s="1" t="n">
        <v>45530.49400462963</v>
      </c>
      <c r="C538" s="1" t="n">
        <v>46165</v>
      </c>
      <c r="D538" t="inlineStr">
        <is>
          <t>VÄSTERNORRLANDS LÄN</t>
        </is>
      </c>
      <c r="E538" t="inlineStr">
        <is>
          <t>SUNDSVALL</t>
        </is>
      </c>
      <c r="G538" t="n">
        <v>3.6</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46165</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199-2024</t>
        </is>
      </c>
      <c r="B540" s="1" t="n">
        <v>45294.63547453703</v>
      </c>
      <c r="C540" s="1" t="n">
        <v>46165</v>
      </c>
      <c r="D540" t="inlineStr">
        <is>
          <t>VÄSTERNORRLANDS LÄN</t>
        </is>
      </c>
      <c r="E540" t="inlineStr">
        <is>
          <t>SUNDSVALL</t>
        </is>
      </c>
      <c r="G540" t="n">
        <v>1.5</v>
      </c>
      <c r="H540" t="n">
        <v>0</v>
      </c>
      <c r="I540" t="n">
        <v>0</v>
      </c>
      <c r="J540" t="n">
        <v>0</v>
      </c>
      <c r="K540" t="n">
        <v>0</v>
      </c>
      <c r="L540" t="n">
        <v>0</v>
      </c>
      <c r="M540" t="n">
        <v>0</v>
      </c>
      <c r="N540" t="n">
        <v>0</v>
      </c>
      <c r="O540" t="n">
        <v>0</v>
      </c>
      <c r="P540" t="n">
        <v>0</v>
      </c>
      <c r="Q540" t="n">
        <v>0</v>
      </c>
      <c r="R540" s="2" t="inlineStr"/>
    </row>
    <row r="541" ht="15" customHeight="1">
      <c r="A541" t="inlineStr">
        <is>
          <t>A 56232-2023</t>
        </is>
      </c>
      <c r="B541" s="1" t="n">
        <v>45240.92402777778</v>
      </c>
      <c r="C541" s="1" t="n">
        <v>46165</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56233-2023</t>
        </is>
      </c>
      <c r="B542" s="1" t="n">
        <v>45240.9240625</v>
      </c>
      <c r="C542" s="1" t="n">
        <v>46165</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56250-2023</t>
        </is>
      </c>
      <c r="B543" s="1" t="n">
        <v>45240</v>
      </c>
      <c r="C543" s="1" t="n">
        <v>46165</v>
      </c>
      <c r="D543" t="inlineStr">
        <is>
          <t>VÄSTERNORRLANDS LÄN</t>
        </is>
      </c>
      <c r="E543" t="inlineStr">
        <is>
          <t>SUNDSVALL</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22473-2023</t>
        </is>
      </c>
      <c r="B544" s="1" t="n">
        <v>45070</v>
      </c>
      <c r="C544" s="1" t="n">
        <v>46165</v>
      </c>
      <c r="D544" t="inlineStr">
        <is>
          <t>VÄSTERNORRLANDS LÄN</t>
        </is>
      </c>
      <c r="E544" t="inlineStr">
        <is>
          <t>SUNDSVALL</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13570-2025</t>
        </is>
      </c>
      <c r="B545" s="1" t="n">
        <v>45736.57355324074</v>
      </c>
      <c r="C545" s="1" t="n">
        <v>46165</v>
      </c>
      <c r="D545" t="inlineStr">
        <is>
          <t>VÄSTERNORRLANDS LÄN</t>
        </is>
      </c>
      <c r="E545" t="inlineStr">
        <is>
          <t>SUNDSVALL</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58165-2022</t>
        </is>
      </c>
      <c r="B546" s="1" t="n">
        <v>44900</v>
      </c>
      <c r="C546" s="1" t="n">
        <v>46165</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59723-2021</t>
        </is>
      </c>
      <c r="B547" s="1" t="n">
        <v>44494.42824074074</v>
      </c>
      <c r="C547" s="1" t="n">
        <v>46165</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58745-2023</t>
        </is>
      </c>
      <c r="B548" s="1" t="n">
        <v>45251</v>
      </c>
      <c r="C548" s="1" t="n">
        <v>46165</v>
      </c>
      <c r="D548" t="inlineStr">
        <is>
          <t>VÄSTERNORRLANDS LÄN</t>
        </is>
      </c>
      <c r="E548" t="inlineStr">
        <is>
          <t>SUNDSVALL</t>
        </is>
      </c>
      <c r="G548" t="n">
        <v>2.7</v>
      </c>
      <c r="H548" t="n">
        <v>0</v>
      </c>
      <c r="I548" t="n">
        <v>0</v>
      </c>
      <c r="J548" t="n">
        <v>0</v>
      </c>
      <c r="K548" t="n">
        <v>0</v>
      </c>
      <c r="L548" t="n">
        <v>0</v>
      </c>
      <c r="M548" t="n">
        <v>0</v>
      </c>
      <c r="N548" t="n">
        <v>0</v>
      </c>
      <c r="O548" t="n">
        <v>0</v>
      </c>
      <c r="P548" t="n">
        <v>0</v>
      </c>
      <c r="Q548" t="n">
        <v>0</v>
      </c>
      <c r="R548" s="2" t="inlineStr"/>
    </row>
    <row r="549" ht="15" customHeight="1">
      <c r="A549" t="inlineStr">
        <is>
          <t>A 54460-2024</t>
        </is>
      </c>
      <c r="B549" s="1" t="n">
        <v>45617.5328125</v>
      </c>
      <c r="C549" s="1" t="n">
        <v>46165</v>
      </c>
      <c r="D549" t="inlineStr">
        <is>
          <t>VÄSTERNORRLANDS LÄN</t>
        </is>
      </c>
      <c r="E549" t="inlineStr">
        <is>
          <t>SUNDSVALL</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62076-2022</t>
        </is>
      </c>
      <c r="B550" s="1" t="n">
        <v>44918.9221412037</v>
      </c>
      <c r="C550" s="1" t="n">
        <v>46165</v>
      </c>
      <c r="D550" t="inlineStr">
        <is>
          <t>VÄSTERNORRLANDS LÄN</t>
        </is>
      </c>
      <c r="E550" t="inlineStr">
        <is>
          <t>SUNDSVALL</t>
        </is>
      </c>
      <c r="G550" t="n">
        <v>2.6</v>
      </c>
      <c r="H550" t="n">
        <v>0</v>
      </c>
      <c r="I550" t="n">
        <v>0</v>
      </c>
      <c r="J550" t="n">
        <v>0</v>
      </c>
      <c r="K550" t="n">
        <v>0</v>
      </c>
      <c r="L550" t="n">
        <v>0</v>
      </c>
      <c r="M550" t="n">
        <v>0</v>
      </c>
      <c r="N550" t="n">
        <v>0</v>
      </c>
      <c r="O550" t="n">
        <v>0</v>
      </c>
      <c r="P550" t="n">
        <v>0</v>
      </c>
      <c r="Q550" t="n">
        <v>0</v>
      </c>
      <c r="R550" s="2" t="inlineStr"/>
    </row>
    <row r="551" ht="15" customHeight="1">
      <c r="A551" t="inlineStr">
        <is>
          <t>A 44934-2021</t>
        </is>
      </c>
      <c r="B551" s="1" t="n">
        <v>44438</v>
      </c>
      <c r="C551" s="1" t="n">
        <v>46165</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57079-2024</t>
        </is>
      </c>
      <c r="B552" s="1" t="n">
        <v>45629</v>
      </c>
      <c r="C552" s="1" t="n">
        <v>46165</v>
      </c>
      <c r="D552" t="inlineStr">
        <is>
          <t>VÄSTERNORRLANDS LÄN</t>
        </is>
      </c>
      <c r="E552" t="inlineStr">
        <is>
          <t>SUNDSVALL</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12280-2025</t>
        </is>
      </c>
      <c r="B553" s="1" t="n">
        <v>45729.6537962963</v>
      </c>
      <c r="C553" s="1" t="n">
        <v>46165</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57499-2024</t>
        </is>
      </c>
      <c r="B554" s="1" t="n">
        <v>45630.37629629629</v>
      </c>
      <c r="C554" s="1" t="n">
        <v>46165</v>
      </c>
      <c r="D554" t="inlineStr">
        <is>
          <t>VÄSTERNORRLANDS LÄN</t>
        </is>
      </c>
      <c r="E554" t="inlineStr">
        <is>
          <t>SUNDSVALL</t>
        </is>
      </c>
      <c r="G554" t="n">
        <v>5.6</v>
      </c>
      <c r="H554" t="n">
        <v>0</v>
      </c>
      <c r="I554" t="n">
        <v>0</v>
      </c>
      <c r="J554" t="n">
        <v>0</v>
      </c>
      <c r="K554" t="n">
        <v>0</v>
      </c>
      <c r="L554" t="n">
        <v>0</v>
      </c>
      <c r="M554" t="n">
        <v>0</v>
      </c>
      <c r="N554" t="n">
        <v>0</v>
      </c>
      <c r="O554" t="n">
        <v>0</v>
      </c>
      <c r="P554" t="n">
        <v>0</v>
      </c>
      <c r="Q554" t="n">
        <v>0</v>
      </c>
      <c r="R554" s="2" t="inlineStr"/>
    </row>
    <row r="555" ht="15" customHeight="1">
      <c r="A555" t="inlineStr">
        <is>
          <t>A 1417-2023</t>
        </is>
      </c>
      <c r="B555" s="1" t="n">
        <v>44936</v>
      </c>
      <c r="C555" s="1" t="n">
        <v>46165</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38350-2023</t>
        </is>
      </c>
      <c r="B556" s="1" t="n">
        <v>45161.92380787037</v>
      </c>
      <c r="C556" s="1" t="n">
        <v>46165</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38353-2023</t>
        </is>
      </c>
      <c r="B557" s="1" t="n">
        <v>45161</v>
      </c>
      <c r="C557" s="1" t="n">
        <v>46165</v>
      </c>
      <c r="D557" t="inlineStr">
        <is>
          <t>VÄSTERNORRLANDS LÄN</t>
        </is>
      </c>
      <c r="E557" t="inlineStr">
        <is>
          <t>SUNDSVALL</t>
        </is>
      </c>
      <c r="G557" t="n">
        <v>5</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46165</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59341-2023</t>
        </is>
      </c>
      <c r="B559" s="1" t="n">
        <v>45253.65173611111</v>
      </c>
      <c r="C559" s="1" t="n">
        <v>46165</v>
      </c>
      <c r="D559" t="inlineStr">
        <is>
          <t>VÄSTERNORRLANDS LÄN</t>
        </is>
      </c>
      <c r="E559" t="inlineStr">
        <is>
          <t>SUNDSVALL</t>
        </is>
      </c>
      <c r="G559" t="n">
        <v>1.9</v>
      </c>
      <c r="H559" t="n">
        <v>0</v>
      </c>
      <c r="I559" t="n">
        <v>0</v>
      </c>
      <c r="J559" t="n">
        <v>0</v>
      </c>
      <c r="K559" t="n">
        <v>0</v>
      </c>
      <c r="L559" t="n">
        <v>0</v>
      </c>
      <c r="M559" t="n">
        <v>0</v>
      </c>
      <c r="N559" t="n">
        <v>0</v>
      </c>
      <c r="O559" t="n">
        <v>0</v>
      </c>
      <c r="P559" t="n">
        <v>0</v>
      </c>
      <c r="Q559" t="n">
        <v>0</v>
      </c>
      <c r="R559" s="2" t="inlineStr"/>
    </row>
    <row r="560" ht="15" customHeight="1">
      <c r="A560" t="inlineStr">
        <is>
          <t>A 6673-2025</t>
        </is>
      </c>
      <c r="B560" s="1" t="n">
        <v>45700.47215277778</v>
      </c>
      <c r="C560" s="1" t="n">
        <v>46165</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46247-2022</t>
        </is>
      </c>
      <c r="B561" s="1" t="n">
        <v>44846</v>
      </c>
      <c r="C561" s="1" t="n">
        <v>46165</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53674-2023</t>
        </is>
      </c>
      <c r="B562" s="1" t="n">
        <v>45224</v>
      </c>
      <c r="C562" s="1" t="n">
        <v>46165</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47769-2024</t>
        </is>
      </c>
      <c r="B563" s="1" t="n">
        <v>45588.56342592592</v>
      </c>
      <c r="C563" s="1" t="n">
        <v>46165</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11989-2024</t>
        </is>
      </c>
      <c r="B564" s="1" t="n">
        <v>45376.95318287037</v>
      </c>
      <c r="C564" s="1" t="n">
        <v>46165</v>
      </c>
      <c r="D564" t="inlineStr">
        <is>
          <t>VÄSTERNORRLANDS LÄN</t>
        </is>
      </c>
      <c r="E564" t="inlineStr">
        <is>
          <t>SUNDSVALL</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13834-2024</t>
        </is>
      </c>
      <c r="B565" s="1" t="n">
        <v>45390</v>
      </c>
      <c r="C565" s="1" t="n">
        <v>46165</v>
      </c>
      <c r="D565" t="inlineStr">
        <is>
          <t>VÄSTERNORRLANDS LÄN</t>
        </is>
      </c>
      <c r="E565" t="inlineStr">
        <is>
          <t>SUNDSVALL</t>
        </is>
      </c>
      <c r="G565" t="n">
        <v>4.1</v>
      </c>
      <c r="H565" t="n">
        <v>0</v>
      </c>
      <c r="I565" t="n">
        <v>0</v>
      </c>
      <c r="J565" t="n">
        <v>0</v>
      </c>
      <c r="K565" t="n">
        <v>0</v>
      </c>
      <c r="L565" t="n">
        <v>0</v>
      </c>
      <c r="M565" t="n">
        <v>0</v>
      </c>
      <c r="N565" t="n">
        <v>0</v>
      </c>
      <c r="O565" t="n">
        <v>0</v>
      </c>
      <c r="P565" t="n">
        <v>0</v>
      </c>
      <c r="Q565" t="n">
        <v>0</v>
      </c>
      <c r="R565" s="2" t="inlineStr"/>
    </row>
    <row r="566" ht="15" customHeight="1">
      <c r="A566" t="inlineStr">
        <is>
          <t>A 7005-2023</t>
        </is>
      </c>
      <c r="B566" s="1" t="n">
        <v>44967.92928240741</v>
      </c>
      <c r="C566" s="1" t="n">
        <v>46165</v>
      </c>
      <c r="D566" t="inlineStr">
        <is>
          <t>VÄSTERNORRLANDS LÄN</t>
        </is>
      </c>
      <c r="E566" t="inlineStr">
        <is>
          <t>SUNDSVALL</t>
        </is>
      </c>
      <c r="G566" t="n">
        <v>3.5</v>
      </c>
      <c r="H566" t="n">
        <v>0</v>
      </c>
      <c r="I566" t="n">
        <v>0</v>
      </c>
      <c r="J566" t="n">
        <v>0</v>
      </c>
      <c r="K566" t="n">
        <v>0</v>
      </c>
      <c r="L566" t="n">
        <v>0</v>
      </c>
      <c r="M566" t="n">
        <v>0</v>
      </c>
      <c r="N566" t="n">
        <v>0</v>
      </c>
      <c r="O566" t="n">
        <v>0</v>
      </c>
      <c r="P566" t="n">
        <v>0</v>
      </c>
      <c r="Q566" t="n">
        <v>0</v>
      </c>
      <c r="R566" s="2" t="inlineStr"/>
    </row>
    <row r="567" ht="15" customHeight="1">
      <c r="A567" t="inlineStr">
        <is>
          <t>A 16250-2024</t>
        </is>
      </c>
      <c r="B567" s="1" t="n">
        <v>45407</v>
      </c>
      <c r="C567" s="1" t="n">
        <v>46165</v>
      </c>
      <c r="D567" t="inlineStr">
        <is>
          <t>VÄSTERNORRLANDS LÄN</t>
        </is>
      </c>
      <c r="E567" t="inlineStr">
        <is>
          <t>SUNDSVALL</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61860-2023</t>
        </is>
      </c>
      <c r="B568" s="1" t="n">
        <v>45264</v>
      </c>
      <c r="C568" s="1" t="n">
        <v>46165</v>
      </c>
      <c r="D568" t="inlineStr">
        <is>
          <t>VÄSTERNORRLANDS LÄN</t>
        </is>
      </c>
      <c r="E568" t="inlineStr">
        <is>
          <t>SUNDSVALL</t>
        </is>
      </c>
      <c r="G568" t="n">
        <v>5.9</v>
      </c>
      <c r="H568" t="n">
        <v>0</v>
      </c>
      <c r="I568" t="n">
        <v>0</v>
      </c>
      <c r="J568" t="n">
        <v>0</v>
      </c>
      <c r="K568" t="n">
        <v>0</v>
      </c>
      <c r="L568" t="n">
        <v>0</v>
      </c>
      <c r="M568" t="n">
        <v>0</v>
      </c>
      <c r="N568" t="n">
        <v>0</v>
      </c>
      <c r="O568" t="n">
        <v>0</v>
      </c>
      <c r="P568" t="n">
        <v>0</v>
      </c>
      <c r="Q568" t="n">
        <v>0</v>
      </c>
      <c r="R568" s="2" t="inlineStr"/>
    </row>
    <row r="569" ht="15" customHeight="1">
      <c r="A569" t="inlineStr">
        <is>
          <t>A 55339-2023</t>
        </is>
      </c>
      <c r="B569" s="1" t="n">
        <v>45237.97483796296</v>
      </c>
      <c r="C569" s="1" t="n">
        <v>46165</v>
      </c>
      <c r="D569" t="inlineStr">
        <is>
          <t>VÄSTERNORRLANDS LÄN</t>
        </is>
      </c>
      <c r="E569" t="inlineStr">
        <is>
          <t>SUNDSVALL</t>
        </is>
      </c>
      <c r="F569" t="inlineStr">
        <is>
          <t>SCA</t>
        </is>
      </c>
      <c r="G569" t="n">
        <v>12.1</v>
      </c>
      <c r="H569" t="n">
        <v>0</v>
      </c>
      <c r="I569" t="n">
        <v>0</v>
      </c>
      <c r="J569" t="n">
        <v>0</v>
      </c>
      <c r="K569" t="n">
        <v>0</v>
      </c>
      <c r="L569" t="n">
        <v>0</v>
      </c>
      <c r="M569" t="n">
        <v>0</v>
      </c>
      <c r="N569" t="n">
        <v>0</v>
      </c>
      <c r="O569" t="n">
        <v>0</v>
      </c>
      <c r="P569" t="n">
        <v>0</v>
      </c>
      <c r="Q569" t="n">
        <v>0</v>
      </c>
      <c r="R569" s="2" t="inlineStr"/>
    </row>
    <row r="570" ht="15" customHeight="1">
      <c r="A570" t="inlineStr">
        <is>
          <t>A 53272-2022</t>
        </is>
      </c>
      <c r="B570" s="1" t="n">
        <v>44876</v>
      </c>
      <c r="C570" s="1" t="n">
        <v>46165</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57775-2023</t>
        </is>
      </c>
      <c r="B571" s="1" t="n">
        <v>45246</v>
      </c>
      <c r="C571" s="1" t="n">
        <v>46165</v>
      </c>
      <c r="D571" t="inlineStr">
        <is>
          <t>VÄSTERNORRLANDS LÄN</t>
        </is>
      </c>
      <c r="E571" t="inlineStr">
        <is>
          <t>SUNDSVALL</t>
        </is>
      </c>
      <c r="G571" t="n">
        <v>2</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46165</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7404-2024</t>
        </is>
      </c>
      <c r="B573" s="1" t="n">
        <v>45345</v>
      </c>
      <c r="C573" s="1" t="n">
        <v>46165</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3619-2024</t>
        </is>
      </c>
      <c r="B574" s="1" t="n">
        <v>45320.95262731481</v>
      </c>
      <c r="C574" s="1" t="n">
        <v>46165</v>
      </c>
      <c r="D574" t="inlineStr">
        <is>
          <t>VÄSTERNORRLANDS LÄN</t>
        </is>
      </c>
      <c r="E574" t="inlineStr">
        <is>
          <t>SUNDSVALL</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19828-2025</t>
        </is>
      </c>
      <c r="B575" s="1" t="n">
        <v>45771.46931712963</v>
      </c>
      <c r="C575" s="1" t="n">
        <v>46165</v>
      </c>
      <c r="D575" t="inlineStr">
        <is>
          <t>VÄSTERNORRLANDS LÄN</t>
        </is>
      </c>
      <c r="E575" t="inlineStr">
        <is>
          <t>SUNDSVALL</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19830-2025</t>
        </is>
      </c>
      <c r="B576" s="1" t="n">
        <v>45771.46956018519</v>
      </c>
      <c r="C576" s="1" t="n">
        <v>46165</v>
      </c>
      <c r="D576" t="inlineStr">
        <is>
          <t>VÄSTERNORRLANDS LÄN</t>
        </is>
      </c>
      <c r="E576" t="inlineStr">
        <is>
          <t>SUNDSVALL</t>
        </is>
      </c>
      <c r="F576" t="inlineStr">
        <is>
          <t>Naturvårdsverket</t>
        </is>
      </c>
      <c r="G576" t="n">
        <v>0.7</v>
      </c>
      <c r="H576" t="n">
        <v>0</v>
      </c>
      <c r="I576" t="n">
        <v>0</v>
      </c>
      <c r="J576" t="n">
        <v>0</v>
      </c>
      <c r="K576" t="n">
        <v>0</v>
      </c>
      <c r="L576" t="n">
        <v>0</v>
      </c>
      <c r="M576" t="n">
        <v>0</v>
      </c>
      <c r="N576" t="n">
        <v>0</v>
      </c>
      <c r="O576" t="n">
        <v>0</v>
      </c>
      <c r="P576" t="n">
        <v>0</v>
      </c>
      <c r="Q576" t="n">
        <v>0</v>
      </c>
      <c r="R576" s="2" t="inlineStr"/>
    </row>
    <row r="577" ht="15" customHeight="1">
      <c r="A577" t="inlineStr">
        <is>
          <t>A 40846-2022</t>
        </is>
      </c>
      <c r="B577" s="1" t="n">
        <v>44824.94766203704</v>
      </c>
      <c r="C577" s="1" t="n">
        <v>46165</v>
      </c>
      <c r="D577" t="inlineStr">
        <is>
          <t>VÄSTERNORRLANDS LÄN</t>
        </is>
      </c>
      <c r="E577" t="inlineStr">
        <is>
          <t>SUNDSVALL</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39713-2024</t>
        </is>
      </c>
      <c r="B578" s="1" t="n">
        <v>45552</v>
      </c>
      <c r="C578" s="1" t="n">
        <v>46165</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19715-2025</t>
        </is>
      </c>
      <c r="B579" s="1" t="n">
        <v>45771</v>
      </c>
      <c r="C579" s="1" t="n">
        <v>46165</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19720-2025</t>
        </is>
      </c>
      <c r="B580" s="1" t="n">
        <v>45771.35729166667</v>
      </c>
      <c r="C580" s="1" t="n">
        <v>46165</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19733-2025</t>
        </is>
      </c>
      <c r="B581" s="1" t="n">
        <v>45771.36633101852</v>
      </c>
      <c r="C581" s="1" t="n">
        <v>46165</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5650-2022</t>
        </is>
      </c>
      <c r="B582" s="1" t="n">
        <v>44595</v>
      </c>
      <c r="C582" s="1" t="n">
        <v>46165</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58781-2022</t>
        </is>
      </c>
      <c r="B583" s="1" t="n">
        <v>44903</v>
      </c>
      <c r="C583" s="1" t="n">
        <v>46165</v>
      </c>
      <c r="D583" t="inlineStr">
        <is>
          <t>VÄSTERNORRLANDS LÄN</t>
        </is>
      </c>
      <c r="E583" t="inlineStr">
        <is>
          <t>SUNDSVALL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28155-2024</t>
        </is>
      </c>
      <c r="B584" s="1" t="n">
        <v>45476</v>
      </c>
      <c r="C584" s="1" t="n">
        <v>46165</v>
      </c>
      <c r="D584" t="inlineStr">
        <is>
          <t>VÄSTERNORRLANDS LÄN</t>
        </is>
      </c>
      <c r="E584" t="inlineStr">
        <is>
          <t>SUNDSVALL</t>
        </is>
      </c>
      <c r="G584" t="n">
        <v>8</v>
      </c>
      <c r="H584" t="n">
        <v>0</v>
      </c>
      <c r="I584" t="n">
        <v>0</v>
      </c>
      <c r="J584" t="n">
        <v>0</v>
      </c>
      <c r="K584" t="n">
        <v>0</v>
      </c>
      <c r="L584" t="n">
        <v>0</v>
      </c>
      <c r="M584" t="n">
        <v>0</v>
      </c>
      <c r="N584" t="n">
        <v>0</v>
      </c>
      <c r="O584" t="n">
        <v>0</v>
      </c>
      <c r="P584" t="n">
        <v>0</v>
      </c>
      <c r="Q584" t="n">
        <v>0</v>
      </c>
      <c r="R584" s="2" t="inlineStr"/>
    </row>
    <row r="585" ht="15" customHeight="1">
      <c r="A585" t="inlineStr">
        <is>
          <t>A 34296-2024</t>
        </is>
      </c>
      <c r="B585" s="1" t="n">
        <v>45524</v>
      </c>
      <c r="C585" s="1" t="n">
        <v>46165</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7579-2025</t>
        </is>
      </c>
      <c r="B586" s="1" t="n">
        <v>45705</v>
      </c>
      <c r="C586" s="1" t="n">
        <v>46165</v>
      </c>
      <c r="D586" t="inlineStr">
        <is>
          <t>VÄSTERNORRLANDS LÄN</t>
        </is>
      </c>
      <c r="E586" t="inlineStr">
        <is>
          <t>SUNDSVALL</t>
        </is>
      </c>
      <c r="G586" t="n">
        <v>4.9</v>
      </c>
      <c r="H586" t="n">
        <v>0</v>
      </c>
      <c r="I586" t="n">
        <v>0</v>
      </c>
      <c r="J586" t="n">
        <v>0</v>
      </c>
      <c r="K586" t="n">
        <v>0</v>
      </c>
      <c r="L586" t="n">
        <v>0</v>
      </c>
      <c r="M586" t="n">
        <v>0</v>
      </c>
      <c r="N586" t="n">
        <v>0</v>
      </c>
      <c r="O586" t="n">
        <v>0</v>
      </c>
      <c r="P586" t="n">
        <v>0</v>
      </c>
      <c r="Q586" t="n">
        <v>0</v>
      </c>
      <c r="R586" s="2" t="inlineStr"/>
    </row>
    <row r="587" ht="15" customHeight="1">
      <c r="A587" t="inlineStr">
        <is>
          <t>A 28798-2024</t>
        </is>
      </c>
      <c r="B587" s="1" t="n">
        <v>45478</v>
      </c>
      <c r="C587" s="1" t="n">
        <v>46165</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51011-2021</t>
        </is>
      </c>
      <c r="B588" s="1" t="n">
        <v>44460</v>
      </c>
      <c r="C588" s="1" t="n">
        <v>46165</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29298-2024</t>
        </is>
      </c>
      <c r="B589" s="1" t="n">
        <v>45483</v>
      </c>
      <c r="C589" s="1" t="n">
        <v>46165</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25695-2024</t>
        </is>
      </c>
      <c r="B590" s="1" t="n">
        <v>45463</v>
      </c>
      <c r="C590" s="1" t="n">
        <v>46165</v>
      </c>
      <c r="D590" t="inlineStr">
        <is>
          <t>VÄSTERNORRLANDS LÄN</t>
        </is>
      </c>
      <c r="E590" t="inlineStr">
        <is>
          <t>SUNDSVALL</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15049-2025</t>
        </is>
      </c>
      <c r="B591" s="1" t="n">
        <v>45743</v>
      </c>
      <c r="C591" s="1" t="n">
        <v>46165</v>
      </c>
      <c r="D591" t="inlineStr">
        <is>
          <t>VÄSTERNORRLANDS LÄN</t>
        </is>
      </c>
      <c r="E591" t="inlineStr">
        <is>
          <t>SUNDSVALL</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11668-2025</t>
        </is>
      </c>
      <c r="B592" s="1" t="n">
        <v>45727.51084490741</v>
      </c>
      <c r="C592" s="1" t="n">
        <v>46165</v>
      </c>
      <c r="D592" t="inlineStr">
        <is>
          <t>VÄSTERNORRLANDS LÄN</t>
        </is>
      </c>
      <c r="E592" t="inlineStr">
        <is>
          <t>SUNDSVALL</t>
        </is>
      </c>
      <c r="G592" t="n">
        <v>2.4</v>
      </c>
      <c r="H592" t="n">
        <v>0</v>
      </c>
      <c r="I592" t="n">
        <v>0</v>
      </c>
      <c r="J592" t="n">
        <v>0</v>
      </c>
      <c r="K592" t="n">
        <v>0</v>
      </c>
      <c r="L592" t="n">
        <v>0</v>
      </c>
      <c r="M592" t="n">
        <v>0</v>
      </c>
      <c r="N592" t="n">
        <v>0</v>
      </c>
      <c r="O592" t="n">
        <v>0</v>
      </c>
      <c r="P592" t="n">
        <v>0</v>
      </c>
      <c r="Q592" t="n">
        <v>0</v>
      </c>
      <c r="R592" s="2" t="inlineStr"/>
    </row>
    <row r="593" ht="15" customHeight="1">
      <c r="A593" t="inlineStr">
        <is>
          <t>A 41091-2024</t>
        </is>
      </c>
      <c r="B593" s="1" t="n">
        <v>45559.42767361111</v>
      </c>
      <c r="C593" s="1" t="n">
        <v>46165</v>
      </c>
      <c r="D593" t="inlineStr">
        <is>
          <t>VÄSTERNORRLANDS LÄN</t>
        </is>
      </c>
      <c r="E593" t="inlineStr">
        <is>
          <t>SUNDSVALL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5918-2024</t>
        </is>
      </c>
      <c r="B594" s="1" t="n">
        <v>45335</v>
      </c>
      <c r="C594" s="1" t="n">
        <v>46165</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22627-2024</t>
        </is>
      </c>
      <c r="B595" s="1" t="n">
        <v>45447.6671412037</v>
      </c>
      <c r="C595" s="1" t="n">
        <v>46165</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52196-2024</t>
        </is>
      </c>
      <c r="B596" s="1" t="n">
        <v>45607</v>
      </c>
      <c r="C596" s="1" t="n">
        <v>46165</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16558-2023</t>
        </is>
      </c>
      <c r="B597" s="1" t="n">
        <v>45029</v>
      </c>
      <c r="C597" s="1" t="n">
        <v>46165</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33004-2024</t>
        </is>
      </c>
      <c r="B598" s="1" t="n">
        <v>45517</v>
      </c>
      <c r="C598" s="1" t="n">
        <v>46165</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21183-2022</t>
        </is>
      </c>
      <c r="B599" s="1" t="n">
        <v>44704</v>
      </c>
      <c r="C599" s="1" t="n">
        <v>46165</v>
      </c>
      <c r="D599" t="inlineStr">
        <is>
          <t>VÄSTERNORRLANDS LÄN</t>
        </is>
      </c>
      <c r="E599" t="inlineStr">
        <is>
          <t>SUNDSVALL</t>
        </is>
      </c>
      <c r="G599" t="n">
        <v>2.1</v>
      </c>
      <c r="H599" t="n">
        <v>0</v>
      </c>
      <c r="I599" t="n">
        <v>0</v>
      </c>
      <c r="J599" t="n">
        <v>0</v>
      </c>
      <c r="K599" t="n">
        <v>0</v>
      </c>
      <c r="L599" t="n">
        <v>0</v>
      </c>
      <c r="M599" t="n">
        <v>0</v>
      </c>
      <c r="N599" t="n">
        <v>0</v>
      </c>
      <c r="O599" t="n">
        <v>0</v>
      </c>
      <c r="P599" t="n">
        <v>0</v>
      </c>
      <c r="Q599" t="n">
        <v>0</v>
      </c>
      <c r="R599" s="2" t="inlineStr"/>
    </row>
    <row r="600" ht="15" customHeight="1">
      <c r="A600" t="inlineStr">
        <is>
          <t>A 49186-2022</t>
        </is>
      </c>
      <c r="B600" s="1" t="n">
        <v>44860</v>
      </c>
      <c r="C600" s="1" t="n">
        <v>46165</v>
      </c>
      <c r="D600" t="inlineStr">
        <is>
          <t>VÄSTERNORRLANDS LÄN</t>
        </is>
      </c>
      <c r="E600" t="inlineStr">
        <is>
          <t>SUNDSVALL</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5316-2024</t>
        </is>
      </c>
      <c r="B601" s="1" t="n">
        <v>45331</v>
      </c>
      <c r="C601" s="1" t="n">
        <v>46165</v>
      </c>
      <c r="D601" t="inlineStr">
        <is>
          <t>VÄSTERNORRLANDS LÄN</t>
        </is>
      </c>
      <c r="E601" t="inlineStr">
        <is>
          <t>SUNDSVALL</t>
        </is>
      </c>
      <c r="G601" t="n">
        <v>12.9</v>
      </c>
      <c r="H601" t="n">
        <v>0</v>
      </c>
      <c r="I601" t="n">
        <v>0</v>
      </c>
      <c r="J601" t="n">
        <v>0</v>
      </c>
      <c r="K601" t="n">
        <v>0</v>
      </c>
      <c r="L601" t="n">
        <v>0</v>
      </c>
      <c r="M601" t="n">
        <v>0</v>
      </c>
      <c r="N601" t="n">
        <v>0</v>
      </c>
      <c r="O601" t="n">
        <v>0</v>
      </c>
      <c r="P601" t="n">
        <v>0</v>
      </c>
      <c r="Q601" t="n">
        <v>0</v>
      </c>
      <c r="R601" s="2" t="inlineStr"/>
    </row>
    <row r="602" ht="15" customHeight="1">
      <c r="A602" t="inlineStr">
        <is>
          <t>A 46970-2022</t>
        </is>
      </c>
      <c r="B602" s="1" t="n">
        <v>44851.95304398148</v>
      </c>
      <c r="C602" s="1" t="n">
        <v>46165</v>
      </c>
      <c r="D602" t="inlineStr">
        <is>
          <t>VÄSTERNORRLANDS LÄN</t>
        </is>
      </c>
      <c r="E602" t="inlineStr">
        <is>
          <t>SUNDSVALL</t>
        </is>
      </c>
      <c r="F602" t="inlineStr">
        <is>
          <t>SCA</t>
        </is>
      </c>
      <c r="G602" t="n">
        <v>7.4</v>
      </c>
      <c r="H602" t="n">
        <v>0</v>
      </c>
      <c r="I602" t="n">
        <v>0</v>
      </c>
      <c r="J602" t="n">
        <v>0</v>
      </c>
      <c r="K602" t="n">
        <v>0</v>
      </c>
      <c r="L602" t="n">
        <v>0</v>
      </c>
      <c r="M602" t="n">
        <v>0</v>
      </c>
      <c r="N602" t="n">
        <v>0</v>
      </c>
      <c r="O602" t="n">
        <v>0</v>
      </c>
      <c r="P602" t="n">
        <v>0</v>
      </c>
      <c r="Q602" t="n">
        <v>0</v>
      </c>
      <c r="R602" s="2" t="inlineStr"/>
    </row>
    <row r="603" ht="15" customHeight="1">
      <c r="A603" t="inlineStr">
        <is>
          <t>A 17190-2024</t>
        </is>
      </c>
      <c r="B603" s="1" t="n">
        <v>45412</v>
      </c>
      <c r="C603" s="1" t="n">
        <v>46165</v>
      </c>
      <c r="D603" t="inlineStr">
        <is>
          <t>VÄSTERNORRLANDS LÄN</t>
        </is>
      </c>
      <c r="E603" t="inlineStr">
        <is>
          <t>SUNDSVALL</t>
        </is>
      </c>
      <c r="G603" t="n">
        <v>4.1</v>
      </c>
      <c r="H603" t="n">
        <v>0</v>
      </c>
      <c r="I603" t="n">
        <v>0</v>
      </c>
      <c r="J603" t="n">
        <v>0</v>
      </c>
      <c r="K603" t="n">
        <v>0</v>
      </c>
      <c r="L603" t="n">
        <v>0</v>
      </c>
      <c r="M603" t="n">
        <v>0</v>
      </c>
      <c r="N603" t="n">
        <v>0</v>
      </c>
      <c r="O603" t="n">
        <v>0</v>
      </c>
      <c r="P603" t="n">
        <v>0</v>
      </c>
      <c r="Q603" t="n">
        <v>0</v>
      </c>
      <c r="R603" s="2" t="inlineStr"/>
    </row>
    <row r="604" ht="15" customHeight="1">
      <c r="A604" t="inlineStr">
        <is>
          <t>A 27735-2024</t>
        </is>
      </c>
      <c r="B604" s="1" t="n">
        <v>45475</v>
      </c>
      <c r="C604" s="1" t="n">
        <v>46165</v>
      </c>
      <c r="D604" t="inlineStr">
        <is>
          <t>VÄSTERNORRLANDS LÄN</t>
        </is>
      </c>
      <c r="E604" t="inlineStr">
        <is>
          <t>SUNDSVALL</t>
        </is>
      </c>
      <c r="G604" t="n">
        <v>5.1</v>
      </c>
      <c r="H604" t="n">
        <v>0</v>
      </c>
      <c r="I604" t="n">
        <v>0</v>
      </c>
      <c r="J604" t="n">
        <v>0</v>
      </c>
      <c r="K604" t="n">
        <v>0</v>
      </c>
      <c r="L604" t="n">
        <v>0</v>
      </c>
      <c r="M604" t="n">
        <v>0</v>
      </c>
      <c r="N604" t="n">
        <v>0</v>
      </c>
      <c r="O604" t="n">
        <v>0</v>
      </c>
      <c r="P604" t="n">
        <v>0</v>
      </c>
      <c r="Q604" t="n">
        <v>0</v>
      </c>
      <c r="R604" s="2" t="inlineStr"/>
    </row>
    <row r="605" ht="15" customHeight="1">
      <c r="A605" t="inlineStr">
        <is>
          <t>A 62083-2021</t>
        </is>
      </c>
      <c r="B605" s="1" t="n">
        <v>44502.60898148148</v>
      </c>
      <c r="C605" s="1" t="n">
        <v>46165</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57363-2022</t>
        </is>
      </c>
      <c r="B606" s="1" t="n">
        <v>44896.43229166666</v>
      </c>
      <c r="C606" s="1" t="n">
        <v>46165</v>
      </c>
      <c r="D606" t="inlineStr">
        <is>
          <t>VÄSTERNORRLANDS LÄN</t>
        </is>
      </c>
      <c r="E606" t="inlineStr">
        <is>
          <t>SUNDSVALL</t>
        </is>
      </c>
      <c r="G606" t="n">
        <v>1.7</v>
      </c>
      <c r="H606" t="n">
        <v>0</v>
      </c>
      <c r="I606" t="n">
        <v>0</v>
      </c>
      <c r="J606" t="n">
        <v>0</v>
      </c>
      <c r="K606" t="n">
        <v>0</v>
      </c>
      <c r="L606" t="n">
        <v>0</v>
      </c>
      <c r="M606" t="n">
        <v>0</v>
      </c>
      <c r="N606" t="n">
        <v>0</v>
      </c>
      <c r="O606" t="n">
        <v>0</v>
      </c>
      <c r="P606" t="n">
        <v>0</v>
      </c>
      <c r="Q606" t="n">
        <v>0</v>
      </c>
      <c r="R606" s="2" t="inlineStr"/>
    </row>
    <row r="607" ht="15" customHeight="1">
      <c r="A607" t="inlineStr">
        <is>
          <t>A 44730-2024</t>
        </is>
      </c>
      <c r="B607" s="1" t="n">
        <v>45574.58511574074</v>
      </c>
      <c r="C607" s="1" t="n">
        <v>46165</v>
      </c>
      <c r="D607" t="inlineStr">
        <is>
          <t>VÄSTERNORRLANDS LÄN</t>
        </is>
      </c>
      <c r="E607" t="inlineStr">
        <is>
          <t>SUNDSVALL</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56420-2022</t>
        </is>
      </c>
      <c r="B608" s="1" t="n">
        <v>44890.95302083333</v>
      </c>
      <c r="C608" s="1" t="n">
        <v>46165</v>
      </c>
      <c r="D608" t="inlineStr">
        <is>
          <t>VÄSTERNORRLANDS LÄN</t>
        </is>
      </c>
      <c r="E608" t="inlineStr">
        <is>
          <t>SUNDSVALL</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70173-2021</t>
        </is>
      </c>
      <c r="B609" s="1" t="n">
        <v>44533</v>
      </c>
      <c r="C609" s="1" t="n">
        <v>46165</v>
      </c>
      <c r="D609" t="inlineStr">
        <is>
          <t>VÄSTERNORRLANDS LÄN</t>
        </is>
      </c>
      <c r="E609" t="inlineStr">
        <is>
          <t>SUNDSVALL</t>
        </is>
      </c>
      <c r="G609" t="n">
        <v>2.3</v>
      </c>
      <c r="H609" t="n">
        <v>0</v>
      </c>
      <c r="I609" t="n">
        <v>0</v>
      </c>
      <c r="J609" t="n">
        <v>0</v>
      </c>
      <c r="K609" t="n">
        <v>0</v>
      </c>
      <c r="L609" t="n">
        <v>0</v>
      </c>
      <c r="M609" t="n">
        <v>0</v>
      </c>
      <c r="N609" t="n">
        <v>0</v>
      </c>
      <c r="O609" t="n">
        <v>0</v>
      </c>
      <c r="P609" t="n">
        <v>0</v>
      </c>
      <c r="Q609" t="n">
        <v>0</v>
      </c>
      <c r="R609" s="2" t="inlineStr"/>
    </row>
    <row r="610" ht="15" customHeight="1">
      <c r="A610" t="inlineStr">
        <is>
          <t>A 66027-2021</t>
        </is>
      </c>
      <c r="B610" s="1" t="n">
        <v>44517</v>
      </c>
      <c r="C610" s="1" t="n">
        <v>46165</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19812-2023</t>
        </is>
      </c>
      <c r="B611" s="1" t="n">
        <v>45051.92583333333</v>
      </c>
      <c r="C611" s="1" t="n">
        <v>46165</v>
      </c>
      <c r="D611" t="inlineStr">
        <is>
          <t>VÄSTERNORRLANDS LÄN</t>
        </is>
      </c>
      <c r="E611" t="inlineStr">
        <is>
          <t>SUNDSVALL</t>
        </is>
      </c>
      <c r="G611" t="n">
        <v>3</v>
      </c>
      <c r="H611" t="n">
        <v>0</v>
      </c>
      <c r="I611" t="n">
        <v>0</v>
      </c>
      <c r="J611" t="n">
        <v>0</v>
      </c>
      <c r="K611" t="n">
        <v>0</v>
      </c>
      <c r="L611" t="n">
        <v>0</v>
      </c>
      <c r="M611" t="n">
        <v>0</v>
      </c>
      <c r="N611" t="n">
        <v>0</v>
      </c>
      <c r="O611" t="n">
        <v>0</v>
      </c>
      <c r="P611" t="n">
        <v>0</v>
      </c>
      <c r="Q611" t="n">
        <v>0</v>
      </c>
      <c r="R611" s="2" t="inlineStr"/>
    </row>
    <row r="612" ht="15" customHeight="1">
      <c r="A612" t="inlineStr">
        <is>
          <t>A 13262-2023</t>
        </is>
      </c>
      <c r="B612" s="1" t="n">
        <v>45002</v>
      </c>
      <c r="C612" s="1" t="n">
        <v>46165</v>
      </c>
      <c r="D612" t="inlineStr">
        <is>
          <t>VÄSTERNORRLANDS LÄN</t>
        </is>
      </c>
      <c r="E612" t="inlineStr">
        <is>
          <t>SUNDSVALL</t>
        </is>
      </c>
      <c r="F612" t="inlineStr">
        <is>
          <t>Naturvårdsverket</t>
        </is>
      </c>
      <c r="G612" t="n">
        <v>8.6</v>
      </c>
      <c r="H612" t="n">
        <v>0</v>
      </c>
      <c r="I612" t="n">
        <v>0</v>
      </c>
      <c r="J612" t="n">
        <v>0</v>
      </c>
      <c r="K612" t="n">
        <v>0</v>
      </c>
      <c r="L612" t="n">
        <v>0</v>
      </c>
      <c r="M612" t="n">
        <v>0</v>
      </c>
      <c r="N612" t="n">
        <v>0</v>
      </c>
      <c r="O612" t="n">
        <v>0</v>
      </c>
      <c r="P612" t="n">
        <v>0</v>
      </c>
      <c r="Q612" t="n">
        <v>0</v>
      </c>
      <c r="R612" s="2" t="inlineStr"/>
    </row>
    <row r="613" ht="15" customHeight="1">
      <c r="A613" t="inlineStr">
        <is>
          <t>A 15735-2025</t>
        </is>
      </c>
      <c r="B613" s="1" t="n">
        <v>45748.53971064815</v>
      </c>
      <c r="C613" s="1" t="n">
        <v>46165</v>
      </c>
      <c r="D613" t="inlineStr">
        <is>
          <t>VÄSTERNORRLANDS LÄN</t>
        </is>
      </c>
      <c r="E613" t="inlineStr">
        <is>
          <t>SUNDSVALL</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35318-2021</t>
        </is>
      </c>
      <c r="B614" s="1" t="n">
        <v>44384</v>
      </c>
      <c r="C614" s="1" t="n">
        <v>46165</v>
      </c>
      <c r="D614" t="inlineStr">
        <is>
          <t>VÄSTERNORRLANDS LÄN</t>
        </is>
      </c>
      <c r="E614" t="inlineStr">
        <is>
          <t>SUNDSVALL</t>
        </is>
      </c>
      <c r="G614" t="n">
        <v>2.6</v>
      </c>
      <c r="H614" t="n">
        <v>0</v>
      </c>
      <c r="I614" t="n">
        <v>0</v>
      </c>
      <c r="J614" t="n">
        <v>0</v>
      </c>
      <c r="K614" t="n">
        <v>0</v>
      </c>
      <c r="L614" t="n">
        <v>0</v>
      </c>
      <c r="M614" t="n">
        <v>0</v>
      </c>
      <c r="N614" t="n">
        <v>0</v>
      </c>
      <c r="O614" t="n">
        <v>0</v>
      </c>
      <c r="P614" t="n">
        <v>0</v>
      </c>
      <c r="Q614" t="n">
        <v>0</v>
      </c>
      <c r="R614" s="2" t="inlineStr"/>
    </row>
    <row r="615" ht="15" customHeight="1">
      <c r="A615" t="inlineStr">
        <is>
          <t>A 50012-2024</t>
        </is>
      </c>
      <c r="B615" s="1" t="n">
        <v>45598.8578125</v>
      </c>
      <c r="C615" s="1" t="n">
        <v>46165</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44688-2023</t>
        </is>
      </c>
      <c r="B616" s="1" t="n">
        <v>45189.92204861111</v>
      </c>
      <c r="C616" s="1" t="n">
        <v>46165</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61474-2023</t>
        </is>
      </c>
      <c r="B617" s="1" t="n">
        <v>45264.92684027777</v>
      </c>
      <c r="C617" s="1" t="n">
        <v>46165</v>
      </c>
      <c r="D617" t="inlineStr">
        <is>
          <t>VÄSTERNORRLANDS LÄN</t>
        </is>
      </c>
      <c r="E617" t="inlineStr">
        <is>
          <t>SUNDSVALL</t>
        </is>
      </c>
      <c r="G617" t="n">
        <v>0.5</v>
      </c>
      <c r="H617" t="n">
        <v>0</v>
      </c>
      <c r="I617" t="n">
        <v>0</v>
      </c>
      <c r="J617" t="n">
        <v>0</v>
      </c>
      <c r="K617" t="n">
        <v>0</v>
      </c>
      <c r="L617" t="n">
        <v>0</v>
      </c>
      <c r="M617" t="n">
        <v>0</v>
      </c>
      <c r="N617" t="n">
        <v>0</v>
      </c>
      <c r="O617" t="n">
        <v>0</v>
      </c>
      <c r="P617" t="n">
        <v>0</v>
      </c>
      <c r="Q617" t="n">
        <v>0</v>
      </c>
      <c r="R617" s="2" t="inlineStr"/>
    </row>
    <row r="618" ht="15" customHeight="1">
      <c r="A618" t="inlineStr">
        <is>
          <t>A 61475-2023</t>
        </is>
      </c>
      <c r="B618" s="1" t="n">
        <v>45264.92688657407</v>
      </c>
      <c r="C618" s="1" t="n">
        <v>46165</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61490-2023</t>
        </is>
      </c>
      <c r="B619" s="1" t="n">
        <v>45264</v>
      </c>
      <c r="C619" s="1" t="n">
        <v>46165</v>
      </c>
      <c r="D619" t="inlineStr">
        <is>
          <t>VÄSTERNORRLANDS LÄN</t>
        </is>
      </c>
      <c r="E619" t="inlineStr">
        <is>
          <t>SUNDSVALL</t>
        </is>
      </c>
      <c r="F619" t="inlineStr">
        <is>
          <t>SCA</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34931-2021</t>
        </is>
      </c>
      <c r="B620" s="1" t="n">
        <v>44379</v>
      </c>
      <c r="C620" s="1" t="n">
        <v>46165</v>
      </c>
      <c r="D620" t="inlineStr">
        <is>
          <t>VÄSTERNORRLANDS LÄN</t>
        </is>
      </c>
      <c r="E620" t="inlineStr">
        <is>
          <t>SUNDSVALL</t>
        </is>
      </c>
      <c r="G620" t="n">
        <v>2.2</v>
      </c>
      <c r="H620" t="n">
        <v>0</v>
      </c>
      <c r="I620" t="n">
        <v>0</v>
      </c>
      <c r="J620" t="n">
        <v>0</v>
      </c>
      <c r="K620" t="n">
        <v>0</v>
      </c>
      <c r="L620" t="n">
        <v>0</v>
      </c>
      <c r="M620" t="n">
        <v>0</v>
      </c>
      <c r="N620" t="n">
        <v>0</v>
      </c>
      <c r="O620" t="n">
        <v>0</v>
      </c>
      <c r="P620" t="n">
        <v>0</v>
      </c>
      <c r="Q620" t="n">
        <v>0</v>
      </c>
      <c r="R620" s="2" t="inlineStr"/>
    </row>
    <row r="621" ht="15" customHeight="1">
      <c r="A621" t="inlineStr">
        <is>
          <t>A 59296-2022</t>
        </is>
      </c>
      <c r="B621" s="1" t="n">
        <v>44904.61346064815</v>
      </c>
      <c r="C621" s="1" t="n">
        <v>46165</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61476-2023</t>
        </is>
      </c>
      <c r="B622" s="1" t="n">
        <v>45264.92694444444</v>
      </c>
      <c r="C622" s="1" t="n">
        <v>46165</v>
      </c>
      <c r="D622" t="inlineStr">
        <is>
          <t>VÄSTERNORRLANDS LÄN</t>
        </is>
      </c>
      <c r="E622" t="inlineStr">
        <is>
          <t>SUNDSVALL</t>
        </is>
      </c>
      <c r="G622" t="n">
        <v>0.6</v>
      </c>
      <c r="H622" t="n">
        <v>0</v>
      </c>
      <c r="I622" t="n">
        <v>0</v>
      </c>
      <c r="J622" t="n">
        <v>0</v>
      </c>
      <c r="K622" t="n">
        <v>0</v>
      </c>
      <c r="L622" t="n">
        <v>0</v>
      </c>
      <c r="M622" t="n">
        <v>0</v>
      </c>
      <c r="N622" t="n">
        <v>0</v>
      </c>
      <c r="O622" t="n">
        <v>0</v>
      </c>
      <c r="P622" t="n">
        <v>0</v>
      </c>
      <c r="Q622" t="n">
        <v>0</v>
      </c>
      <c r="R622" s="2" t="inlineStr"/>
    </row>
    <row r="623" ht="15" customHeight="1">
      <c r="A623" t="inlineStr">
        <is>
          <t>A 16564-2023</t>
        </is>
      </c>
      <c r="B623" s="1" t="n">
        <v>45029.94174768519</v>
      </c>
      <c r="C623" s="1" t="n">
        <v>46165</v>
      </c>
      <c r="D623" t="inlineStr">
        <is>
          <t>VÄSTERNORRLANDS LÄN</t>
        </is>
      </c>
      <c r="E623" t="inlineStr">
        <is>
          <t>SUNDSVALL</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38303-2024</t>
        </is>
      </c>
      <c r="B624" s="1" t="n">
        <v>45545.63769675926</v>
      </c>
      <c r="C624" s="1" t="n">
        <v>46165</v>
      </c>
      <c r="D624" t="inlineStr">
        <is>
          <t>VÄSTERNORRLANDS LÄN</t>
        </is>
      </c>
      <c r="E624" t="inlineStr">
        <is>
          <t>SUNDSVALL</t>
        </is>
      </c>
      <c r="G624" t="n">
        <v>1.2</v>
      </c>
      <c r="H624" t="n">
        <v>0</v>
      </c>
      <c r="I624" t="n">
        <v>0</v>
      </c>
      <c r="J624" t="n">
        <v>0</v>
      </c>
      <c r="K624" t="n">
        <v>0</v>
      </c>
      <c r="L624" t="n">
        <v>0</v>
      </c>
      <c r="M624" t="n">
        <v>0</v>
      </c>
      <c r="N624" t="n">
        <v>0</v>
      </c>
      <c r="O624" t="n">
        <v>0</v>
      </c>
      <c r="P624" t="n">
        <v>0</v>
      </c>
      <c r="Q624" t="n">
        <v>0</v>
      </c>
      <c r="R624" s="2" t="inlineStr"/>
    </row>
    <row r="625" ht="15" customHeight="1">
      <c r="A625" t="inlineStr">
        <is>
          <t>A 55878-2022</t>
        </is>
      </c>
      <c r="B625" s="1" t="n">
        <v>44888</v>
      </c>
      <c r="C625" s="1" t="n">
        <v>46165</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40384-2024</t>
        </is>
      </c>
      <c r="B626" s="1" t="n">
        <v>45555.4275462963</v>
      </c>
      <c r="C626" s="1" t="n">
        <v>46165</v>
      </c>
      <c r="D626" t="inlineStr">
        <is>
          <t>VÄSTERNORRLANDS LÄN</t>
        </is>
      </c>
      <c r="E626" t="inlineStr">
        <is>
          <t>SUNDSVALL</t>
        </is>
      </c>
      <c r="F626" t="inlineStr">
        <is>
          <t>SCA</t>
        </is>
      </c>
      <c r="G626" t="n">
        <v>5.6</v>
      </c>
      <c r="H626" t="n">
        <v>0</v>
      </c>
      <c r="I626" t="n">
        <v>0</v>
      </c>
      <c r="J626" t="n">
        <v>0</v>
      </c>
      <c r="K626" t="n">
        <v>0</v>
      </c>
      <c r="L626" t="n">
        <v>0</v>
      </c>
      <c r="M626" t="n">
        <v>0</v>
      </c>
      <c r="N626" t="n">
        <v>0</v>
      </c>
      <c r="O626" t="n">
        <v>0</v>
      </c>
      <c r="P626" t="n">
        <v>0</v>
      </c>
      <c r="Q626" t="n">
        <v>0</v>
      </c>
      <c r="R626" s="2" t="inlineStr"/>
    </row>
    <row r="627" ht="15" customHeight="1">
      <c r="A627" t="inlineStr">
        <is>
          <t>A 13302-2025</t>
        </is>
      </c>
      <c r="B627" s="1" t="n">
        <v>45735.5747337963</v>
      </c>
      <c r="C627" s="1" t="n">
        <v>46165</v>
      </c>
      <c r="D627" t="inlineStr">
        <is>
          <t>VÄSTERNORRLANDS LÄN</t>
        </is>
      </c>
      <c r="E627" t="inlineStr">
        <is>
          <t>SUNDSVALL</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56755-2021</t>
        </is>
      </c>
      <c r="B628" s="1" t="n">
        <v>44481</v>
      </c>
      <c r="C628" s="1" t="n">
        <v>46165</v>
      </c>
      <c r="D628" t="inlineStr">
        <is>
          <t>VÄSTERNORRLANDS LÄN</t>
        </is>
      </c>
      <c r="E628" t="inlineStr">
        <is>
          <t>SUNDSVALL</t>
        </is>
      </c>
      <c r="F628" t="inlineStr">
        <is>
          <t>Kommuner</t>
        </is>
      </c>
      <c r="G628" t="n">
        <v>3.7</v>
      </c>
      <c r="H628" t="n">
        <v>0</v>
      </c>
      <c r="I628" t="n">
        <v>0</v>
      </c>
      <c r="J628" t="n">
        <v>0</v>
      </c>
      <c r="K628" t="n">
        <v>0</v>
      </c>
      <c r="L628" t="n">
        <v>0</v>
      </c>
      <c r="M628" t="n">
        <v>0</v>
      </c>
      <c r="N628" t="n">
        <v>0</v>
      </c>
      <c r="O628" t="n">
        <v>0</v>
      </c>
      <c r="P628" t="n">
        <v>0</v>
      </c>
      <c r="Q628" t="n">
        <v>0</v>
      </c>
      <c r="R628" s="2" t="inlineStr"/>
    </row>
    <row r="629" ht="15" customHeight="1">
      <c r="A629" t="inlineStr">
        <is>
          <t>A 63651-2021</t>
        </is>
      </c>
      <c r="B629" s="1" t="n">
        <v>44508</v>
      </c>
      <c r="C629" s="1" t="n">
        <v>46165</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41753-2024</t>
        </is>
      </c>
      <c r="B630" s="1" t="n">
        <v>45561.34413194445</v>
      </c>
      <c r="C630" s="1" t="n">
        <v>46165</v>
      </c>
      <c r="D630" t="inlineStr">
        <is>
          <t>VÄSTERNORRLANDS LÄN</t>
        </is>
      </c>
      <c r="E630" t="inlineStr">
        <is>
          <t>SUNDSVALL</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31440-2024</t>
        </is>
      </c>
      <c r="B631" s="1" t="n">
        <v>45505</v>
      </c>
      <c r="C631" s="1" t="n">
        <v>46165</v>
      </c>
      <c r="D631" t="inlineStr">
        <is>
          <t>VÄSTERNORRLANDS LÄN</t>
        </is>
      </c>
      <c r="E631" t="inlineStr">
        <is>
          <t>SUNDSVALL</t>
        </is>
      </c>
      <c r="G631" t="n">
        <v>3.9</v>
      </c>
      <c r="H631" t="n">
        <v>0</v>
      </c>
      <c r="I631" t="n">
        <v>0</v>
      </c>
      <c r="J631" t="n">
        <v>0</v>
      </c>
      <c r="K631" t="n">
        <v>0</v>
      </c>
      <c r="L631" t="n">
        <v>0</v>
      </c>
      <c r="M631" t="n">
        <v>0</v>
      </c>
      <c r="N631" t="n">
        <v>0</v>
      </c>
      <c r="O631" t="n">
        <v>0</v>
      </c>
      <c r="P631" t="n">
        <v>0</v>
      </c>
      <c r="Q631" t="n">
        <v>0</v>
      </c>
      <c r="R631" s="2" t="inlineStr"/>
    </row>
    <row r="632" ht="15" customHeight="1">
      <c r="A632" t="inlineStr">
        <is>
          <t>A 51823-2023</t>
        </is>
      </c>
      <c r="B632" s="1" t="n">
        <v>45222.96744212963</v>
      </c>
      <c r="C632" s="1" t="n">
        <v>46165</v>
      </c>
      <c r="D632" t="inlineStr">
        <is>
          <t>VÄSTERNORRLANDS LÄN</t>
        </is>
      </c>
      <c r="E632" t="inlineStr">
        <is>
          <t>SUNDSVALL</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28480-2022</t>
        </is>
      </c>
      <c r="B633" s="1" t="n">
        <v>44747</v>
      </c>
      <c r="C633" s="1" t="n">
        <v>46165</v>
      </c>
      <c r="D633" t="inlineStr">
        <is>
          <t>VÄSTERNORRLANDS LÄN</t>
        </is>
      </c>
      <c r="E633" t="inlineStr">
        <is>
          <t>SUNDSVALL</t>
        </is>
      </c>
      <c r="G633" t="n">
        <v>11.6</v>
      </c>
      <c r="H633" t="n">
        <v>0</v>
      </c>
      <c r="I633" t="n">
        <v>0</v>
      </c>
      <c r="J633" t="n">
        <v>0</v>
      </c>
      <c r="K633" t="n">
        <v>0</v>
      </c>
      <c r="L633" t="n">
        <v>0</v>
      </c>
      <c r="M633" t="n">
        <v>0</v>
      </c>
      <c r="N633" t="n">
        <v>0</v>
      </c>
      <c r="O633" t="n">
        <v>0</v>
      </c>
      <c r="P633" t="n">
        <v>0</v>
      </c>
      <c r="Q633" t="n">
        <v>0</v>
      </c>
      <c r="R633" s="2" t="inlineStr"/>
    </row>
    <row r="634" ht="15" customHeight="1">
      <c r="A634" t="inlineStr">
        <is>
          <t>A 21389-2022</t>
        </is>
      </c>
      <c r="B634" s="1" t="n">
        <v>44705</v>
      </c>
      <c r="C634" s="1" t="n">
        <v>46165</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231-2024</t>
        </is>
      </c>
      <c r="B635" s="1" t="n">
        <v>45294</v>
      </c>
      <c r="C635" s="1" t="n">
        <v>46165</v>
      </c>
      <c r="D635" t="inlineStr">
        <is>
          <t>VÄSTERNORRLANDS LÄN</t>
        </is>
      </c>
      <c r="E635" t="inlineStr">
        <is>
          <t>SUNDSVALL</t>
        </is>
      </c>
      <c r="G635" t="n">
        <v>5.9</v>
      </c>
      <c r="H635" t="n">
        <v>0</v>
      </c>
      <c r="I635" t="n">
        <v>0</v>
      </c>
      <c r="J635" t="n">
        <v>0</v>
      </c>
      <c r="K635" t="n">
        <v>0</v>
      </c>
      <c r="L635" t="n">
        <v>0</v>
      </c>
      <c r="M635" t="n">
        <v>0</v>
      </c>
      <c r="N635" t="n">
        <v>0</v>
      </c>
      <c r="O635" t="n">
        <v>0</v>
      </c>
      <c r="P635" t="n">
        <v>0</v>
      </c>
      <c r="Q635" t="n">
        <v>0</v>
      </c>
      <c r="R635" s="2" t="inlineStr"/>
    </row>
    <row r="636" ht="15" customHeight="1">
      <c r="A636" t="inlineStr">
        <is>
          <t>A 40473-2024</t>
        </is>
      </c>
      <c r="B636" s="1" t="n">
        <v>45555.53165509259</v>
      </c>
      <c r="C636" s="1" t="n">
        <v>46165</v>
      </c>
      <c r="D636" t="inlineStr">
        <is>
          <t>VÄSTERNORRLANDS LÄN</t>
        </is>
      </c>
      <c r="E636" t="inlineStr">
        <is>
          <t>SUNDSVALL</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52517-2023</t>
        </is>
      </c>
      <c r="B637" s="1" t="n">
        <v>45225.49472222223</v>
      </c>
      <c r="C637" s="1" t="n">
        <v>46165</v>
      </c>
      <c r="D637" t="inlineStr">
        <is>
          <t>VÄSTERNORRLANDS LÄN</t>
        </is>
      </c>
      <c r="E637" t="inlineStr">
        <is>
          <t>SUNDSVALL</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56195-2023</t>
        </is>
      </c>
      <c r="B638" s="1" t="n">
        <v>45240.66042824074</v>
      </c>
      <c r="C638" s="1" t="n">
        <v>46165</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43040-2024</t>
        </is>
      </c>
      <c r="B639" s="1" t="n">
        <v>45567</v>
      </c>
      <c r="C639" s="1" t="n">
        <v>46165</v>
      </c>
      <c r="D639" t="inlineStr">
        <is>
          <t>VÄSTERNORRLANDS LÄN</t>
        </is>
      </c>
      <c r="E639" t="inlineStr">
        <is>
          <t>SUNDSVALL</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54799-2024</t>
        </is>
      </c>
      <c r="B640" s="1" t="n">
        <v>45618.50144675926</v>
      </c>
      <c r="C640" s="1" t="n">
        <v>46165</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54801-2024</t>
        </is>
      </c>
      <c r="B641" s="1" t="n">
        <v>45618.50481481481</v>
      </c>
      <c r="C641" s="1" t="n">
        <v>46165</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7005-2024</t>
        </is>
      </c>
      <c r="B642" s="1" t="n">
        <v>45343</v>
      </c>
      <c r="C642" s="1" t="n">
        <v>46165</v>
      </c>
      <c r="D642" t="inlineStr">
        <is>
          <t>VÄSTERNORRLANDS LÄN</t>
        </is>
      </c>
      <c r="E642" t="inlineStr">
        <is>
          <t>SUNDSVALL</t>
        </is>
      </c>
      <c r="G642" t="n">
        <v>3.3</v>
      </c>
      <c r="H642" t="n">
        <v>0</v>
      </c>
      <c r="I642" t="n">
        <v>0</v>
      </c>
      <c r="J642" t="n">
        <v>0</v>
      </c>
      <c r="K642" t="n">
        <v>0</v>
      </c>
      <c r="L642" t="n">
        <v>0</v>
      </c>
      <c r="M642" t="n">
        <v>0</v>
      </c>
      <c r="N642" t="n">
        <v>0</v>
      </c>
      <c r="O642" t="n">
        <v>0</v>
      </c>
      <c r="P642" t="n">
        <v>0</v>
      </c>
      <c r="Q642" t="n">
        <v>0</v>
      </c>
      <c r="R642" s="2" t="inlineStr"/>
    </row>
    <row r="643" ht="15" customHeight="1">
      <c r="A643" t="inlineStr">
        <is>
          <t>A 60165-2022</t>
        </is>
      </c>
      <c r="B643" s="1" t="n">
        <v>44909</v>
      </c>
      <c r="C643" s="1" t="n">
        <v>46165</v>
      </c>
      <c r="D643" t="inlineStr">
        <is>
          <t>VÄSTERNORRLANDS LÄN</t>
        </is>
      </c>
      <c r="E643" t="inlineStr">
        <is>
          <t>SUNDSVALL</t>
        </is>
      </c>
      <c r="G643" t="n">
        <v>6.2</v>
      </c>
      <c r="H643" t="n">
        <v>0</v>
      </c>
      <c r="I643" t="n">
        <v>0</v>
      </c>
      <c r="J643" t="n">
        <v>0</v>
      </c>
      <c r="K643" t="n">
        <v>0</v>
      </c>
      <c r="L643" t="n">
        <v>0</v>
      </c>
      <c r="M643" t="n">
        <v>0</v>
      </c>
      <c r="N643" t="n">
        <v>0</v>
      </c>
      <c r="O643" t="n">
        <v>0</v>
      </c>
      <c r="P643" t="n">
        <v>0</v>
      </c>
      <c r="Q643" t="n">
        <v>0</v>
      </c>
      <c r="R643" s="2" t="inlineStr"/>
    </row>
    <row r="644" ht="15" customHeight="1">
      <c r="A644" t="inlineStr">
        <is>
          <t>A 56192-2023</t>
        </is>
      </c>
      <c r="B644" s="1" t="n">
        <v>45240</v>
      </c>
      <c r="C644" s="1" t="n">
        <v>46165</v>
      </c>
      <c r="D644" t="inlineStr">
        <is>
          <t>VÄSTERNORRLANDS LÄN</t>
        </is>
      </c>
      <c r="E644" t="inlineStr">
        <is>
          <t>SUNDSVALL</t>
        </is>
      </c>
      <c r="G644" t="n">
        <v>6.2</v>
      </c>
      <c r="H644" t="n">
        <v>0</v>
      </c>
      <c r="I644" t="n">
        <v>0</v>
      </c>
      <c r="J644" t="n">
        <v>0</v>
      </c>
      <c r="K644" t="n">
        <v>0</v>
      </c>
      <c r="L644" t="n">
        <v>0</v>
      </c>
      <c r="M644" t="n">
        <v>0</v>
      </c>
      <c r="N644" t="n">
        <v>0</v>
      </c>
      <c r="O644" t="n">
        <v>0</v>
      </c>
      <c r="P644" t="n">
        <v>0</v>
      </c>
      <c r="Q644" t="n">
        <v>0</v>
      </c>
      <c r="R644" s="2" t="inlineStr"/>
    </row>
    <row r="645" ht="15" customHeight="1">
      <c r="A645" t="inlineStr">
        <is>
          <t>A 4917-2025</t>
        </is>
      </c>
      <c r="B645" s="1" t="n">
        <v>45688</v>
      </c>
      <c r="C645" s="1" t="n">
        <v>46165</v>
      </c>
      <c r="D645" t="inlineStr">
        <is>
          <t>VÄSTERNORRLANDS LÄN</t>
        </is>
      </c>
      <c r="E645" t="inlineStr">
        <is>
          <t>SUNDSVALL</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52706-2024</t>
        </is>
      </c>
      <c r="B646" s="1" t="n">
        <v>45610.4243287037</v>
      </c>
      <c r="C646" s="1" t="n">
        <v>46165</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61021-2023</t>
        </is>
      </c>
      <c r="B647" s="1" t="n">
        <v>45261</v>
      </c>
      <c r="C647" s="1" t="n">
        <v>46165</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6777-2025</t>
        </is>
      </c>
      <c r="B648" s="1" t="n">
        <v>45700</v>
      </c>
      <c r="C648" s="1" t="n">
        <v>46165</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4912-2023</t>
        </is>
      </c>
      <c r="B649" s="1" t="n">
        <v>44956</v>
      </c>
      <c r="C649" s="1" t="n">
        <v>46165</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59973-2021</t>
        </is>
      </c>
      <c r="B650" s="1" t="n">
        <v>44494.93664351852</v>
      </c>
      <c r="C650" s="1" t="n">
        <v>46165</v>
      </c>
      <c r="D650" t="inlineStr">
        <is>
          <t>VÄSTERNORRLANDS LÄN</t>
        </is>
      </c>
      <c r="E650" t="inlineStr">
        <is>
          <t>SUNDSVALL</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64641-2021</t>
        </is>
      </c>
      <c r="B651" s="1" t="n">
        <v>44511</v>
      </c>
      <c r="C651" s="1" t="n">
        <v>46165</v>
      </c>
      <c r="D651" t="inlineStr">
        <is>
          <t>VÄSTERNORRLANDS LÄN</t>
        </is>
      </c>
      <c r="E651" t="inlineStr">
        <is>
          <t>SUNDSVALL</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18171-2023</t>
        </is>
      </c>
      <c r="B652" s="1" t="n">
        <v>45040.94369212963</v>
      </c>
      <c r="C652" s="1" t="n">
        <v>46165</v>
      </c>
      <c r="D652" t="inlineStr">
        <is>
          <t>VÄSTERNORRLANDS LÄN</t>
        </is>
      </c>
      <c r="E652" t="inlineStr">
        <is>
          <t>SUNDSVALL</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3944-2024</t>
        </is>
      </c>
      <c r="B653" s="1" t="n">
        <v>45322</v>
      </c>
      <c r="C653" s="1" t="n">
        <v>46165</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58243-2023</t>
        </is>
      </c>
      <c r="B654" s="1" t="n">
        <v>45250</v>
      </c>
      <c r="C654" s="1" t="n">
        <v>46165</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8230-2024</t>
        </is>
      </c>
      <c r="B655" s="1" t="n">
        <v>45351.92850694444</v>
      </c>
      <c r="C655" s="1" t="n">
        <v>46165</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13296-2025</t>
        </is>
      </c>
      <c r="B656" s="1" t="n">
        <v>45735.57365740741</v>
      </c>
      <c r="C656" s="1" t="n">
        <v>46165</v>
      </c>
      <c r="D656" t="inlineStr">
        <is>
          <t>VÄSTERNORRLANDS LÄN</t>
        </is>
      </c>
      <c r="E656" t="inlineStr">
        <is>
          <t>SUNDSVALL</t>
        </is>
      </c>
      <c r="F656" t="inlineStr">
        <is>
          <t>SCA</t>
        </is>
      </c>
      <c r="G656" t="n">
        <v>6.3</v>
      </c>
      <c r="H656" t="n">
        <v>0</v>
      </c>
      <c r="I656" t="n">
        <v>0</v>
      </c>
      <c r="J656" t="n">
        <v>0</v>
      </c>
      <c r="K656" t="n">
        <v>0</v>
      </c>
      <c r="L656" t="n">
        <v>0</v>
      </c>
      <c r="M656" t="n">
        <v>0</v>
      </c>
      <c r="N656" t="n">
        <v>0</v>
      </c>
      <c r="O656" t="n">
        <v>0</v>
      </c>
      <c r="P656" t="n">
        <v>0</v>
      </c>
      <c r="Q656" t="n">
        <v>0</v>
      </c>
      <c r="R656" s="2" t="inlineStr"/>
    </row>
    <row r="657" ht="15" customHeight="1">
      <c r="A657" t="inlineStr">
        <is>
          <t>A 25024-2024</t>
        </is>
      </c>
      <c r="B657" s="1" t="n">
        <v>45461</v>
      </c>
      <c r="C657" s="1" t="n">
        <v>46165</v>
      </c>
      <c r="D657" t="inlineStr">
        <is>
          <t>VÄSTERNORRLANDS LÄN</t>
        </is>
      </c>
      <c r="E657" t="inlineStr">
        <is>
          <t>SUNDSVALL</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58606-2023</t>
        </is>
      </c>
      <c r="B658" s="1" t="n">
        <v>45251.49158564815</v>
      </c>
      <c r="C658" s="1" t="n">
        <v>46165</v>
      </c>
      <c r="D658" t="inlineStr">
        <is>
          <t>VÄSTERNORRLANDS LÄN</t>
        </is>
      </c>
      <c r="E658" t="inlineStr">
        <is>
          <t>SUNDSVALL</t>
        </is>
      </c>
      <c r="G658" t="n">
        <v>7.2</v>
      </c>
      <c r="H658" t="n">
        <v>0</v>
      </c>
      <c r="I658" t="n">
        <v>0</v>
      </c>
      <c r="J658" t="n">
        <v>0</v>
      </c>
      <c r="K658" t="n">
        <v>0</v>
      </c>
      <c r="L658" t="n">
        <v>0</v>
      </c>
      <c r="M658" t="n">
        <v>0</v>
      </c>
      <c r="N658" t="n">
        <v>0</v>
      </c>
      <c r="O658" t="n">
        <v>0</v>
      </c>
      <c r="P658" t="n">
        <v>0</v>
      </c>
      <c r="Q658" t="n">
        <v>0</v>
      </c>
      <c r="R658" s="2" t="inlineStr"/>
    </row>
    <row r="659" ht="15" customHeight="1">
      <c r="A659" t="inlineStr">
        <is>
          <t>A 54570-2024</t>
        </is>
      </c>
      <c r="B659" s="1" t="n">
        <v>45617.64739583333</v>
      </c>
      <c r="C659" s="1" t="n">
        <v>46165</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58352-2022</t>
        </is>
      </c>
      <c r="B660" s="1" t="n">
        <v>44901.60188657408</v>
      </c>
      <c r="C660" s="1" t="n">
        <v>46165</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17377-2024</t>
        </is>
      </c>
      <c r="B661" s="1" t="n">
        <v>45414</v>
      </c>
      <c r="C661" s="1" t="n">
        <v>46165</v>
      </c>
      <c r="D661" t="inlineStr">
        <is>
          <t>VÄSTERNORRLANDS LÄN</t>
        </is>
      </c>
      <c r="E661" t="inlineStr">
        <is>
          <t>SUNDSVALL</t>
        </is>
      </c>
      <c r="G661" t="n">
        <v>1.5</v>
      </c>
      <c r="H661" t="n">
        <v>0</v>
      </c>
      <c r="I661" t="n">
        <v>0</v>
      </c>
      <c r="J661" t="n">
        <v>0</v>
      </c>
      <c r="K661" t="n">
        <v>0</v>
      </c>
      <c r="L661" t="n">
        <v>0</v>
      </c>
      <c r="M661" t="n">
        <v>0</v>
      </c>
      <c r="N661" t="n">
        <v>0</v>
      </c>
      <c r="O661" t="n">
        <v>0</v>
      </c>
      <c r="P661" t="n">
        <v>0</v>
      </c>
      <c r="Q661" t="n">
        <v>0</v>
      </c>
      <c r="R661" s="2" t="inlineStr"/>
    </row>
    <row r="662" ht="15" customHeight="1">
      <c r="A662" t="inlineStr">
        <is>
          <t>A 15802-2022</t>
        </is>
      </c>
      <c r="B662" s="1" t="n">
        <v>44663.92585648148</v>
      </c>
      <c r="C662" s="1" t="n">
        <v>46165</v>
      </c>
      <c r="D662" t="inlineStr">
        <is>
          <t>VÄSTERNORRLANDS LÄN</t>
        </is>
      </c>
      <c r="E662" t="inlineStr">
        <is>
          <t>SUNDSVALL</t>
        </is>
      </c>
      <c r="G662" t="n">
        <v>4.6</v>
      </c>
      <c r="H662" t="n">
        <v>0</v>
      </c>
      <c r="I662" t="n">
        <v>0</v>
      </c>
      <c r="J662" t="n">
        <v>0</v>
      </c>
      <c r="K662" t="n">
        <v>0</v>
      </c>
      <c r="L662" t="n">
        <v>0</v>
      </c>
      <c r="M662" t="n">
        <v>0</v>
      </c>
      <c r="N662" t="n">
        <v>0</v>
      </c>
      <c r="O662" t="n">
        <v>0</v>
      </c>
      <c r="P662" t="n">
        <v>0</v>
      </c>
      <c r="Q662" t="n">
        <v>0</v>
      </c>
      <c r="R662" s="2" t="inlineStr"/>
    </row>
    <row r="663" ht="15" customHeight="1">
      <c r="A663" t="inlineStr">
        <is>
          <t>A 34744-2022</t>
        </is>
      </c>
      <c r="B663" s="1" t="n">
        <v>44795.62546296296</v>
      </c>
      <c r="C663" s="1" t="n">
        <v>46165</v>
      </c>
      <c r="D663" t="inlineStr">
        <is>
          <t>VÄSTERNORRLANDS LÄN</t>
        </is>
      </c>
      <c r="E663" t="inlineStr">
        <is>
          <t>SUNDSVALL</t>
        </is>
      </c>
      <c r="G663" t="n">
        <v>7.1</v>
      </c>
      <c r="H663" t="n">
        <v>0</v>
      </c>
      <c r="I663" t="n">
        <v>0</v>
      </c>
      <c r="J663" t="n">
        <v>0</v>
      </c>
      <c r="K663" t="n">
        <v>0</v>
      </c>
      <c r="L663" t="n">
        <v>0</v>
      </c>
      <c r="M663" t="n">
        <v>0</v>
      </c>
      <c r="N663" t="n">
        <v>0</v>
      </c>
      <c r="O663" t="n">
        <v>0</v>
      </c>
      <c r="P663" t="n">
        <v>0</v>
      </c>
      <c r="Q663" t="n">
        <v>0</v>
      </c>
      <c r="R663" s="2" t="inlineStr"/>
    </row>
    <row r="664" ht="15" customHeight="1">
      <c r="A664" t="inlineStr">
        <is>
          <t>A 50202-2024</t>
        </is>
      </c>
      <c r="B664" s="1" t="n">
        <v>45600.49368055556</v>
      </c>
      <c r="C664" s="1" t="n">
        <v>46165</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24155-2023</t>
        </is>
      </c>
      <c r="B665" s="1" t="n">
        <v>45076</v>
      </c>
      <c r="C665" s="1" t="n">
        <v>46165</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532-2025</t>
        </is>
      </c>
      <c r="B666" s="1" t="n">
        <v>45664</v>
      </c>
      <c r="C666" s="1" t="n">
        <v>46165</v>
      </c>
      <c r="D666" t="inlineStr">
        <is>
          <t>VÄSTERNORRLANDS LÄN</t>
        </is>
      </c>
      <c r="E666" t="inlineStr">
        <is>
          <t>SUNDSVALL</t>
        </is>
      </c>
      <c r="G666" t="n">
        <v>2.6</v>
      </c>
      <c r="H666" t="n">
        <v>0</v>
      </c>
      <c r="I666" t="n">
        <v>0</v>
      </c>
      <c r="J666" t="n">
        <v>0</v>
      </c>
      <c r="K666" t="n">
        <v>0</v>
      </c>
      <c r="L666" t="n">
        <v>0</v>
      </c>
      <c r="M666" t="n">
        <v>0</v>
      </c>
      <c r="N666" t="n">
        <v>0</v>
      </c>
      <c r="O666" t="n">
        <v>0</v>
      </c>
      <c r="P666" t="n">
        <v>0</v>
      </c>
      <c r="Q666" t="n">
        <v>0</v>
      </c>
      <c r="R666" s="2" t="inlineStr"/>
    </row>
    <row r="667" ht="15" customHeight="1">
      <c r="A667" t="inlineStr">
        <is>
          <t>A 44663-2024</t>
        </is>
      </c>
      <c r="B667" s="1" t="n">
        <v>45574.53215277778</v>
      </c>
      <c r="C667" s="1" t="n">
        <v>46165</v>
      </c>
      <c r="D667" t="inlineStr">
        <is>
          <t>VÄSTERNORRLANDS LÄN</t>
        </is>
      </c>
      <c r="E667" t="inlineStr">
        <is>
          <t>SUNDSVALL</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26030-2024</t>
        </is>
      </c>
      <c r="B668" s="1" t="n">
        <v>45467.96278935186</v>
      </c>
      <c r="C668" s="1" t="n">
        <v>46165</v>
      </c>
      <c r="D668" t="inlineStr">
        <is>
          <t>VÄSTERNORRLANDS LÄN</t>
        </is>
      </c>
      <c r="E668" t="inlineStr">
        <is>
          <t>SUNDSVALL</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26031-2024</t>
        </is>
      </c>
      <c r="B669" s="1" t="n">
        <v>45467</v>
      </c>
      <c r="C669" s="1" t="n">
        <v>46165</v>
      </c>
      <c r="D669" t="inlineStr">
        <is>
          <t>VÄSTERNORRLANDS LÄN</t>
        </is>
      </c>
      <c r="E669" t="inlineStr">
        <is>
          <t>SUNDSVALL</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43946-2023</t>
        </is>
      </c>
      <c r="B670" s="1" t="n">
        <v>45187</v>
      </c>
      <c r="C670" s="1" t="n">
        <v>46165</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43978-2023</t>
        </is>
      </c>
      <c r="B671" s="1" t="n">
        <v>45187</v>
      </c>
      <c r="C671" s="1" t="n">
        <v>46165</v>
      </c>
      <c r="D671" t="inlineStr">
        <is>
          <t>VÄSTERNORRLANDS LÄN</t>
        </is>
      </c>
      <c r="E671" t="inlineStr">
        <is>
          <t>SUNDSVALL</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15133-2025</t>
        </is>
      </c>
      <c r="B672" s="1" t="n">
        <v>45744.38577546296</v>
      </c>
      <c r="C672" s="1" t="n">
        <v>46165</v>
      </c>
      <c r="D672" t="inlineStr">
        <is>
          <t>VÄSTERNORRLANDS LÄN</t>
        </is>
      </c>
      <c r="E672" t="inlineStr">
        <is>
          <t>SUNDSVALL</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15135-2025</t>
        </is>
      </c>
      <c r="B673" s="1" t="n">
        <v>45744</v>
      </c>
      <c r="C673" s="1" t="n">
        <v>46165</v>
      </c>
      <c r="D673" t="inlineStr">
        <is>
          <t>VÄSTERNORRLANDS LÄN</t>
        </is>
      </c>
      <c r="E673" t="inlineStr">
        <is>
          <t>SUNDSVALL</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31525-2022</t>
        </is>
      </c>
      <c r="B674" s="1" t="n">
        <v>44775.25996527778</v>
      </c>
      <c r="C674" s="1" t="n">
        <v>46165</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19654-2023</t>
        </is>
      </c>
      <c r="B675" s="1" t="n">
        <v>45050</v>
      </c>
      <c r="C675" s="1" t="n">
        <v>46165</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55768-2023</t>
        </is>
      </c>
      <c r="B676" s="1" t="n">
        <v>45239.479375</v>
      </c>
      <c r="C676" s="1" t="n">
        <v>46165</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50824-2022</t>
        </is>
      </c>
      <c r="B677" s="1" t="n">
        <v>44862</v>
      </c>
      <c r="C677" s="1" t="n">
        <v>46165</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55790-2024</t>
        </is>
      </c>
      <c r="B678" s="1" t="n">
        <v>45623.42818287037</v>
      </c>
      <c r="C678" s="1" t="n">
        <v>46165</v>
      </c>
      <c r="D678" t="inlineStr">
        <is>
          <t>VÄSTERNORRLANDS LÄN</t>
        </is>
      </c>
      <c r="E678" t="inlineStr">
        <is>
          <t>SUNDSVALL</t>
        </is>
      </c>
      <c r="F678" t="inlineStr">
        <is>
          <t>Naturvårdsverket</t>
        </is>
      </c>
      <c r="G678" t="n">
        <v>2</v>
      </c>
      <c r="H678" t="n">
        <v>0</v>
      </c>
      <c r="I678" t="n">
        <v>0</v>
      </c>
      <c r="J678" t="n">
        <v>0</v>
      </c>
      <c r="K678" t="n">
        <v>0</v>
      </c>
      <c r="L678" t="n">
        <v>0</v>
      </c>
      <c r="M678" t="n">
        <v>0</v>
      </c>
      <c r="N678" t="n">
        <v>0</v>
      </c>
      <c r="O678" t="n">
        <v>0</v>
      </c>
      <c r="P678" t="n">
        <v>0</v>
      </c>
      <c r="Q678" t="n">
        <v>0</v>
      </c>
      <c r="R678" s="2" t="inlineStr"/>
    </row>
    <row r="679" ht="15" customHeight="1">
      <c r="A679" t="inlineStr">
        <is>
          <t>A 42114-2024</t>
        </is>
      </c>
      <c r="B679" s="1" t="n">
        <v>45562</v>
      </c>
      <c r="C679" s="1" t="n">
        <v>46165</v>
      </c>
      <c r="D679" t="inlineStr">
        <is>
          <t>VÄSTERNORRLANDS LÄN</t>
        </is>
      </c>
      <c r="E679" t="inlineStr">
        <is>
          <t>SUNDSVALL</t>
        </is>
      </c>
      <c r="G679" t="n">
        <v>0.3</v>
      </c>
      <c r="H679" t="n">
        <v>0</v>
      </c>
      <c r="I679" t="n">
        <v>0</v>
      </c>
      <c r="J679" t="n">
        <v>0</v>
      </c>
      <c r="K679" t="n">
        <v>0</v>
      </c>
      <c r="L679" t="n">
        <v>0</v>
      </c>
      <c r="M679" t="n">
        <v>0</v>
      </c>
      <c r="N679" t="n">
        <v>0</v>
      </c>
      <c r="O679" t="n">
        <v>0</v>
      </c>
      <c r="P679" t="n">
        <v>0</v>
      </c>
      <c r="Q679" t="n">
        <v>0</v>
      </c>
      <c r="R679" s="2" t="inlineStr"/>
    </row>
    <row r="680" ht="15" customHeight="1">
      <c r="A680" t="inlineStr">
        <is>
          <t>A 27303-2024</t>
        </is>
      </c>
      <c r="B680" s="1" t="n">
        <v>45471</v>
      </c>
      <c r="C680" s="1" t="n">
        <v>46165</v>
      </c>
      <c r="D680" t="inlineStr">
        <is>
          <t>VÄSTERNORRLANDS LÄN</t>
        </is>
      </c>
      <c r="E680" t="inlineStr">
        <is>
          <t>SUNDSVALL</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35682-2024</t>
        </is>
      </c>
      <c r="B681" s="1" t="n">
        <v>45532.40609953704</v>
      </c>
      <c r="C681" s="1" t="n">
        <v>46165</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50763-2023</t>
        </is>
      </c>
      <c r="B682" s="1" t="n">
        <v>45210</v>
      </c>
      <c r="C682" s="1" t="n">
        <v>46165</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48011-2023</t>
        </is>
      </c>
      <c r="B683" s="1" t="n">
        <v>45198</v>
      </c>
      <c r="C683" s="1" t="n">
        <v>46165</v>
      </c>
      <c r="D683" t="inlineStr">
        <is>
          <t>VÄSTERNORRLANDS LÄN</t>
        </is>
      </c>
      <c r="E683" t="inlineStr">
        <is>
          <t>SUNDSVALL</t>
        </is>
      </c>
      <c r="G683" t="n">
        <v>0.7</v>
      </c>
      <c r="H683" t="n">
        <v>0</v>
      </c>
      <c r="I683" t="n">
        <v>0</v>
      </c>
      <c r="J683" t="n">
        <v>0</v>
      </c>
      <c r="K683" t="n">
        <v>0</v>
      </c>
      <c r="L683" t="n">
        <v>0</v>
      </c>
      <c r="M683" t="n">
        <v>0</v>
      </c>
      <c r="N683" t="n">
        <v>0</v>
      </c>
      <c r="O683" t="n">
        <v>0</v>
      </c>
      <c r="P683" t="n">
        <v>0</v>
      </c>
      <c r="Q683" t="n">
        <v>0</v>
      </c>
      <c r="R683" s="2" t="inlineStr"/>
    </row>
    <row r="684" ht="15" customHeight="1">
      <c r="A684" t="inlineStr">
        <is>
          <t>A 58185-2022</t>
        </is>
      </c>
      <c r="B684" s="1" t="n">
        <v>44900</v>
      </c>
      <c r="C684" s="1" t="n">
        <v>46165</v>
      </c>
      <c r="D684" t="inlineStr">
        <is>
          <t>VÄSTERNORRLANDS LÄN</t>
        </is>
      </c>
      <c r="E684" t="inlineStr">
        <is>
          <t>SUNDSVALL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64917-2021</t>
        </is>
      </c>
      <c r="B685" s="1" t="n">
        <v>44512</v>
      </c>
      <c r="C685" s="1" t="n">
        <v>46165</v>
      </c>
      <c r="D685" t="inlineStr">
        <is>
          <t>VÄSTERNORRLANDS LÄN</t>
        </is>
      </c>
      <c r="E685" t="inlineStr">
        <is>
          <t>SUNDSVALL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21899-2024</t>
        </is>
      </c>
      <c r="B686" s="1" t="n">
        <v>45443</v>
      </c>
      <c r="C686" s="1" t="n">
        <v>46165</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13506-2023</t>
        </is>
      </c>
      <c r="B687" s="1" t="n">
        <v>45006</v>
      </c>
      <c r="C687" s="1" t="n">
        <v>46165</v>
      </c>
      <c r="D687" t="inlineStr">
        <is>
          <t>VÄSTERNORRLANDS LÄN</t>
        </is>
      </c>
      <c r="E687" t="inlineStr">
        <is>
          <t>SUNDSVALL</t>
        </is>
      </c>
      <c r="G687" t="n">
        <v>3.6</v>
      </c>
      <c r="H687" t="n">
        <v>0</v>
      </c>
      <c r="I687" t="n">
        <v>0</v>
      </c>
      <c r="J687" t="n">
        <v>0</v>
      </c>
      <c r="K687" t="n">
        <v>0</v>
      </c>
      <c r="L687" t="n">
        <v>0</v>
      </c>
      <c r="M687" t="n">
        <v>0</v>
      </c>
      <c r="N687" t="n">
        <v>0</v>
      </c>
      <c r="O687" t="n">
        <v>0</v>
      </c>
      <c r="P687" t="n">
        <v>0</v>
      </c>
      <c r="Q687" t="n">
        <v>0</v>
      </c>
      <c r="R687" s="2" t="inlineStr"/>
    </row>
    <row r="688" ht="15" customHeight="1">
      <c r="A688" t="inlineStr">
        <is>
          <t>A 33041-2023</t>
        </is>
      </c>
      <c r="B688" s="1" t="n">
        <v>45125</v>
      </c>
      <c r="C688" s="1" t="n">
        <v>46165</v>
      </c>
      <c r="D688" t="inlineStr">
        <is>
          <t>VÄSTERNORRLANDS LÄN</t>
        </is>
      </c>
      <c r="E688" t="inlineStr">
        <is>
          <t>SUNDSVALL</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31507-2024</t>
        </is>
      </c>
      <c r="B689" s="1" t="n">
        <v>45505</v>
      </c>
      <c r="C689" s="1" t="n">
        <v>46165</v>
      </c>
      <c r="D689" t="inlineStr">
        <is>
          <t>VÄSTERNORRLANDS LÄN</t>
        </is>
      </c>
      <c r="E689" t="inlineStr">
        <is>
          <t>SUNDSVALL</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4583-2024</t>
        </is>
      </c>
      <c r="B690" s="1" t="n">
        <v>45327.92802083334</v>
      </c>
      <c r="C690" s="1" t="n">
        <v>46165</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53764-2023</t>
        </is>
      </c>
      <c r="B691" s="1" t="n">
        <v>45230.96416666666</v>
      </c>
      <c r="C691" s="1" t="n">
        <v>46165</v>
      </c>
      <c r="D691" t="inlineStr">
        <is>
          <t>VÄSTERNORRLANDS LÄN</t>
        </is>
      </c>
      <c r="E691" t="inlineStr">
        <is>
          <t>SUNDSVALL</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40946-2022</t>
        </is>
      </c>
      <c r="B692" s="1" t="n">
        <v>44823</v>
      </c>
      <c r="C692" s="1" t="n">
        <v>46165</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12015-2022</t>
        </is>
      </c>
      <c r="B693" s="1" t="n">
        <v>44635.94351851852</v>
      </c>
      <c r="C693" s="1" t="n">
        <v>46165</v>
      </c>
      <c r="D693" t="inlineStr">
        <is>
          <t>VÄSTERNORRLANDS LÄN</t>
        </is>
      </c>
      <c r="E693" t="inlineStr">
        <is>
          <t>SUNDSVALL</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52404-2024</t>
        </is>
      </c>
      <c r="B694" s="1" t="n">
        <v>45609</v>
      </c>
      <c r="C694" s="1" t="n">
        <v>46165</v>
      </c>
      <c r="D694" t="inlineStr">
        <is>
          <t>VÄSTERNORRLANDS LÄN</t>
        </is>
      </c>
      <c r="E694" t="inlineStr">
        <is>
          <t>SUNDSVALL</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52759-2023</t>
        </is>
      </c>
      <c r="B695" s="1" t="n">
        <v>45225</v>
      </c>
      <c r="C695" s="1" t="n">
        <v>46165</v>
      </c>
      <c r="D695" t="inlineStr">
        <is>
          <t>VÄSTERNORRLANDS LÄN</t>
        </is>
      </c>
      <c r="E695" t="inlineStr">
        <is>
          <t>SUNDSVALL</t>
        </is>
      </c>
      <c r="F695" t="inlineStr">
        <is>
          <t>SCA</t>
        </is>
      </c>
      <c r="G695" t="n">
        <v>6.3</v>
      </c>
      <c r="H695" t="n">
        <v>0</v>
      </c>
      <c r="I695" t="n">
        <v>0</v>
      </c>
      <c r="J695" t="n">
        <v>0</v>
      </c>
      <c r="K695" t="n">
        <v>0</v>
      </c>
      <c r="L695" t="n">
        <v>0</v>
      </c>
      <c r="M695" t="n">
        <v>0</v>
      </c>
      <c r="N695" t="n">
        <v>0</v>
      </c>
      <c r="O695" t="n">
        <v>0</v>
      </c>
      <c r="P695" t="n">
        <v>0</v>
      </c>
      <c r="Q695" t="n">
        <v>0</v>
      </c>
      <c r="R695" s="2" t="inlineStr"/>
    </row>
    <row r="696" ht="15" customHeight="1">
      <c r="A696" t="inlineStr">
        <is>
          <t>A 43002-2024</t>
        </is>
      </c>
      <c r="B696" s="1" t="n">
        <v>45567.37609953704</v>
      </c>
      <c r="C696" s="1" t="n">
        <v>46165</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54789-2024</t>
        </is>
      </c>
      <c r="B697" s="1" t="n">
        <v>45618.4962962963</v>
      </c>
      <c r="C697" s="1" t="n">
        <v>46165</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32653-2024</t>
        </is>
      </c>
      <c r="B698" s="1" t="n">
        <v>45513.9644675926</v>
      </c>
      <c r="C698" s="1" t="n">
        <v>46165</v>
      </c>
      <c r="D698" t="inlineStr">
        <is>
          <t>VÄSTERNORRLANDS LÄN</t>
        </is>
      </c>
      <c r="E698" t="inlineStr">
        <is>
          <t>SUNDSVALL</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34558-2025</t>
        </is>
      </c>
      <c r="B699" s="1" t="n">
        <v>45847.57377314815</v>
      </c>
      <c r="C699" s="1" t="n">
        <v>46165</v>
      </c>
      <c r="D699" t="inlineStr">
        <is>
          <t>VÄSTERNORRLANDS LÄN</t>
        </is>
      </c>
      <c r="E699" t="inlineStr">
        <is>
          <t>SUNDSVALL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11083-2025</t>
        </is>
      </c>
      <c r="B700" s="1" t="n">
        <v>45723.56657407407</v>
      </c>
      <c r="C700" s="1" t="n">
        <v>46165</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38675-2025</t>
        </is>
      </c>
      <c r="B701" s="1" t="n">
        <v>45884.63487268519</v>
      </c>
      <c r="C701" s="1" t="n">
        <v>46165</v>
      </c>
      <c r="D701" t="inlineStr">
        <is>
          <t>VÄSTERNORRLANDS LÄN</t>
        </is>
      </c>
      <c r="E701" t="inlineStr">
        <is>
          <t>SUNDSVALL</t>
        </is>
      </c>
      <c r="G701" t="n">
        <v>8</v>
      </c>
      <c r="H701" t="n">
        <v>0</v>
      </c>
      <c r="I701" t="n">
        <v>0</v>
      </c>
      <c r="J701" t="n">
        <v>0</v>
      </c>
      <c r="K701" t="n">
        <v>0</v>
      </c>
      <c r="L701" t="n">
        <v>0</v>
      </c>
      <c r="M701" t="n">
        <v>0</v>
      </c>
      <c r="N701" t="n">
        <v>0</v>
      </c>
      <c r="O701" t="n">
        <v>0</v>
      </c>
      <c r="P701" t="n">
        <v>0</v>
      </c>
      <c r="Q701" t="n">
        <v>0</v>
      </c>
      <c r="R701" s="2" t="inlineStr"/>
    </row>
    <row r="702" ht="15" customHeight="1">
      <c r="A702" t="inlineStr">
        <is>
          <t>A 795-2023</t>
        </is>
      </c>
      <c r="B702" s="1" t="n">
        <v>44928</v>
      </c>
      <c r="C702" s="1" t="n">
        <v>46165</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2347-2022</t>
        </is>
      </c>
      <c r="B703" s="1" t="n">
        <v>44578</v>
      </c>
      <c r="C703" s="1" t="n">
        <v>46165</v>
      </c>
      <c r="D703" t="inlineStr">
        <is>
          <t>VÄSTERNORRLANDS LÄN</t>
        </is>
      </c>
      <c r="E703" t="inlineStr">
        <is>
          <t>SUNDSVALL</t>
        </is>
      </c>
      <c r="G703" t="n">
        <v>3.3</v>
      </c>
      <c r="H703" t="n">
        <v>0</v>
      </c>
      <c r="I703" t="n">
        <v>0</v>
      </c>
      <c r="J703" t="n">
        <v>0</v>
      </c>
      <c r="K703" t="n">
        <v>0</v>
      </c>
      <c r="L703" t="n">
        <v>0</v>
      </c>
      <c r="M703" t="n">
        <v>0</v>
      </c>
      <c r="N703" t="n">
        <v>0</v>
      </c>
      <c r="O703" t="n">
        <v>0</v>
      </c>
      <c r="P703" t="n">
        <v>0</v>
      </c>
      <c r="Q703" t="n">
        <v>0</v>
      </c>
      <c r="R703" s="2" t="inlineStr"/>
    </row>
    <row r="704" ht="15" customHeight="1">
      <c r="A704" t="inlineStr">
        <is>
          <t>A 27640-2023</t>
        </is>
      </c>
      <c r="B704" s="1" t="n">
        <v>45097</v>
      </c>
      <c r="C704" s="1" t="n">
        <v>46165</v>
      </c>
      <c r="D704" t="inlineStr">
        <is>
          <t>VÄSTERNORRLANDS LÄN</t>
        </is>
      </c>
      <c r="E704" t="inlineStr">
        <is>
          <t>SUNDSVALL</t>
        </is>
      </c>
      <c r="G704" t="n">
        <v>2.6</v>
      </c>
      <c r="H704" t="n">
        <v>0</v>
      </c>
      <c r="I704" t="n">
        <v>0</v>
      </c>
      <c r="J704" t="n">
        <v>0</v>
      </c>
      <c r="K704" t="n">
        <v>0</v>
      </c>
      <c r="L704" t="n">
        <v>0</v>
      </c>
      <c r="M704" t="n">
        <v>0</v>
      </c>
      <c r="N704" t="n">
        <v>0</v>
      </c>
      <c r="O704" t="n">
        <v>0</v>
      </c>
      <c r="P704" t="n">
        <v>0</v>
      </c>
      <c r="Q704" t="n">
        <v>0</v>
      </c>
      <c r="R704" s="2" t="inlineStr"/>
    </row>
    <row r="705" ht="15" customHeight="1">
      <c r="A705" t="inlineStr">
        <is>
          <t>A 34668-2025</t>
        </is>
      </c>
      <c r="B705" s="1" t="n">
        <v>45848.38586805556</v>
      </c>
      <c r="C705" s="1" t="n">
        <v>46165</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22161-2026</t>
        </is>
      </c>
      <c r="B706" s="1" t="n">
        <v>46153.63600694444</v>
      </c>
      <c r="C706" s="1" t="n">
        <v>46165</v>
      </c>
      <c r="D706" t="inlineStr">
        <is>
          <t>VÄSTERNORRLANDS LÄN</t>
        </is>
      </c>
      <c r="E706" t="inlineStr">
        <is>
          <t>SUNDSVALL</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7003-2023</t>
        </is>
      </c>
      <c r="B707" s="1" t="n">
        <v>44967.92920138889</v>
      </c>
      <c r="C707" s="1" t="n">
        <v>46165</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16204-2026</t>
        </is>
      </c>
      <c r="B708" s="1" t="n">
        <v>46111</v>
      </c>
      <c r="C708" s="1" t="n">
        <v>46165</v>
      </c>
      <c r="D708" t="inlineStr">
        <is>
          <t>VÄSTERNORRLANDS LÄN</t>
        </is>
      </c>
      <c r="E708" t="inlineStr">
        <is>
          <t>SUNDSVALL</t>
        </is>
      </c>
      <c r="G708" t="n">
        <v>7.7</v>
      </c>
      <c r="H708" t="n">
        <v>0</v>
      </c>
      <c r="I708" t="n">
        <v>0</v>
      </c>
      <c r="J708" t="n">
        <v>0</v>
      </c>
      <c r="K708" t="n">
        <v>0</v>
      </c>
      <c r="L708" t="n">
        <v>0</v>
      </c>
      <c r="M708" t="n">
        <v>0</v>
      </c>
      <c r="N708" t="n">
        <v>0</v>
      </c>
      <c r="O708" t="n">
        <v>0</v>
      </c>
      <c r="P708" t="n">
        <v>0</v>
      </c>
      <c r="Q708" t="n">
        <v>0</v>
      </c>
      <c r="R708" s="2" t="inlineStr"/>
    </row>
    <row r="709" ht="15" customHeight="1">
      <c r="A709" t="inlineStr">
        <is>
          <t>A 16203-2026</t>
        </is>
      </c>
      <c r="B709" s="1" t="n">
        <v>46111</v>
      </c>
      <c r="C709" s="1" t="n">
        <v>46165</v>
      </c>
      <c r="D709" t="inlineStr">
        <is>
          <t>VÄSTERNORRLANDS LÄN</t>
        </is>
      </c>
      <c r="E709" t="inlineStr">
        <is>
          <t>SUNDSVALL</t>
        </is>
      </c>
      <c r="G709" t="n">
        <v>2.9</v>
      </c>
      <c r="H709" t="n">
        <v>0</v>
      </c>
      <c r="I709" t="n">
        <v>0</v>
      </c>
      <c r="J709" t="n">
        <v>0</v>
      </c>
      <c r="K709" t="n">
        <v>0</v>
      </c>
      <c r="L709" t="n">
        <v>0</v>
      </c>
      <c r="M709" t="n">
        <v>0</v>
      </c>
      <c r="N709" t="n">
        <v>0</v>
      </c>
      <c r="O709" t="n">
        <v>0</v>
      </c>
      <c r="P709" t="n">
        <v>0</v>
      </c>
      <c r="Q709" t="n">
        <v>0</v>
      </c>
      <c r="R709" s="2" t="inlineStr"/>
    </row>
    <row r="710" ht="15" customHeight="1">
      <c r="A710" t="inlineStr">
        <is>
          <t>A 15786-2026</t>
        </is>
      </c>
      <c r="B710" s="1" t="n">
        <v>46107.47047453704</v>
      </c>
      <c r="C710" s="1" t="n">
        <v>46165</v>
      </c>
      <c r="D710" t="inlineStr">
        <is>
          <t>VÄSTERNORRLANDS LÄN</t>
        </is>
      </c>
      <c r="E710" t="inlineStr">
        <is>
          <t>SUNDSVALL</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34375-2025</t>
        </is>
      </c>
      <c r="B711" s="1" t="n">
        <v>45846</v>
      </c>
      <c r="C711" s="1" t="n">
        <v>46165</v>
      </c>
      <c r="D711" t="inlineStr">
        <is>
          <t>VÄSTERNORRLANDS LÄN</t>
        </is>
      </c>
      <c r="E711" t="inlineStr">
        <is>
          <t>SUNDSVALL</t>
        </is>
      </c>
      <c r="G711" t="n">
        <v>2.8</v>
      </c>
      <c r="H711" t="n">
        <v>0</v>
      </c>
      <c r="I711" t="n">
        <v>0</v>
      </c>
      <c r="J711" t="n">
        <v>0</v>
      </c>
      <c r="K711" t="n">
        <v>0</v>
      </c>
      <c r="L711" t="n">
        <v>0</v>
      </c>
      <c r="M711" t="n">
        <v>0</v>
      </c>
      <c r="N711" t="n">
        <v>0</v>
      </c>
      <c r="O711" t="n">
        <v>0</v>
      </c>
      <c r="P711" t="n">
        <v>0</v>
      </c>
      <c r="Q711" t="n">
        <v>0</v>
      </c>
      <c r="R711" s="2" t="inlineStr"/>
    </row>
    <row r="712" ht="15" customHeight="1">
      <c r="A712" t="inlineStr">
        <is>
          <t>A 16551-2026</t>
        </is>
      </c>
      <c r="B712" s="1" t="n">
        <v>46112.53172453704</v>
      </c>
      <c r="C712" s="1" t="n">
        <v>46165</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3696-2025</t>
        </is>
      </c>
      <c r="B713" s="1" t="n">
        <v>45681</v>
      </c>
      <c r="C713" s="1" t="n">
        <v>46165</v>
      </c>
      <c r="D713" t="inlineStr">
        <is>
          <t>VÄSTERNORRLANDS LÄN</t>
        </is>
      </c>
      <c r="E713" t="inlineStr">
        <is>
          <t>SUNDSVALL</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3713-2025</t>
        </is>
      </c>
      <c r="B714" s="1" t="n">
        <v>45681.51127314815</v>
      </c>
      <c r="C714" s="1" t="n">
        <v>46165</v>
      </c>
      <c r="D714" t="inlineStr">
        <is>
          <t>VÄSTERNORRLANDS LÄN</t>
        </is>
      </c>
      <c r="E714" t="inlineStr">
        <is>
          <t>SUNDSVALL</t>
        </is>
      </c>
      <c r="F714" t="inlineStr">
        <is>
          <t>SCA</t>
        </is>
      </c>
      <c r="G714" t="n">
        <v>9.6</v>
      </c>
      <c r="H714" t="n">
        <v>0</v>
      </c>
      <c r="I714" t="n">
        <v>0</v>
      </c>
      <c r="J714" t="n">
        <v>0</v>
      </c>
      <c r="K714" t="n">
        <v>0</v>
      </c>
      <c r="L714" t="n">
        <v>0</v>
      </c>
      <c r="M714" t="n">
        <v>0</v>
      </c>
      <c r="N714" t="n">
        <v>0</v>
      </c>
      <c r="O714" t="n">
        <v>0</v>
      </c>
      <c r="P714" t="n">
        <v>0</v>
      </c>
      <c r="Q714" t="n">
        <v>0</v>
      </c>
      <c r="R714" s="2" t="inlineStr"/>
    </row>
    <row r="715" ht="15" customHeight="1">
      <c r="A715" t="inlineStr">
        <is>
          <t>A 16559-2026</t>
        </is>
      </c>
      <c r="B715" s="1" t="n">
        <v>46112.55283564814</v>
      </c>
      <c r="C715" s="1" t="n">
        <v>46165</v>
      </c>
      <c r="D715" t="inlineStr">
        <is>
          <t>VÄSTERNORRLANDS LÄN</t>
        </is>
      </c>
      <c r="E715" t="inlineStr">
        <is>
          <t>SUNDSVALL</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22309-2026</t>
        </is>
      </c>
      <c r="B716" s="1" t="n">
        <v>46154.46949074074</v>
      </c>
      <c r="C716" s="1" t="n">
        <v>46165</v>
      </c>
      <c r="D716" t="inlineStr">
        <is>
          <t>VÄSTERNORRLANDS LÄN</t>
        </is>
      </c>
      <c r="E716" t="inlineStr">
        <is>
          <t>SUNDSVALL</t>
        </is>
      </c>
      <c r="G716" t="n">
        <v>4.5</v>
      </c>
      <c r="H716" t="n">
        <v>0</v>
      </c>
      <c r="I716" t="n">
        <v>0</v>
      </c>
      <c r="J716" t="n">
        <v>0</v>
      </c>
      <c r="K716" t="n">
        <v>0</v>
      </c>
      <c r="L716" t="n">
        <v>0</v>
      </c>
      <c r="M716" t="n">
        <v>0</v>
      </c>
      <c r="N716" t="n">
        <v>0</v>
      </c>
      <c r="O716" t="n">
        <v>0</v>
      </c>
      <c r="P716" t="n">
        <v>0</v>
      </c>
      <c r="Q716" t="n">
        <v>0</v>
      </c>
      <c r="R716" s="2" t="inlineStr"/>
    </row>
    <row r="717" ht="15" customHeight="1">
      <c r="A717" t="inlineStr">
        <is>
          <t>A 16593-2026</t>
        </is>
      </c>
      <c r="B717" s="1" t="n">
        <v>46112</v>
      </c>
      <c r="C717" s="1" t="n">
        <v>46165</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10525-2023</t>
        </is>
      </c>
      <c r="B718" s="1" t="n">
        <v>44987.92320601852</v>
      </c>
      <c r="C718" s="1" t="n">
        <v>46165</v>
      </c>
      <c r="D718" t="inlineStr">
        <is>
          <t>VÄSTERNORRLANDS LÄN</t>
        </is>
      </c>
      <c r="E718" t="inlineStr">
        <is>
          <t>SUNDSVALL</t>
        </is>
      </c>
      <c r="G718" t="n">
        <v>7.2</v>
      </c>
      <c r="H718" t="n">
        <v>0</v>
      </c>
      <c r="I718" t="n">
        <v>0</v>
      </c>
      <c r="J718" t="n">
        <v>0</v>
      </c>
      <c r="K718" t="n">
        <v>0</v>
      </c>
      <c r="L718" t="n">
        <v>0</v>
      </c>
      <c r="M718" t="n">
        <v>0</v>
      </c>
      <c r="N718" t="n">
        <v>0</v>
      </c>
      <c r="O718" t="n">
        <v>0</v>
      </c>
      <c r="P718" t="n">
        <v>0</v>
      </c>
      <c r="Q718" t="n">
        <v>0</v>
      </c>
      <c r="R718" s="2" t="inlineStr"/>
    </row>
    <row r="719" ht="15" customHeight="1">
      <c r="A719" t="inlineStr">
        <is>
          <t>A 35120-2025</t>
        </is>
      </c>
      <c r="B719" s="1" t="n">
        <v>45852</v>
      </c>
      <c r="C719" s="1" t="n">
        <v>46165</v>
      </c>
      <c r="D719" t="inlineStr">
        <is>
          <t>VÄSTERNORRLANDS LÄN</t>
        </is>
      </c>
      <c r="E719" t="inlineStr">
        <is>
          <t>SUNDSVALL</t>
        </is>
      </c>
      <c r="G719" t="n">
        <v>9.4</v>
      </c>
      <c r="H719" t="n">
        <v>0</v>
      </c>
      <c r="I719" t="n">
        <v>0</v>
      </c>
      <c r="J719" t="n">
        <v>0</v>
      </c>
      <c r="K719" t="n">
        <v>0</v>
      </c>
      <c r="L719" t="n">
        <v>0</v>
      </c>
      <c r="M719" t="n">
        <v>0</v>
      </c>
      <c r="N719" t="n">
        <v>0</v>
      </c>
      <c r="O719" t="n">
        <v>0</v>
      </c>
      <c r="P719" t="n">
        <v>0</v>
      </c>
      <c r="Q719" t="n">
        <v>0</v>
      </c>
      <c r="R719" s="2" t="inlineStr"/>
    </row>
    <row r="720" ht="15" customHeight="1">
      <c r="A720" t="inlineStr">
        <is>
          <t>A 16662-2026</t>
        </is>
      </c>
      <c r="B720" s="1" t="n">
        <v>46112.65679398148</v>
      </c>
      <c r="C720" s="1" t="n">
        <v>46165</v>
      </c>
      <c r="D720" t="inlineStr">
        <is>
          <t>VÄSTERNORRLANDS LÄN</t>
        </is>
      </c>
      <c r="E720" t="inlineStr">
        <is>
          <t>SUNDSVALL</t>
        </is>
      </c>
      <c r="F720" t="inlineStr">
        <is>
          <t>SCA</t>
        </is>
      </c>
      <c r="G720" t="n">
        <v>24.3</v>
      </c>
      <c r="H720" t="n">
        <v>0</v>
      </c>
      <c r="I720" t="n">
        <v>0</v>
      </c>
      <c r="J720" t="n">
        <v>0</v>
      </c>
      <c r="K720" t="n">
        <v>0</v>
      </c>
      <c r="L720" t="n">
        <v>0</v>
      </c>
      <c r="M720" t="n">
        <v>0</v>
      </c>
      <c r="N720" t="n">
        <v>0</v>
      </c>
      <c r="O720" t="n">
        <v>0</v>
      </c>
      <c r="P720" t="n">
        <v>0</v>
      </c>
      <c r="Q720" t="n">
        <v>0</v>
      </c>
      <c r="R720" s="2" t="inlineStr"/>
    </row>
    <row r="721" ht="15" customHeight="1">
      <c r="A721" t="inlineStr">
        <is>
          <t>A 19019-2026</t>
        </is>
      </c>
      <c r="B721" s="1" t="n">
        <v>46130</v>
      </c>
      <c r="C721" s="1" t="n">
        <v>46165</v>
      </c>
      <c r="D721" t="inlineStr">
        <is>
          <t>VÄSTERNORRLANDS LÄN</t>
        </is>
      </c>
      <c r="E721" t="inlineStr">
        <is>
          <t>SUNDSVALL</t>
        </is>
      </c>
      <c r="G721" t="n">
        <v>2.8</v>
      </c>
      <c r="H721" t="n">
        <v>0</v>
      </c>
      <c r="I721" t="n">
        <v>0</v>
      </c>
      <c r="J721" t="n">
        <v>0</v>
      </c>
      <c r="K721" t="n">
        <v>0</v>
      </c>
      <c r="L721" t="n">
        <v>0</v>
      </c>
      <c r="M721" t="n">
        <v>0</v>
      </c>
      <c r="N721" t="n">
        <v>0</v>
      </c>
      <c r="O721" t="n">
        <v>0</v>
      </c>
      <c r="P721" t="n">
        <v>0</v>
      </c>
      <c r="Q721" t="n">
        <v>0</v>
      </c>
      <c r="R721" s="2" t="inlineStr"/>
    </row>
    <row r="722" ht="15" customHeight="1">
      <c r="A722" t="inlineStr">
        <is>
          <t>A 23652-2025</t>
        </is>
      </c>
      <c r="B722" s="1" t="n">
        <v>45792</v>
      </c>
      <c r="C722" s="1" t="n">
        <v>46165</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12333-2023</t>
        </is>
      </c>
      <c r="B723" s="1" t="n">
        <v>44999</v>
      </c>
      <c r="C723" s="1" t="n">
        <v>46165</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16493-2026</t>
        </is>
      </c>
      <c r="B724" s="1" t="n">
        <v>46112.42765046296</v>
      </c>
      <c r="C724" s="1" t="n">
        <v>46165</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16553-2026</t>
        </is>
      </c>
      <c r="B725" s="1" t="n">
        <v>46112</v>
      </c>
      <c r="C725" s="1" t="n">
        <v>46165</v>
      </c>
      <c r="D725" t="inlineStr">
        <is>
          <t>VÄSTERNORRLANDS LÄN</t>
        </is>
      </c>
      <c r="E725" t="inlineStr">
        <is>
          <t>SUNDSVALL</t>
        </is>
      </c>
      <c r="G725" t="n">
        <v>1.5</v>
      </c>
      <c r="H725" t="n">
        <v>0</v>
      </c>
      <c r="I725" t="n">
        <v>0</v>
      </c>
      <c r="J725" t="n">
        <v>0</v>
      </c>
      <c r="K725" t="n">
        <v>0</v>
      </c>
      <c r="L725" t="n">
        <v>0</v>
      </c>
      <c r="M725" t="n">
        <v>0</v>
      </c>
      <c r="N725" t="n">
        <v>0</v>
      </c>
      <c r="O725" t="n">
        <v>0</v>
      </c>
      <c r="P725" t="n">
        <v>0</v>
      </c>
      <c r="Q725" t="n">
        <v>0</v>
      </c>
      <c r="R725" s="2" t="inlineStr"/>
    </row>
    <row r="726" ht="15" customHeight="1">
      <c r="A726" t="inlineStr">
        <is>
          <t>A 16556-2026</t>
        </is>
      </c>
      <c r="B726" s="1" t="n">
        <v>46112</v>
      </c>
      <c r="C726" s="1" t="n">
        <v>46165</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22333-2026</t>
        </is>
      </c>
      <c r="B727" s="1" t="n">
        <v>46154.56728009259</v>
      </c>
      <c r="C727" s="1" t="n">
        <v>46165</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45357-2024</t>
        </is>
      </c>
      <c r="B728" s="1" t="n">
        <v>45576.48070601852</v>
      </c>
      <c r="C728" s="1" t="n">
        <v>46165</v>
      </c>
      <c r="D728" t="inlineStr">
        <is>
          <t>VÄSTERNORRLANDS LÄN</t>
        </is>
      </c>
      <c r="E728" t="inlineStr">
        <is>
          <t>SUNDSVALL</t>
        </is>
      </c>
      <c r="G728" t="n">
        <v>18.2</v>
      </c>
      <c r="H728" t="n">
        <v>0</v>
      </c>
      <c r="I728" t="n">
        <v>0</v>
      </c>
      <c r="J728" t="n">
        <v>0</v>
      </c>
      <c r="K728" t="n">
        <v>0</v>
      </c>
      <c r="L728" t="n">
        <v>0</v>
      </c>
      <c r="M728" t="n">
        <v>0</v>
      </c>
      <c r="N728" t="n">
        <v>0</v>
      </c>
      <c r="O728" t="n">
        <v>0</v>
      </c>
      <c r="P728" t="n">
        <v>0</v>
      </c>
      <c r="Q728" t="n">
        <v>0</v>
      </c>
      <c r="R728" s="2" t="inlineStr"/>
    </row>
    <row r="729" ht="15" customHeight="1">
      <c r="A729" t="inlineStr">
        <is>
          <t>A 23650-2025</t>
        </is>
      </c>
      <c r="B729" s="1" t="n">
        <v>45792</v>
      </c>
      <c r="C729" s="1" t="n">
        <v>46165</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22053-2025</t>
        </is>
      </c>
      <c r="B730" s="1" t="n">
        <v>45785.3650462963</v>
      </c>
      <c r="C730" s="1" t="n">
        <v>46165</v>
      </c>
      <c r="D730" t="inlineStr">
        <is>
          <t>VÄSTERNORRLANDS LÄN</t>
        </is>
      </c>
      <c r="E730" t="inlineStr">
        <is>
          <t>SUNDSVALL</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58419-2022</t>
        </is>
      </c>
      <c r="B731" s="1" t="n">
        <v>44901</v>
      </c>
      <c r="C731" s="1" t="n">
        <v>46165</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7431-2022</t>
        </is>
      </c>
      <c r="B732" s="1" t="n">
        <v>44606.93319444444</v>
      </c>
      <c r="C732" s="1" t="n">
        <v>46165</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16468-2026</t>
        </is>
      </c>
      <c r="B733" s="1" t="n">
        <v>46112.36506944444</v>
      </c>
      <c r="C733" s="1" t="n">
        <v>46165</v>
      </c>
      <c r="D733" t="inlineStr">
        <is>
          <t>VÄSTERNORRLANDS LÄN</t>
        </is>
      </c>
      <c r="E733" t="inlineStr">
        <is>
          <t>SUNDSVALL</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35461-2025</t>
        </is>
      </c>
      <c r="B734" s="1" t="n">
        <v>45855.61505787037</v>
      </c>
      <c r="C734" s="1" t="n">
        <v>46165</v>
      </c>
      <c r="D734" t="inlineStr">
        <is>
          <t>VÄSTERNORRLANDS LÄN</t>
        </is>
      </c>
      <c r="E734" t="inlineStr">
        <is>
          <t>SUNDSVALL</t>
        </is>
      </c>
      <c r="G734" t="n">
        <v>3.6</v>
      </c>
      <c r="H734" t="n">
        <v>0</v>
      </c>
      <c r="I734" t="n">
        <v>0</v>
      </c>
      <c r="J734" t="n">
        <v>0</v>
      </c>
      <c r="K734" t="n">
        <v>0</v>
      </c>
      <c r="L734" t="n">
        <v>0</v>
      </c>
      <c r="M734" t="n">
        <v>0</v>
      </c>
      <c r="N734" t="n">
        <v>0</v>
      </c>
      <c r="O734" t="n">
        <v>0</v>
      </c>
      <c r="P734" t="n">
        <v>0</v>
      </c>
      <c r="Q734" t="n">
        <v>0</v>
      </c>
      <c r="R734" s="2" t="inlineStr"/>
    </row>
    <row r="735" ht="15" customHeight="1">
      <c r="A735" t="inlineStr">
        <is>
          <t>A 18809-2026</t>
        </is>
      </c>
      <c r="B735" s="1" t="n">
        <v>46128</v>
      </c>
      <c r="C735" s="1" t="n">
        <v>46165</v>
      </c>
      <c r="D735" t="inlineStr">
        <is>
          <t>VÄSTERNORRLANDS LÄN</t>
        </is>
      </c>
      <c r="E735" t="inlineStr">
        <is>
          <t>SUNDSVALL</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33735-2024</t>
        </is>
      </c>
      <c r="B736" s="1" t="n">
        <v>45520</v>
      </c>
      <c r="C736" s="1" t="n">
        <v>46165</v>
      </c>
      <c r="D736" t="inlineStr">
        <is>
          <t>VÄSTERNORRLANDS LÄN</t>
        </is>
      </c>
      <c r="E736" t="inlineStr">
        <is>
          <t>SUNDSVALL</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1048-2024</t>
        </is>
      </c>
      <c r="B737" s="1" t="n">
        <v>45301</v>
      </c>
      <c r="C737" s="1" t="n">
        <v>46165</v>
      </c>
      <c r="D737" t="inlineStr">
        <is>
          <t>VÄSTERNORRLANDS LÄN</t>
        </is>
      </c>
      <c r="E737" t="inlineStr">
        <is>
          <t>SUNDSVALL</t>
        </is>
      </c>
      <c r="G737" t="n">
        <v>0.5</v>
      </c>
      <c r="H737" t="n">
        <v>0</v>
      </c>
      <c r="I737" t="n">
        <v>0</v>
      </c>
      <c r="J737" t="n">
        <v>0</v>
      </c>
      <c r="K737" t="n">
        <v>0</v>
      </c>
      <c r="L737" t="n">
        <v>0</v>
      </c>
      <c r="M737" t="n">
        <v>0</v>
      </c>
      <c r="N737" t="n">
        <v>0</v>
      </c>
      <c r="O737" t="n">
        <v>0</v>
      </c>
      <c r="P737" t="n">
        <v>0</v>
      </c>
      <c r="Q737" t="n">
        <v>0</v>
      </c>
      <c r="R737" s="2" t="inlineStr"/>
    </row>
    <row r="738" ht="15" customHeight="1">
      <c r="A738" t="inlineStr">
        <is>
          <t>A 8794-2025</t>
        </is>
      </c>
      <c r="B738" s="1" t="n">
        <v>45712.64390046296</v>
      </c>
      <c r="C738" s="1" t="n">
        <v>46165</v>
      </c>
      <c r="D738" t="inlineStr">
        <is>
          <t>VÄSTERNORRLANDS LÄN</t>
        </is>
      </c>
      <c r="E738" t="inlineStr">
        <is>
          <t>SUNDSVALL</t>
        </is>
      </c>
      <c r="G738" t="n">
        <v>16.6</v>
      </c>
      <c r="H738" t="n">
        <v>0</v>
      </c>
      <c r="I738" t="n">
        <v>0</v>
      </c>
      <c r="J738" t="n">
        <v>0</v>
      </c>
      <c r="K738" t="n">
        <v>0</v>
      </c>
      <c r="L738" t="n">
        <v>0</v>
      </c>
      <c r="M738" t="n">
        <v>0</v>
      </c>
      <c r="N738" t="n">
        <v>0</v>
      </c>
      <c r="O738" t="n">
        <v>0</v>
      </c>
      <c r="P738" t="n">
        <v>0</v>
      </c>
      <c r="Q738" t="n">
        <v>0</v>
      </c>
      <c r="R738" s="2" t="inlineStr"/>
    </row>
    <row r="739" ht="15" customHeight="1">
      <c r="A739" t="inlineStr">
        <is>
          <t>A 19020-2026</t>
        </is>
      </c>
      <c r="B739" s="1" t="n">
        <v>46130</v>
      </c>
      <c r="C739" s="1" t="n">
        <v>46165</v>
      </c>
      <c r="D739" t="inlineStr">
        <is>
          <t>VÄSTERNORRLANDS LÄN</t>
        </is>
      </c>
      <c r="E739" t="inlineStr">
        <is>
          <t>SUNDSVALL</t>
        </is>
      </c>
      <c r="G739" t="n">
        <v>3.7</v>
      </c>
      <c r="H739" t="n">
        <v>0</v>
      </c>
      <c r="I739" t="n">
        <v>0</v>
      </c>
      <c r="J739" t="n">
        <v>0</v>
      </c>
      <c r="K739" t="n">
        <v>0</v>
      </c>
      <c r="L739" t="n">
        <v>0</v>
      </c>
      <c r="M739" t="n">
        <v>0</v>
      </c>
      <c r="N739" t="n">
        <v>0</v>
      </c>
      <c r="O739" t="n">
        <v>0</v>
      </c>
      <c r="P739" t="n">
        <v>0</v>
      </c>
      <c r="Q739" t="n">
        <v>0</v>
      </c>
      <c r="R739" s="2" t="inlineStr"/>
    </row>
    <row r="740" ht="15" customHeight="1">
      <c r="A740" t="inlineStr">
        <is>
          <t>A 39415-2025</t>
        </is>
      </c>
      <c r="B740" s="1" t="n">
        <v>45889.65715277778</v>
      </c>
      <c r="C740" s="1" t="n">
        <v>46165</v>
      </c>
      <c r="D740" t="inlineStr">
        <is>
          <t>VÄSTERNORRLANDS LÄN</t>
        </is>
      </c>
      <c r="E740" t="inlineStr">
        <is>
          <t>SUNDSVALL</t>
        </is>
      </c>
      <c r="F740" t="inlineStr">
        <is>
          <t>SCA</t>
        </is>
      </c>
      <c r="G740" t="n">
        <v>10.6</v>
      </c>
      <c r="H740" t="n">
        <v>0</v>
      </c>
      <c r="I740" t="n">
        <v>0</v>
      </c>
      <c r="J740" t="n">
        <v>0</v>
      </c>
      <c r="K740" t="n">
        <v>0</v>
      </c>
      <c r="L740" t="n">
        <v>0</v>
      </c>
      <c r="M740" t="n">
        <v>0</v>
      </c>
      <c r="N740" t="n">
        <v>0</v>
      </c>
      <c r="O740" t="n">
        <v>0</v>
      </c>
      <c r="P740" t="n">
        <v>0</v>
      </c>
      <c r="Q740" t="n">
        <v>0</v>
      </c>
      <c r="R740" s="2" t="inlineStr"/>
    </row>
    <row r="741" ht="15" customHeight="1">
      <c r="A741" t="inlineStr">
        <is>
          <t>A 16650-2026</t>
        </is>
      </c>
      <c r="B741" s="1" t="n">
        <v>46112</v>
      </c>
      <c r="C741" s="1" t="n">
        <v>46165</v>
      </c>
      <c r="D741" t="inlineStr">
        <is>
          <t>VÄSTERNORRLANDS LÄN</t>
        </is>
      </c>
      <c r="E741" t="inlineStr">
        <is>
          <t>SUNDSVALL</t>
        </is>
      </c>
      <c r="G741" t="n">
        <v>3.5</v>
      </c>
      <c r="H741" t="n">
        <v>0</v>
      </c>
      <c r="I741" t="n">
        <v>0</v>
      </c>
      <c r="J741" t="n">
        <v>0</v>
      </c>
      <c r="K741" t="n">
        <v>0</v>
      </c>
      <c r="L741" t="n">
        <v>0</v>
      </c>
      <c r="M741" t="n">
        <v>0</v>
      </c>
      <c r="N741" t="n">
        <v>0</v>
      </c>
      <c r="O741" t="n">
        <v>0</v>
      </c>
      <c r="P741" t="n">
        <v>0</v>
      </c>
      <c r="Q741" t="n">
        <v>0</v>
      </c>
      <c r="R741" s="2" t="inlineStr"/>
    </row>
    <row r="742" ht="15" customHeight="1">
      <c r="A742" t="inlineStr">
        <is>
          <t>A 56214-2024</t>
        </is>
      </c>
      <c r="B742" s="1" t="n">
        <v>45624</v>
      </c>
      <c r="C742" s="1" t="n">
        <v>46165</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22298-2026</t>
        </is>
      </c>
      <c r="B743" s="1" t="n">
        <v>46154.44831018519</v>
      </c>
      <c r="C743" s="1" t="n">
        <v>46165</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39417-2025</t>
        </is>
      </c>
      <c r="B744" s="1" t="n">
        <v>45889.65730324074</v>
      </c>
      <c r="C744" s="1" t="n">
        <v>46165</v>
      </c>
      <c r="D744" t="inlineStr">
        <is>
          <t>VÄSTERNORRLANDS LÄN</t>
        </is>
      </c>
      <c r="E744" t="inlineStr">
        <is>
          <t>SUNDSVALL</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19760-2025</t>
        </is>
      </c>
      <c r="B745" s="1" t="n">
        <v>45771.40658564815</v>
      </c>
      <c r="C745" s="1" t="n">
        <v>46165</v>
      </c>
      <c r="D745" t="inlineStr">
        <is>
          <t>VÄSTERNORRLANDS LÄN</t>
        </is>
      </c>
      <c r="E745" t="inlineStr">
        <is>
          <t>SUNDSVALL</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39008-2025</t>
        </is>
      </c>
      <c r="B746" s="1" t="n">
        <v>45888.34532407407</v>
      </c>
      <c r="C746" s="1" t="n">
        <v>46165</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7427-2025</t>
        </is>
      </c>
      <c r="B747" s="1" t="n">
        <v>45705</v>
      </c>
      <c r="C747" s="1" t="n">
        <v>46165</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51103-2023</t>
        </is>
      </c>
      <c r="B748" s="1" t="n">
        <v>45218.92510416666</v>
      </c>
      <c r="C748" s="1" t="n">
        <v>46165</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51104-2023</t>
        </is>
      </c>
      <c r="B749" s="1" t="n">
        <v>45218</v>
      </c>
      <c r="C749" s="1" t="n">
        <v>46165</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16570-2026</t>
        </is>
      </c>
      <c r="B750" s="1" t="n">
        <v>46112</v>
      </c>
      <c r="C750" s="1" t="n">
        <v>46165</v>
      </c>
      <c r="D750" t="inlineStr">
        <is>
          <t>VÄSTERNORRLANDS LÄN</t>
        </is>
      </c>
      <c r="E750" t="inlineStr">
        <is>
          <t>SUNDSVALL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2274-2026</t>
        </is>
      </c>
      <c r="B751" s="1" t="n">
        <v>46036.57377314815</v>
      </c>
      <c r="C751" s="1" t="n">
        <v>46165</v>
      </c>
      <c r="D751" t="inlineStr">
        <is>
          <t>VÄSTERNORRLANDS LÄN</t>
        </is>
      </c>
      <c r="E751" t="inlineStr">
        <is>
          <t>SUNDSVALL</t>
        </is>
      </c>
      <c r="G751" t="n">
        <v>17.2</v>
      </c>
      <c r="H751" t="n">
        <v>0</v>
      </c>
      <c r="I751" t="n">
        <v>0</v>
      </c>
      <c r="J751" t="n">
        <v>0</v>
      </c>
      <c r="K751" t="n">
        <v>0</v>
      </c>
      <c r="L751" t="n">
        <v>0</v>
      </c>
      <c r="M751" t="n">
        <v>0</v>
      </c>
      <c r="N751" t="n">
        <v>0</v>
      </c>
      <c r="O751" t="n">
        <v>0</v>
      </c>
      <c r="P751" t="n">
        <v>0</v>
      </c>
      <c r="Q751" t="n">
        <v>0</v>
      </c>
      <c r="R751" s="2" t="inlineStr"/>
    </row>
    <row r="752" ht="15" customHeight="1">
      <c r="A752" t="inlineStr">
        <is>
          <t>A 22047-2026</t>
        </is>
      </c>
      <c r="B752" s="1" t="n">
        <v>46153.46972222222</v>
      </c>
      <c r="C752" s="1" t="n">
        <v>46165</v>
      </c>
      <c r="D752" t="inlineStr">
        <is>
          <t>VÄSTERNORRLANDS LÄN</t>
        </is>
      </c>
      <c r="E752" t="inlineStr">
        <is>
          <t>SUNDSVALL</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16258-2026</t>
        </is>
      </c>
      <c r="B753" s="1" t="n">
        <v>46111.4737037037</v>
      </c>
      <c r="C753" s="1" t="n">
        <v>46165</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35716-2025</t>
        </is>
      </c>
      <c r="B754" s="1" t="n">
        <v>45860.42753472222</v>
      </c>
      <c r="C754" s="1" t="n">
        <v>46165</v>
      </c>
      <c r="D754" t="inlineStr">
        <is>
          <t>VÄSTERNORRLANDS LÄN</t>
        </is>
      </c>
      <c r="E754" t="inlineStr">
        <is>
          <t>SUNDSVALL</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41805-2022</t>
        </is>
      </c>
      <c r="B755" s="1" t="n">
        <v>44827</v>
      </c>
      <c r="C755" s="1" t="n">
        <v>46165</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35861-2025</t>
        </is>
      </c>
      <c r="B756" s="1" t="n">
        <v>45861.65689814815</v>
      </c>
      <c r="C756" s="1" t="n">
        <v>46165</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17042-2026</t>
        </is>
      </c>
      <c r="B757" s="1" t="n">
        <v>46114.47802083333</v>
      </c>
      <c r="C757" s="1" t="n">
        <v>46165</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16837-2026</t>
        </is>
      </c>
      <c r="B758" s="1" t="n">
        <v>46113.53158564815</v>
      </c>
      <c r="C758" s="1" t="n">
        <v>46165</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21997-2023</t>
        </is>
      </c>
      <c r="B759" s="1" t="n">
        <v>45068</v>
      </c>
      <c r="C759" s="1" t="n">
        <v>46165</v>
      </c>
      <c r="D759" t="inlineStr">
        <is>
          <t>VÄSTERNORRLANDS LÄN</t>
        </is>
      </c>
      <c r="E759" t="inlineStr">
        <is>
          <t>SUNDSVALL</t>
        </is>
      </c>
      <c r="G759" t="n">
        <v>4.1</v>
      </c>
      <c r="H759" t="n">
        <v>0</v>
      </c>
      <c r="I759" t="n">
        <v>0</v>
      </c>
      <c r="J759" t="n">
        <v>0</v>
      </c>
      <c r="K759" t="n">
        <v>0</v>
      </c>
      <c r="L759" t="n">
        <v>0</v>
      </c>
      <c r="M759" t="n">
        <v>0</v>
      </c>
      <c r="N759" t="n">
        <v>0</v>
      </c>
      <c r="O759" t="n">
        <v>0</v>
      </c>
      <c r="P759" t="n">
        <v>0</v>
      </c>
      <c r="Q759" t="n">
        <v>0</v>
      </c>
      <c r="R759" s="2" t="inlineStr"/>
    </row>
    <row r="760" ht="15" customHeight="1">
      <c r="A760" t="inlineStr">
        <is>
          <t>A 35780-2025</t>
        </is>
      </c>
      <c r="B760" s="1" t="n">
        <v>45860.70089120371</v>
      </c>
      <c r="C760" s="1" t="n">
        <v>46165</v>
      </c>
      <c r="D760" t="inlineStr">
        <is>
          <t>VÄSTERNORRLANDS LÄN</t>
        </is>
      </c>
      <c r="E760" t="inlineStr">
        <is>
          <t>SUNDSVALL</t>
        </is>
      </c>
      <c r="G760" t="n">
        <v>8</v>
      </c>
      <c r="H760" t="n">
        <v>0</v>
      </c>
      <c r="I760" t="n">
        <v>0</v>
      </c>
      <c r="J760" t="n">
        <v>0</v>
      </c>
      <c r="K760" t="n">
        <v>0</v>
      </c>
      <c r="L760" t="n">
        <v>0</v>
      </c>
      <c r="M760" t="n">
        <v>0</v>
      </c>
      <c r="N760" t="n">
        <v>0</v>
      </c>
      <c r="O760" t="n">
        <v>0</v>
      </c>
      <c r="P760" t="n">
        <v>0</v>
      </c>
      <c r="Q760" t="n">
        <v>0</v>
      </c>
      <c r="R760" s="2" t="inlineStr"/>
    </row>
    <row r="761" ht="15" customHeight="1">
      <c r="A761" t="inlineStr">
        <is>
          <t>A 39915-2025</t>
        </is>
      </c>
      <c r="B761" s="1" t="n">
        <v>45891.65678240741</v>
      </c>
      <c r="C761" s="1" t="n">
        <v>46165</v>
      </c>
      <c r="D761" t="inlineStr">
        <is>
          <t>VÄSTERNORRLANDS LÄN</t>
        </is>
      </c>
      <c r="E761" t="inlineStr">
        <is>
          <t>SUNDSVALL</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39761-2025</t>
        </is>
      </c>
      <c r="B762" s="1" t="n">
        <v>45891.43866898148</v>
      </c>
      <c r="C762" s="1" t="n">
        <v>46165</v>
      </c>
      <c r="D762" t="inlineStr">
        <is>
          <t>VÄSTERNORRLANDS LÄN</t>
        </is>
      </c>
      <c r="E762" t="inlineStr">
        <is>
          <t>SUNDSVALL</t>
        </is>
      </c>
      <c r="G762" t="n">
        <v>0.4</v>
      </c>
      <c r="H762" t="n">
        <v>0</v>
      </c>
      <c r="I762" t="n">
        <v>0</v>
      </c>
      <c r="J762" t="n">
        <v>0</v>
      </c>
      <c r="K762" t="n">
        <v>0</v>
      </c>
      <c r="L762" t="n">
        <v>0</v>
      </c>
      <c r="M762" t="n">
        <v>0</v>
      </c>
      <c r="N762" t="n">
        <v>0</v>
      </c>
      <c r="O762" t="n">
        <v>0</v>
      </c>
      <c r="P762" t="n">
        <v>0</v>
      </c>
      <c r="Q762" t="n">
        <v>0</v>
      </c>
      <c r="R762" s="2" t="inlineStr"/>
    </row>
    <row r="763" ht="15" customHeight="1">
      <c r="A763" t="inlineStr">
        <is>
          <t>A 39775-2025</t>
        </is>
      </c>
      <c r="B763" s="1" t="n">
        <v>45891.46113425926</v>
      </c>
      <c r="C763" s="1" t="n">
        <v>46165</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18819-2025</t>
        </is>
      </c>
      <c r="B764" s="1" t="n">
        <v>45764.37483796296</v>
      </c>
      <c r="C764" s="1" t="n">
        <v>46165</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39771-2025</t>
        </is>
      </c>
      <c r="B765" s="1" t="n">
        <v>45891.45181712963</v>
      </c>
      <c r="C765" s="1" t="n">
        <v>46165</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35881-2025</t>
        </is>
      </c>
      <c r="B766" s="1" t="n">
        <v>45862.38577546296</v>
      </c>
      <c r="C766" s="1" t="n">
        <v>46165</v>
      </c>
      <c r="D766" t="inlineStr">
        <is>
          <t>VÄSTERNORRLANDS LÄN</t>
        </is>
      </c>
      <c r="E766" t="inlineStr">
        <is>
          <t>SUNDSVALL</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22529-2026</t>
        </is>
      </c>
      <c r="B767" s="1" t="n">
        <v>46155.46956018519</v>
      </c>
      <c r="C767" s="1" t="n">
        <v>46165</v>
      </c>
      <c r="D767" t="inlineStr">
        <is>
          <t>VÄSTERNORRLANDS LÄN</t>
        </is>
      </c>
      <c r="E767" t="inlineStr">
        <is>
          <t>SUNDSVALL</t>
        </is>
      </c>
      <c r="G767" t="n">
        <v>0.9</v>
      </c>
      <c r="H767" t="n">
        <v>0</v>
      </c>
      <c r="I767" t="n">
        <v>0</v>
      </c>
      <c r="J767" t="n">
        <v>0</v>
      </c>
      <c r="K767" t="n">
        <v>0</v>
      </c>
      <c r="L767" t="n">
        <v>0</v>
      </c>
      <c r="M767" t="n">
        <v>0</v>
      </c>
      <c r="N767" t="n">
        <v>0</v>
      </c>
      <c r="O767" t="n">
        <v>0</v>
      </c>
      <c r="P767" t="n">
        <v>0</v>
      </c>
      <c r="Q767" t="n">
        <v>0</v>
      </c>
      <c r="R767" s="2" t="inlineStr"/>
    </row>
    <row r="768" ht="15" customHeight="1">
      <c r="A768" t="inlineStr">
        <is>
          <t>A 22483-2026</t>
        </is>
      </c>
      <c r="B768" s="1" t="n">
        <v>46154</v>
      </c>
      <c r="C768" s="1" t="n">
        <v>46165</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39488-2025</t>
        </is>
      </c>
      <c r="B769" s="1" t="n">
        <v>45890.36520833334</v>
      </c>
      <c r="C769" s="1" t="n">
        <v>46165</v>
      </c>
      <c r="D769" t="inlineStr">
        <is>
          <t>VÄSTERNORRLANDS LÄN</t>
        </is>
      </c>
      <c r="E769" t="inlineStr">
        <is>
          <t>SUNDSVALL</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35926-2025</t>
        </is>
      </c>
      <c r="B770" s="1" t="n">
        <v>45862.59415509259</v>
      </c>
      <c r="C770" s="1" t="n">
        <v>46165</v>
      </c>
      <c r="D770" t="inlineStr">
        <is>
          <t>VÄSTERNORRLANDS LÄN</t>
        </is>
      </c>
      <c r="E770" t="inlineStr">
        <is>
          <t>SUNDSVALL</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22524-2026</t>
        </is>
      </c>
      <c r="B771" s="1" t="n">
        <v>46155.46799768518</v>
      </c>
      <c r="C771" s="1" t="n">
        <v>46165</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39760-2025</t>
        </is>
      </c>
      <c r="B772" s="1" t="n">
        <v>45891.43445601852</v>
      </c>
      <c r="C772" s="1" t="n">
        <v>46165</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39763-2025</t>
        </is>
      </c>
      <c r="B773" s="1" t="n">
        <v>45891.44114583333</v>
      </c>
      <c r="C773" s="1" t="n">
        <v>46165</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35927-2025</t>
        </is>
      </c>
      <c r="B774" s="1" t="n">
        <v>45862.5943287037</v>
      </c>
      <c r="C774" s="1" t="n">
        <v>46165</v>
      </c>
      <c r="D774" t="inlineStr">
        <is>
          <t>VÄSTERNORRLANDS LÄN</t>
        </is>
      </c>
      <c r="E774" t="inlineStr">
        <is>
          <t>SUNDSVALL</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39756-2025</t>
        </is>
      </c>
      <c r="B775" s="1" t="n">
        <v>45891.42266203704</v>
      </c>
      <c r="C775" s="1" t="n">
        <v>46165</v>
      </c>
      <c r="D775" t="inlineStr">
        <is>
          <t>VÄSTERNORRLANDS LÄN</t>
        </is>
      </c>
      <c r="E775" t="inlineStr">
        <is>
          <t>SUNDSVALL</t>
        </is>
      </c>
      <c r="G775" t="n">
        <v>6.1</v>
      </c>
      <c r="H775" t="n">
        <v>0</v>
      </c>
      <c r="I775" t="n">
        <v>0</v>
      </c>
      <c r="J775" t="n">
        <v>0</v>
      </c>
      <c r="K775" t="n">
        <v>0</v>
      </c>
      <c r="L775" t="n">
        <v>0</v>
      </c>
      <c r="M775" t="n">
        <v>0</v>
      </c>
      <c r="N775" t="n">
        <v>0</v>
      </c>
      <c r="O775" t="n">
        <v>0</v>
      </c>
      <c r="P775" t="n">
        <v>0</v>
      </c>
      <c r="Q775" t="n">
        <v>0</v>
      </c>
      <c r="R775" s="2" t="inlineStr"/>
    </row>
    <row r="776" ht="15" customHeight="1">
      <c r="A776" t="inlineStr">
        <is>
          <t>A 39757-2025</t>
        </is>
      </c>
      <c r="B776" s="1" t="n">
        <v>45891.42677083334</v>
      </c>
      <c r="C776" s="1" t="n">
        <v>46165</v>
      </c>
      <c r="D776" t="inlineStr">
        <is>
          <t>VÄSTERNORRLANDS LÄN</t>
        </is>
      </c>
      <c r="E776" t="inlineStr">
        <is>
          <t>SUNDSVALL</t>
        </is>
      </c>
      <c r="G776" t="n">
        <v>4.3</v>
      </c>
      <c r="H776" t="n">
        <v>0</v>
      </c>
      <c r="I776" t="n">
        <v>0</v>
      </c>
      <c r="J776" t="n">
        <v>0</v>
      </c>
      <c r="K776" t="n">
        <v>0</v>
      </c>
      <c r="L776" t="n">
        <v>0</v>
      </c>
      <c r="M776" t="n">
        <v>0</v>
      </c>
      <c r="N776" t="n">
        <v>0</v>
      </c>
      <c r="O776" t="n">
        <v>0</v>
      </c>
      <c r="P776" t="n">
        <v>0</v>
      </c>
      <c r="Q776" t="n">
        <v>0</v>
      </c>
      <c r="R776" s="2" t="inlineStr"/>
    </row>
    <row r="777" ht="15" customHeight="1">
      <c r="A777" t="inlineStr">
        <is>
          <t>A 35901-2025</t>
        </is>
      </c>
      <c r="B777" s="1" t="n">
        <v>45862.48984953704</v>
      </c>
      <c r="C777" s="1" t="n">
        <v>46165</v>
      </c>
      <c r="D777" t="inlineStr">
        <is>
          <t>VÄSTERNORRLANDS LÄN</t>
        </is>
      </c>
      <c r="E777" t="inlineStr">
        <is>
          <t>SUNDSVALL</t>
        </is>
      </c>
      <c r="G777" t="n">
        <v>5.9</v>
      </c>
      <c r="H777" t="n">
        <v>0</v>
      </c>
      <c r="I777" t="n">
        <v>0</v>
      </c>
      <c r="J777" t="n">
        <v>0</v>
      </c>
      <c r="K777" t="n">
        <v>0</v>
      </c>
      <c r="L777" t="n">
        <v>0</v>
      </c>
      <c r="M777" t="n">
        <v>0</v>
      </c>
      <c r="N777" t="n">
        <v>0</v>
      </c>
      <c r="O777" t="n">
        <v>0</v>
      </c>
      <c r="P777" t="n">
        <v>0</v>
      </c>
      <c r="Q777" t="n">
        <v>0</v>
      </c>
      <c r="R777" s="2" t="inlineStr"/>
    </row>
    <row r="778" ht="15" customHeight="1">
      <c r="A778" t="inlineStr">
        <is>
          <t>A 35942-2025</t>
        </is>
      </c>
      <c r="B778" s="1" t="n">
        <v>45862.6775</v>
      </c>
      <c r="C778" s="1" t="n">
        <v>46165</v>
      </c>
      <c r="D778" t="inlineStr">
        <is>
          <t>VÄSTERNORRLANDS LÄN</t>
        </is>
      </c>
      <c r="E778" t="inlineStr">
        <is>
          <t>SUNDSVALL</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16839-2026</t>
        </is>
      </c>
      <c r="B779" s="1" t="n">
        <v>46113.53362268519</v>
      </c>
      <c r="C779" s="1" t="n">
        <v>46165</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16840-2026</t>
        </is>
      </c>
      <c r="B780" s="1" t="n">
        <v>46113.53590277778</v>
      </c>
      <c r="C780" s="1" t="n">
        <v>46165</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35973-2025</t>
        </is>
      </c>
      <c r="B781" s="1" t="n">
        <v>45863.42748842593</v>
      </c>
      <c r="C781" s="1" t="n">
        <v>46165</v>
      </c>
      <c r="D781" t="inlineStr">
        <is>
          <t>VÄSTERNORRLANDS LÄN</t>
        </is>
      </c>
      <c r="E781" t="inlineStr">
        <is>
          <t>SUNDSVALL</t>
        </is>
      </c>
      <c r="F781" t="inlineStr">
        <is>
          <t>SCA</t>
        </is>
      </c>
      <c r="G781" t="n">
        <v>15.5</v>
      </c>
      <c r="H781" t="n">
        <v>0</v>
      </c>
      <c r="I781" t="n">
        <v>0</v>
      </c>
      <c r="J781" t="n">
        <v>0</v>
      </c>
      <c r="K781" t="n">
        <v>0</v>
      </c>
      <c r="L781" t="n">
        <v>0</v>
      </c>
      <c r="M781" t="n">
        <v>0</v>
      </c>
      <c r="N781" t="n">
        <v>0</v>
      </c>
      <c r="O781" t="n">
        <v>0</v>
      </c>
      <c r="P781" t="n">
        <v>0</v>
      </c>
      <c r="Q781" t="n">
        <v>0</v>
      </c>
      <c r="R781" s="2" t="inlineStr"/>
    </row>
    <row r="782" ht="15" customHeight="1">
      <c r="A782" t="inlineStr">
        <is>
          <t>A 39620-2025</t>
        </is>
      </c>
      <c r="B782" s="1" t="n">
        <v>45890.57363425926</v>
      </c>
      <c r="C782" s="1" t="n">
        <v>46165</v>
      </c>
      <c r="D782" t="inlineStr">
        <is>
          <t>VÄSTERNORRLANDS LÄN</t>
        </is>
      </c>
      <c r="E782" t="inlineStr">
        <is>
          <t>SUNDSVALL</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35979-2025</t>
        </is>
      </c>
      <c r="B783" s="1" t="n">
        <v>45863.44825231482</v>
      </c>
      <c r="C783" s="1" t="n">
        <v>46165</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39765-2025</t>
        </is>
      </c>
      <c r="B784" s="1" t="n">
        <v>45891.44422453704</v>
      </c>
      <c r="C784" s="1" t="n">
        <v>46165</v>
      </c>
      <c r="D784" t="inlineStr">
        <is>
          <t>VÄSTERNORRLANDS LÄN</t>
        </is>
      </c>
      <c r="E784" t="inlineStr">
        <is>
          <t>SUNDSVALL</t>
        </is>
      </c>
      <c r="G784" t="n">
        <v>2.7</v>
      </c>
      <c r="H784" t="n">
        <v>0</v>
      </c>
      <c r="I784" t="n">
        <v>0</v>
      </c>
      <c r="J784" t="n">
        <v>0</v>
      </c>
      <c r="K784" t="n">
        <v>0</v>
      </c>
      <c r="L784" t="n">
        <v>0</v>
      </c>
      <c r="M784" t="n">
        <v>0</v>
      </c>
      <c r="N784" t="n">
        <v>0</v>
      </c>
      <c r="O784" t="n">
        <v>0</v>
      </c>
      <c r="P784" t="n">
        <v>0</v>
      </c>
      <c r="Q784" t="n">
        <v>0</v>
      </c>
      <c r="R784" s="2" t="inlineStr"/>
    </row>
    <row r="785" ht="15" customHeight="1">
      <c r="A785" t="inlineStr">
        <is>
          <t>A 36073-2025</t>
        </is>
      </c>
      <c r="B785" s="1" t="n">
        <v>45866.4346412037</v>
      </c>
      <c r="C785" s="1" t="n">
        <v>46165</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17052-2026</t>
        </is>
      </c>
      <c r="B786" s="1" t="n">
        <v>46114.49002314815</v>
      </c>
      <c r="C786" s="1" t="n">
        <v>46165</v>
      </c>
      <c r="D786" t="inlineStr">
        <is>
          <t>VÄSTERNORRLANDS LÄN</t>
        </is>
      </c>
      <c r="E786" t="inlineStr">
        <is>
          <t>SUNDSVALL</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39914-2025</t>
        </is>
      </c>
      <c r="B787" s="1" t="n">
        <v>45891.65660879629</v>
      </c>
      <c r="C787" s="1" t="n">
        <v>46165</v>
      </c>
      <c r="D787" t="inlineStr">
        <is>
          <t>VÄSTERNORRLANDS LÄN</t>
        </is>
      </c>
      <c r="E787" t="inlineStr">
        <is>
          <t>SUNDSVALL</t>
        </is>
      </c>
      <c r="F787" t="inlineStr">
        <is>
          <t>SCA</t>
        </is>
      </c>
      <c r="G787" t="n">
        <v>5.1</v>
      </c>
      <c r="H787" t="n">
        <v>0</v>
      </c>
      <c r="I787" t="n">
        <v>0</v>
      </c>
      <c r="J787" t="n">
        <v>0</v>
      </c>
      <c r="K787" t="n">
        <v>0</v>
      </c>
      <c r="L787" t="n">
        <v>0</v>
      </c>
      <c r="M787" t="n">
        <v>0</v>
      </c>
      <c r="N787" t="n">
        <v>0</v>
      </c>
      <c r="O787" t="n">
        <v>0</v>
      </c>
      <c r="P787" t="n">
        <v>0</v>
      </c>
      <c r="Q787" t="n">
        <v>0</v>
      </c>
      <c r="R787" s="2" t="inlineStr"/>
    </row>
    <row r="788" ht="15" customHeight="1">
      <c r="A788" t="inlineStr">
        <is>
          <t>A 39758-2025</t>
        </is>
      </c>
      <c r="B788" s="1" t="n">
        <v>45891.43140046296</v>
      </c>
      <c r="C788" s="1" t="n">
        <v>46165</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39489-2025</t>
        </is>
      </c>
      <c r="B789" s="1" t="n">
        <v>45890.36534722222</v>
      </c>
      <c r="C789" s="1" t="n">
        <v>46165</v>
      </c>
      <c r="D789" t="inlineStr">
        <is>
          <t>VÄSTERNORRLANDS LÄN</t>
        </is>
      </c>
      <c r="E789" t="inlineStr">
        <is>
          <t>SUNDSVALL</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40465-2025</t>
        </is>
      </c>
      <c r="B790" s="1" t="n">
        <v>45895.65664351852</v>
      </c>
      <c r="C790" s="1" t="n">
        <v>46165</v>
      </c>
      <c r="D790" t="inlineStr">
        <is>
          <t>VÄSTERNORRLANDS LÄN</t>
        </is>
      </c>
      <c r="E790" t="inlineStr">
        <is>
          <t>SUNDSVALL</t>
        </is>
      </c>
      <c r="F790" t="inlineStr">
        <is>
          <t>Naturvårdsverket</t>
        </is>
      </c>
      <c r="G790" t="n">
        <v>3.3</v>
      </c>
      <c r="H790" t="n">
        <v>0</v>
      </c>
      <c r="I790" t="n">
        <v>0</v>
      </c>
      <c r="J790" t="n">
        <v>0</v>
      </c>
      <c r="K790" t="n">
        <v>0</v>
      </c>
      <c r="L790" t="n">
        <v>0</v>
      </c>
      <c r="M790" t="n">
        <v>0</v>
      </c>
      <c r="N790" t="n">
        <v>0</v>
      </c>
      <c r="O790" t="n">
        <v>0</v>
      </c>
      <c r="P790" t="n">
        <v>0</v>
      </c>
      <c r="Q790" t="n">
        <v>0</v>
      </c>
      <c r="R790" s="2" t="inlineStr"/>
    </row>
    <row r="791" ht="15" customHeight="1">
      <c r="A791" t="inlineStr">
        <is>
          <t>A 40451-2025</t>
        </is>
      </c>
      <c r="B791" s="1" t="n">
        <v>45895.6360300926</v>
      </c>
      <c r="C791" s="1" t="n">
        <v>46165</v>
      </c>
      <c r="D791" t="inlineStr">
        <is>
          <t>VÄSTERNORRLANDS LÄN</t>
        </is>
      </c>
      <c r="E791" t="inlineStr">
        <is>
          <t>SUNDSVALL</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7943-2022</t>
        </is>
      </c>
      <c r="B792" s="1" t="n">
        <v>44608</v>
      </c>
      <c r="C792" s="1" t="n">
        <v>46165</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36458-2025</t>
        </is>
      </c>
      <c r="B793" s="1" t="n">
        <v>45869.44858796296</v>
      </c>
      <c r="C793" s="1" t="n">
        <v>46165</v>
      </c>
      <c r="D793" t="inlineStr">
        <is>
          <t>VÄSTERNORRLANDS LÄN</t>
        </is>
      </c>
      <c r="E793" t="inlineStr">
        <is>
          <t>SUNDSVALL</t>
        </is>
      </c>
      <c r="G793" t="n">
        <v>9.6</v>
      </c>
      <c r="H793" t="n">
        <v>0</v>
      </c>
      <c r="I793" t="n">
        <v>0</v>
      </c>
      <c r="J793" t="n">
        <v>0</v>
      </c>
      <c r="K793" t="n">
        <v>0</v>
      </c>
      <c r="L793" t="n">
        <v>0</v>
      </c>
      <c r="M793" t="n">
        <v>0</v>
      </c>
      <c r="N793" t="n">
        <v>0</v>
      </c>
      <c r="O793" t="n">
        <v>0</v>
      </c>
      <c r="P793" t="n">
        <v>0</v>
      </c>
      <c r="Q793" t="n">
        <v>0</v>
      </c>
      <c r="R793" s="2" t="inlineStr"/>
    </row>
    <row r="794" ht="15" customHeight="1">
      <c r="A794" t="inlineStr">
        <is>
          <t>A 36329-2025</t>
        </is>
      </c>
      <c r="B794" s="1" t="n">
        <v>45868.42763888889</v>
      </c>
      <c r="C794" s="1" t="n">
        <v>46165</v>
      </c>
      <c r="D794" t="inlineStr">
        <is>
          <t>VÄSTERNORRLANDS LÄN</t>
        </is>
      </c>
      <c r="E794" t="inlineStr">
        <is>
          <t>SUNDSVALL</t>
        </is>
      </c>
      <c r="G794" t="n">
        <v>9.5</v>
      </c>
      <c r="H794" t="n">
        <v>0</v>
      </c>
      <c r="I794" t="n">
        <v>0</v>
      </c>
      <c r="J794" t="n">
        <v>0</v>
      </c>
      <c r="K794" t="n">
        <v>0</v>
      </c>
      <c r="L794" t="n">
        <v>0</v>
      </c>
      <c r="M794" t="n">
        <v>0</v>
      </c>
      <c r="N794" t="n">
        <v>0</v>
      </c>
      <c r="O794" t="n">
        <v>0</v>
      </c>
      <c r="P794" t="n">
        <v>0</v>
      </c>
      <c r="Q794" t="n">
        <v>0</v>
      </c>
      <c r="R794" s="2" t="inlineStr"/>
    </row>
    <row r="795" ht="15" customHeight="1">
      <c r="A795" t="inlineStr">
        <is>
          <t>A 36330-2025</t>
        </is>
      </c>
      <c r="B795" s="1" t="n">
        <v>45868.42768518518</v>
      </c>
      <c r="C795" s="1" t="n">
        <v>46165</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40178-2025</t>
        </is>
      </c>
      <c r="B796" s="1" t="n">
        <v>45894.6366087963</v>
      </c>
      <c r="C796" s="1" t="n">
        <v>46165</v>
      </c>
      <c r="D796" t="inlineStr">
        <is>
          <t>VÄSTERNORRLANDS LÄN</t>
        </is>
      </c>
      <c r="E796" t="inlineStr">
        <is>
          <t>SUNDSVALL</t>
        </is>
      </c>
      <c r="F796" t="inlineStr">
        <is>
          <t>Naturvårdsverket</t>
        </is>
      </c>
      <c r="G796" t="n">
        <v>4.6</v>
      </c>
      <c r="H796" t="n">
        <v>0</v>
      </c>
      <c r="I796" t="n">
        <v>0</v>
      </c>
      <c r="J796" t="n">
        <v>0</v>
      </c>
      <c r="K796" t="n">
        <v>0</v>
      </c>
      <c r="L796" t="n">
        <v>0</v>
      </c>
      <c r="M796" t="n">
        <v>0</v>
      </c>
      <c r="N796" t="n">
        <v>0</v>
      </c>
      <c r="O796" t="n">
        <v>0</v>
      </c>
      <c r="P796" t="n">
        <v>0</v>
      </c>
      <c r="Q796" t="n">
        <v>0</v>
      </c>
      <c r="R796" s="2" t="inlineStr"/>
    </row>
    <row r="797" ht="15" customHeight="1">
      <c r="A797" t="inlineStr">
        <is>
          <t>A 43419-2023</t>
        </is>
      </c>
      <c r="B797" s="1" t="n">
        <v>45183.95748842593</v>
      </c>
      <c r="C797" s="1" t="n">
        <v>46165</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17592-2025</t>
        </is>
      </c>
      <c r="B798" s="1" t="n">
        <v>45757.69828703703</v>
      </c>
      <c r="C798" s="1" t="n">
        <v>46165</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36743-2025</t>
        </is>
      </c>
      <c r="B799" s="1" t="n">
        <v>45873.53770833334</v>
      </c>
      <c r="C799" s="1" t="n">
        <v>46165</v>
      </c>
      <c r="D799" t="inlineStr">
        <is>
          <t>VÄSTERNORRLANDS LÄN</t>
        </is>
      </c>
      <c r="E799" t="inlineStr">
        <is>
          <t>SUNDSVALL</t>
        </is>
      </c>
      <c r="G799" t="n">
        <v>11.2</v>
      </c>
      <c r="H799" t="n">
        <v>0</v>
      </c>
      <c r="I799" t="n">
        <v>0</v>
      </c>
      <c r="J799" t="n">
        <v>0</v>
      </c>
      <c r="K799" t="n">
        <v>0</v>
      </c>
      <c r="L799" t="n">
        <v>0</v>
      </c>
      <c r="M799" t="n">
        <v>0</v>
      </c>
      <c r="N799" t="n">
        <v>0</v>
      </c>
      <c r="O799" t="n">
        <v>0</v>
      </c>
      <c r="P799" t="n">
        <v>0</v>
      </c>
      <c r="Q799" t="n">
        <v>0</v>
      </c>
      <c r="R799" s="2" t="inlineStr"/>
    </row>
    <row r="800" ht="15" customHeight="1">
      <c r="A800" t="inlineStr">
        <is>
          <t>A 32562-2023</t>
        </is>
      </c>
      <c r="B800" s="1" t="n">
        <v>45111</v>
      </c>
      <c r="C800" s="1" t="n">
        <v>46165</v>
      </c>
      <c r="D800" t="inlineStr">
        <is>
          <t>VÄSTERNORRLANDS LÄN</t>
        </is>
      </c>
      <c r="E800" t="inlineStr">
        <is>
          <t>SUNDSVALL</t>
        </is>
      </c>
      <c r="G800" t="n">
        <v>1.5</v>
      </c>
      <c r="H800" t="n">
        <v>0</v>
      </c>
      <c r="I800" t="n">
        <v>0</v>
      </c>
      <c r="J800" t="n">
        <v>0</v>
      </c>
      <c r="K800" t="n">
        <v>0</v>
      </c>
      <c r="L800" t="n">
        <v>0</v>
      </c>
      <c r="M800" t="n">
        <v>0</v>
      </c>
      <c r="N800" t="n">
        <v>0</v>
      </c>
      <c r="O800" t="n">
        <v>0</v>
      </c>
      <c r="P800" t="n">
        <v>0</v>
      </c>
      <c r="Q800" t="n">
        <v>0</v>
      </c>
      <c r="R800" s="2" t="inlineStr"/>
    </row>
    <row r="801" ht="15" customHeight="1">
      <c r="A801" t="inlineStr">
        <is>
          <t>A 40061-2025</t>
        </is>
      </c>
      <c r="B801" s="1" t="n">
        <v>45894.42767361111</v>
      </c>
      <c r="C801" s="1" t="n">
        <v>46165</v>
      </c>
      <c r="D801" t="inlineStr">
        <is>
          <t>VÄSTERNORRLANDS LÄN</t>
        </is>
      </c>
      <c r="E801" t="inlineStr">
        <is>
          <t>SUNDSVALL</t>
        </is>
      </c>
      <c r="F801" t="inlineStr">
        <is>
          <t>Naturvårdsverket</t>
        </is>
      </c>
      <c r="G801" t="n">
        <v>7.5</v>
      </c>
      <c r="H801" t="n">
        <v>0</v>
      </c>
      <c r="I801" t="n">
        <v>0</v>
      </c>
      <c r="J801" t="n">
        <v>0</v>
      </c>
      <c r="K801" t="n">
        <v>0</v>
      </c>
      <c r="L801" t="n">
        <v>0</v>
      </c>
      <c r="M801" t="n">
        <v>0</v>
      </c>
      <c r="N801" t="n">
        <v>0</v>
      </c>
      <c r="O801" t="n">
        <v>0</v>
      </c>
      <c r="P801" t="n">
        <v>0</v>
      </c>
      <c r="Q801" t="n">
        <v>0</v>
      </c>
      <c r="R801" s="2" t="inlineStr"/>
    </row>
    <row r="802" ht="15" customHeight="1">
      <c r="A802" t="inlineStr">
        <is>
          <t>A 40721-2025</t>
        </is>
      </c>
      <c r="B802" s="1" t="n">
        <v>45897.34497685185</v>
      </c>
      <c r="C802" s="1" t="n">
        <v>46165</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40810-2025</t>
        </is>
      </c>
      <c r="B803" s="1" t="n">
        <v>45897.46952546296</v>
      </c>
      <c r="C803" s="1" t="n">
        <v>46165</v>
      </c>
      <c r="D803" t="inlineStr">
        <is>
          <t>VÄSTERNORRLANDS LÄN</t>
        </is>
      </c>
      <c r="E803" t="inlineStr">
        <is>
          <t>SUNDSVALL</t>
        </is>
      </c>
      <c r="F803" t="inlineStr">
        <is>
          <t>SCA</t>
        </is>
      </c>
      <c r="G803" t="n">
        <v>13.9</v>
      </c>
      <c r="H803" t="n">
        <v>0</v>
      </c>
      <c r="I803" t="n">
        <v>0</v>
      </c>
      <c r="J803" t="n">
        <v>0</v>
      </c>
      <c r="K803" t="n">
        <v>0</v>
      </c>
      <c r="L803" t="n">
        <v>0</v>
      </c>
      <c r="M803" t="n">
        <v>0</v>
      </c>
      <c r="N803" t="n">
        <v>0</v>
      </c>
      <c r="O803" t="n">
        <v>0</v>
      </c>
      <c r="P803" t="n">
        <v>0</v>
      </c>
      <c r="Q803" t="n">
        <v>0</v>
      </c>
      <c r="R803" s="2" t="inlineStr"/>
    </row>
    <row r="804" ht="15" customHeight="1">
      <c r="A804" t="inlineStr">
        <is>
          <t>A 40833-2025</t>
        </is>
      </c>
      <c r="B804" s="1" t="n">
        <v>45897.51123842593</v>
      </c>
      <c r="C804" s="1" t="n">
        <v>46165</v>
      </c>
      <c r="D804" t="inlineStr">
        <is>
          <t>VÄSTERNORRLANDS LÄN</t>
        </is>
      </c>
      <c r="E804" t="inlineStr">
        <is>
          <t>SUNDSVALL</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40811-2025</t>
        </is>
      </c>
      <c r="B805" s="1" t="n">
        <v>45897</v>
      </c>
      <c r="C805" s="1" t="n">
        <v>46165</v>
      </c>
      <c r="D805" t="inlineStr">
        <is>
          <t>VÄSTERNORRLANDS LÄN</t>
        </is>
      </c>
      <c r="E805" t="inlineStr">
        <is>
          <t>SUNDSVALL</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3161-2022</t>
        </is>
      </c>
      <c r="B806" s="1" t="n">
        <v>44582.58618055555</v>
      </c>
      <c r="C806" s="1" t="n">
        <v>46165</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7959-2025</t>
        </is>
      </c>
      <c r="B807" s="1" t="n">
        <v>45707.43788194445</v>
      </c>
      <c r="C807" s="1" t="n">
        <v>46165</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40958-2025</t>
        </is>
      </c>
      <c r="B808" s="1" t="n">
        <v>45897.67865740741</v>
      </c>
      <c r="C808" s="1" t="n">
        <v>46165</v>
      </c>
      <c r="D808" t="inlineStr">
        <is>
          <t>VÄSTERNORRLANDS LÄN</t>
        </is>
      </c>
      <c r="E808" t="inlineStr">
        <is>
          <t>SUNDSVALL</t>
        </is>
      </c>
      <c r="F808" t="inlineStr">
        <is>
          <t>Naturvårdsverket</t>
        </is>
      </c>
      <c r="G808" t="n">
        <v>5.5</v>
      </c>
      <c r="H808" t="n">
        <v>0</v>
      </c>
      <c r="I808" t="n">
        <v>0</v>
      </c>
      <c r="J808" t="n">
        <v>0</v>
      </c>
      <c r="K808" t="n">
        <v>0</v>
      </c>
      <c r="L808" t="n">
        <v>0</v>
      </c>
      <c r="M808" t="n">
        <v>0</v>
      </c>
      <c r="N808" t="n">
        <v>0</v>
      </c>
      <c r="O808" t="n">
        <v>0</v>
      </c>
      <c r="P808" t="n">
        <v>0</v>
      </c>
      <c r="Q808" t="n">
        <v>0</v>
      </c>
      <c r="R808" s="2" t="inlineStr"/>
    </row>
    <row r="809" ht="15" customHeight="1">
      <c r="A809" t="inlineStr">
        <is>
          <t>A 40566-2025</t>
        </is>
      </c>
      <c r="B809" s="1" t="n">
        <v>45896.46934027778</v>
      </c>
      <c r="C809" s="1" t="n">
        <v>46165</v>
      </c>
      <c r="D809" t="inlineStr">
        <is>
          <t>VÄSTERNORRLANDS LÄN</t>
        </is>
      </c>
      <c r="E809" t="inlineStr">
        <is>
          <t>SUNDSVALL</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32970-2023</t>
        </is>
      </c>
      <c r="B810" s="1" t="n">
        <v>45113</v>
      </c>
      <c r="C810" s="1" t="n">
        <v>46165</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5362-2025</t>
        </is>
      </c>
      <c r="B811" s="1" t="n">
        <v>45692.57824074074</v>
      </c>
      <c r="C811" s="1" t="n">
        <v>46165</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40723-2025</t>
        </is>
      </c>
      <c r="B812" s="1" t="n">
        <v>45897.34502314815</v>
      </c>
      <c r="C812" s="1" t="n">
        <v>46165</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36667-2025</t>
        </is>
      </c>
      <c r="B813" s="1" t="n">
        <v>45873.381875</v>
      </c>
      <c r="C813" s="1" t="n">
        <v>46165</v>
      </c>
      <c r="D813" t="inlineStr">
        <is>
          <t>VÄSTERNORRLANDS LÄN</t>
        </is>
      </c>
      <c r="E813" t="inlineStr">
        <is>
          <t>SUNDSVALL</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40957-2025</t>
        </is>
      </c>
      <c r="B814" s="1" t="n">
        <v>45897.67841435185</v>
      </c>
      <c r="C814" s="1" t="n">
        <v>46165</v>
      </c>
      <c r="D814" t="inlineStr">
        <is>
          <t>VÄSTERNORRLANDS LÄN</t>
        </is>
      </c>
      <c r="E814" t="inlineStr">
        <is>
          <t>SUNDSVALL</t>
        </is>
      </c>
      <c r="F814" t="inlineStr">
        <is>
          <t>Naturvårdsverket</t>
        </is>
      </c>
      <c r="G814" t="n">
        <v>8.5</v>
      </c>
      <c r="H814" t="n">
        <v>0</v>
      </c>
      <c r="I814" t="n">
        <v>0</v>
      </c>
      <c r="J814" t="n">
        <v>0</v>
      </c>
      <c r="K814" t="n">
        <v>0</v>
      </c>
      <c r="L814" t="n">
        <v>0</v>
      </c>
      <c r="M814" t="n">
        <v>0</v>
      </c>
      <c r="N814" t="n">
        <v>0</v>
      </c>
      <c r="O814" t="n">
        <v>0</v>
      </c>
      <c r="P814" t="n">
        <v>0</v>
      </c>
      <c r="Q814" t="n">
        <v>0</v>
      </c>
      <c r="R814" s="2" t="inlineStr"/>
    </row>
    <row r="815" ht="15" customHeight="1">
      <c r="A815" t="inlineStr">
        <is>
          <t>A 36622-2025</t>
        </is>
      </c>
      <c r="B815" s="1" t="n">
        <v>45870.65707175926</v>
      </c>
      <c r="C815" s="1" t="n">
        <v>46165</v>
      </c>
      <c r="D815" t="inlineStr">
        <is>
          <t>VÄSTERNORRLANDS LÄN</t>
        </is>
      </c>
      <c r="E815" t="inlineStr">
        <is>
          <t>SUNDSVALL</t>
        </is>
      </c>
      <c r="F815" t="inlineStr">
        <is>
          <t>SCA</t>
        </is>
      </c>
      <c r="G815" t="n">
        <v>5.1</v>
      </c>
      <c r="H815" t="n">
        <v>0</v>
      </c>
      <c r="I815" t="n">
        <v>0</v>
      </c>
      <c r="J815" t="n">
        <v>0</v>
      </c>
      <c r="K815" t="n">
        <v>0</v>
      </c>
      <c r="L815" t="n">
        <v>0</v>
      </c>
      <c r="M815" t="n">
        <v>0</v>
      </c>
      <c r="N815" t="n">
        <v>0</v>
      </c>
      <c r="O815" t="n">
        <v>0</v>
      </c>
      <c r="P815" t="n">
        <v>0</v>
      </c>
      <c r="Q815" t="n">
        <v>0</v>
      </c>
      <c r="R815" s="2" t="inlineStr"/>
    </row>
    <row r="816" ht="15" customHeight="1">
      <c r="A816" t="inlineStr">
        <is>
          <t>A 56231-2023</t>
        </is>
      </c>
      <c r="B816" s="1" t="n">
        <v>45240.92366898148</v>
      </c>
      <c r="C816" s="1" t="n">
        <v>46165</v>
      </c>
      <c r="D816" t="inlineStr">
        <is>
          <t>VÄSTERNORRLANDS LÄN</t>
        </is>
      </c>
      <c r="E816" t="inlineStr">
        <is>
          <t>SUNDSVALL</t>
        </is>
      </c>
      <c r="G816" t="n">
        <v>18.4</v>
      </c>
      <c r="H816" t="n">
        <v>0</v>
      </c>
      <c r="I816" t="n">
        <v>0</v>
      </c>
      <c r="J816" t="n">
        <v>0</v>
      </c>
      <c r="K816" t="n">
        <v>0</v>
      </c>
      <c r="L816" t="n">
        <v>0</v>
      </c>
      <c r="M816" t="n">
        <v>0</v>
      </c>
      <c r="N816" t="n">
        <v>0</v>
      </c>
      <c r="O816" t="n">
        <v>0</v>
      </c>
      <c r="P816" t="n">
        <v>0</v>
      </c>
      <c r="Q816" t="n">
        <v>0</v>
      </c>
      <c r="R816" s="2" t="inlineStr"/>
    </row>
    <row r="817" ht="15" customHeight="1">
      <c r="A817" t="inlineStr">
        <is>
          <t>A 17340-2026</t>
        </is>
      </c>
      <c r="B817" s="1" t="n">
        <v>46119.63625</v>
      </c>
      <c r="C817" s="1" t="n">
        <v>46165</v>
      </c>
      <c r="D817" t="inlineStr">
        <is>
          <t>VÄSTERNORRLANDS LÄN</t>
        </is>
      </c>
      <c r="E817" t="inlineStr">
        <is>
          <t>SUNDSVALL</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40720-2025</t>
        </is>
      </c>
      <c r="B818" s="1" t="n">
        <v>45897.3449537037</v>
      </c>
      <c r="C818" s="1" t="n">
        <v>46165</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36772-2025</t>
        </is>
      </c>
      <c r="B819" s="1" t="n">
        <v>45873</v>
      </c>
      <c r="C819" s="1" t="n">
        <v>46165</v>
      </c>
      <c r="D819" t="inlineStr">
        <is>
          <t>VÄSTERNORRLANDS LÄN</t>
        </is>
      </c>
      <c r="E819" t="inlineStr">
        <is>
          <t>SUNDSVALL</t>
        </is>
      </c>
      <c r="G819" t="n">
        <v>1.9</v>
      </c>
      <c r="H819" t="n">
        <v>0</v>
      </c>
      <c r="I819" t="n">
        <v>0</v>
      </c>
      <c r="J819" t="n">
        <v>0</v>
      </c>
      <c r="K819" t="n">
        <v>0</v>
      </c>
      <c r="L819" t="n">
        <v>0</v>
      </c>
      <c r="M819" t="n">
        <v>0</v>
      </c>
      <c r="N819" t="n">
        <v>0</v>
      </c>
      <c r="O819" t="n">
        <v>0</v>
      </c>
      <c r="P819" t="n">
        <v>0</v>
      </c>
      <c r="Q819" t="n">
        <v>0</v>
      </c>
      <c r="R819" s="2" t="inlineStr"/>
    </row>
    <row r="820" ht="15" customHeight="1">
      <c r="A820" t="inlineStr">
        <is>
          <t>A 40655-2025</t>
        </is>
      </c>
      <c r="B820" s="1" t="n">
        <v>45896.63645833333</v>
      </c>
      <c r="C820" s="1" t="n">
        <v>46165</v>
      </c>
      <c r="D820" t="inlineStr">
        <is>
          <t>VÄSTERNORRLANDS LÄN</t>
        </is>
      </c>
      <c r="E820" t="inlineStr">
        <is>
          <t>SUNDSVALL</t>
        </is>
      </c>
      <c r="F820" t="inlineStr">
        <is>
          <t>Naturvårdsverket</t>
        </is>
      </c>
      <c r="G820" t="n">
        <v>2.5</v>
      </c>
      <c r="H820" t="n">
        <v>0</v>
      </c>
      <c r="I820" t="n">
        <v>0</v>
      </c>
      <c r="J820" t="n">
        <v>0</v>
      </c>
      <c r="K820" t="n">
        <v>0</v>
      </c>
      <c r="L820" t="n">
        <v>0</v>
      </c>
      <c r="M820" t="n">
        <v>0</v>
      </c>
      <c r="N820" t="n">
        <v>0</v>
      </c>
      <c r="O820" t="n">
        <v>0</v>
      </c>
      <c r="P820" t="n">
        <v>0</v>
      </c>
      <c r="Q820" t="n">
        <v>0</v>
      </c>
      <c r="R820" s="2" t="inlineStr"/>
    </row>
    <row r="821" ht="15" customHeight="1">
      <c r="A821" t="inlineStr">
        <is>
          <t>A 40565-2025</t>
        </is>
      </c>
      <c r="B821" s="1" t="n">
        <v>45896.46916666667</v>
      </c>
      <c r="C821" s="1" t="n">
        <v>46165</v>
      </c>
      <c r="D821" t="inlineStr">
        <is>
          <t>VÄSTERNORRLANDS LÄN</t>
        </is>
      </c>
      <c r="E821" t="inlineStr">
        <is>
          <t>SUNDSVALL</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40719-2025</t>
        </is>
      </c>
      <c r="B822" s="1" t="n">
        <v>45897.34493055556</v>
      </c>
      <c r="C822" s="1" t="n">
        <v>46165</v>
      </c>
      <c r="D822" t="inlineStr">
        <is>
          <t>VÄSTERNORRLANDS LÄN</t>
        </is>
      </c>
      <c r="E822" t="inlineStr">
        <is>
          <t>SUNDSVALL</t>
        </is>
      </c>
      <c r="G822" t="n">
        <v>0.2</v>
      </c>
      <c r="H822" t="n">
        <v>0</v>
      </c>
      <c r="I822" t="n">
        <v>0</v>
      </c>
      <c r="J822" t="n">
        <v>0</v>
      </c>
      <c r="K822" t="n">
        <v>0</v>
      </c>
      <c r="L822" t="n">
        <v>0</v>
      </c>
      <c r="M822" t="n">
        <v>0</v>
      </c>
      <c r="N822" t="n">
        <v>0</v>
      </c>
      <c r="O822" t="n">
        <v>0</v>
      </c>
      <c r="P822" t="n">
        <v>0</v>
      </c>
      <c r="Q822" t="n">
        <v>0</v>
      </c>
      <c r="R822" s="2" t="inlineStr"/>
    </row>
    <row r="823" ht="15" customHeight="1">
      <c r="A823" t="inlineStr">
        <is>
          <t>A 40722-2025</t>
        </is>
      </c>
      <c r="B823" s="1" t="n">
        <v>45897.345</v>
      </c>
      <c r="C823" s="1" t="n">
        <v>46165</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36885-2023</t>
        </is>
      </c>
      <c r="B824" s="1" t="n">
        <v>45154</v>
      </c>
      <c r="C824" s="1" t="n">
        <v>46165</v>
      </c>
      <c r="D824" t="inlineStr">
        <is>
          <t>VÄSTERNORRLANDS LÄN</t>
        </is>
      </c>
      <c r="E824" t="inlineStr">
        <is>
          <t>SUNDSVALL</t>
        </is>
      </c>
      <c r="G824" t="n">
        <v>0.8</v>
      </c>
      <c r="H824" t="n">
        <v>0</v>
      </c>
      <c r="I824" t="n">
        <v>0</v>
      </c>
      <c r="J824" t="n">
        <v>0</v>
      </c>
      <c r="K824" t="n">
        <v>0</v>
      </c>
      <c r="L824" t="n">
        <v>0</v>
      </c>
      <c r="M824" t="n">
        <v>0</v>
      </c>
      <c r="N824" t="n">
        <v>0</v>
      </c>
      <c r="O824" t="n">
        <v>0</v>
      </c>
      <c r="P824" t="n">
        <v>0</v>
      </c>
      <c r="Q824" t="n">
        <v>0</v>
      </c>
      <c r="R824" s="2" t="inlineStr"/>
    </row>
    <row r="825" ht="15" customHeight="1">
      <c r="A825" t="inlineStr">
        <is>
          <t>A 36971-2023</t>
        </is>
      </c>
      <c r="B825" s="1" t="n">
        <v>45154</v>
      </c>
      <c r="C825" s="1" t="n">
        <v>46165</v>
      </c>
      <c r="D825" t="inlineStr">
        <is>
          <t>VÄSTERNORRLANDS LÄN</t>
        </is>
      </c>
      <c r="E825" t="inlineStr">
        <is>
          <t>SUNDSVALL</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12986-2025</t>
        </is>
      </c>
      <c r="B826" s="1" t="n">
        <v>45734.46916666667</v>
      </c>
      <c r="C826" s="1" t="n">
        <v>46165</v>
      </c>
      <c r="D826" t="inlineStr">
        <is>
          <t>VÄSTERNORRLANDS LÄN</t>
        </is>
      </c>
      <c r="E826" t="inlineStr">
        <is>
          <t>SUNDSVALL</t>
        </is>
      </c>
      <c r="F826" t="inlineStr">
        <is>
          <t>SCA</t>
        </is>
      </c>
      <c r="G826" t="n">
        <v>29.3</v>
      </c>
      <c r="H826" t="n">
        <v>0</v>
      </c>
      <c r="I826" t="n">
        <v>0</v>
      </c>
      <c r="J826" t="n">
        <v>0</v>
      </c>
      <c r="K826" t="n">
        <v>0</v>
      </c>
      <c r="L826" t="n">
        <v>0</v>
      </c>
      <c r="M826" t="n">
        <v>0</v>
      </c>
      <c r="N826" t="n">
        <v>0</v>
      </c>
      <c r="O826" t="n">
        <v>0</v>
      </c>
      <c r="P826" t="n">
        <v>0</v>
      </c>
      <c r="Q826" t="n">
        <v>0</v>
      </c>
      <c r="R826" s="2" t="inlineStr"/>
    </row>
    <row r="827" ht="15" customHeight="1">
      <c r="A827" t="inlineStr">
        <is>
          <t>A 31185-2025</t>
        </is>
      </c>
      <c r="B827" s="1" t="n">
        <v>45832.67805555555</v>
      </c>
      <c r="C827" s="1" t="n">
        <v>46165</v>
      </c>
      <c r="D827" t="inlineStr">
        <is>
          <t>VÄSTERNORRLANDS LÄN</t>
        </is>
      </c>
      <c r="E827" t="inlineStr">
        <is>
          <t>SUNDSVALL</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64254-2023</t>
        </is>
      </c>
      <c r="B828" s="1" t="n">
        <v>45279</v>
      </c>
      <c r="C828" s="1" t="n">
        <v>46165</v>
      </c>
      <c r="D828" t="inlineStr">
        <is>
          <t>VÄSTERNORRLANDS LÄN</t>
        </is>
      </c>
      <c r="E828" t="inlineStr">
        <is>
          <t>SUNDSVALL</t>
        </is>
      </c>
      <c r="G828" t="n">
        <v>2.4</v>
      </c>
      <c r="H828" t="n">
        <v>0</v>
      </c>
      <c r="I828" t="n">
        <v>0</v>
      </c>
      <c r="J828" t="n">
        <v>0</v>
      </c>
      <c r="K828" t="n">
        <v>0</v>
      </c>
      <c r="L828" t="n">
        <v>0</v>
      </c>
      <c r="M828" t="n">
        <v>0</v>
      </c>
      <c r="N828" t="n">
        <v>0</v>
      </c>
      <c r="O828" t="n">
        <v>0</v>
      </c>
      <c r="P828" t="n">
        <v>0</v>
      </c>
      <c r="Q828" t="n">
        <v>0</v>
      </c>
      <c r="R828" s="2" t="inlineStr"/>
    </row>
    <row r="829" ht="15" customHeight="1">
      <c r="A829" t="inlineStr">
        <is>
          <t>A 17226-2026</t>
        </is>
      </c>
      <c r="B829" s="1" t="n">
        <v>46119</v>
      </c>
      <c r="C829" s="1" t="n">
        <v>46165</v>
      </c>
      <c r="D829" t="inlineStr">
        <is>
          <t>VÄSTERNORRLANDS LÄN</t>
        </is>
      </c>
      <c r="E829" t="inlineStr">
        <is>
          <t>SUNDSVALL</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40988-2025</t>
        </is>
      </c>
      <c r="B830" s="1" t="n">
        <v>45898.31621527778</v>
      </c>
      <c r="C830" s="1" t="n">
        <v>46165</v>
      </c>
      <c r="D830" t="inlineStr">
        <is>
          <t>VÄSTERNORRLANDS LÄN</t>
        </is>
      </c>
      <c r="E830" t="inlineStr">
        <is>
          <t>SUNDSVALL</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36546-2025</t>
        </is>
      </c>
      <c r="B831" s="1" t="n">
        <v>45869.69824074074</v>
      </c>
      <c r="C831" s="1" t="n">
        <v>46165</v>
      </c>
      <c r="D831" t="inlineStr">
        <is>
          <t>VÄSTERNORRLANDS LÄN</t>
        </is>
      </c>
      <c r="E831" t="inlineStr">
        <is>
          <t>SUNDSVALL</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41144-2025</t>
        </is>
      </c>
      <c r="B832" s="1" t="n">
        <v>45898</v>
      </c>
      <c r="C832" s="1" t="n">
        <v>46165</v>
      </c>
      <c r="D832" t="inlineStr">
        <is>
          <t>VÄSTERNORRLANDS LÄN</t>
        </is>
      </c>
      <c r="E832" t="inlineStr">
        <is>
          <t>SUNDSVALL</t>
        </is>
      </c>
      <c r="G832" t="n">
        <v>12.3</v>
      </c>
      <c r="H832" t="n">
        <v>0</v>
      </c>
      <c r="I832" t="n">
        <v>0</v>
      </c>
      <c r="J832" t="n">
        <v>0</v>
      </c>
      <c r="K832" t="n">
        <v>0</v>
      </c>
      <c r="L832" t="n">
        <v>0</v>
      </c>
      <c r="M832" t="n">
        <v>0</v>
      </c>
      <c r="N832" t="n">
        <v>0</v>
      </c>
      <c r="O832" t="n">
        <v>0</v>
      </c>
      <c r="P832" t="n">
        <v>0</v>
      </c>
      <c r="Q832" t="n">
        <v>0</v>
      </c>
      <c r="R832" s="2" t="inlineStr"/>
    </row>
    <row r="833" ht="15" customHeight="1">
      <c r="A833" t="inlineStr">
        <is>
          <t>A 15712-2022</t>
        </is>
      </c>
      <c r="B833" s="1" t="n">
        <v>44663</v>
      </c>
      <c r="C833" s="1" t="n">
        <v>46165</v>
      </c>
      <c r="D833" t="inlineStr">
        <is>
          <t>VÄSTERNORRLANDS LÄN</t>
        </is>
      </c>
      <c r="E833" t="inlineStr">
        <is>
          <t>SUNDSVALL</t>
        </is>
      </c>
      <c r="G833" t="n">
        <v>0.9</v>
      </c>
      <c r="H833" t="n">
        <v>0</v>
      </c>
      <c r="I833" t="n">
        <v>0</v>
      </c>
      <c r="J833" t="n">
        <v>0</v>
      </c>
      <c r="K833" t="n">
        <v>0</v>
      </c>
      <c r="L833" t="n">
        <v>0</v>
      </c>
      <c r="M833" t="n">
        <v>0</v>
      </c>
      <c r="N833" t="n">
        <v>0</v>
      </c>
      <c r="O833" t="n">
        <v>0</v>
      </c>
      <c r="P833" t="n">
        <v>0</v>
      </c>
      <c r="Q833" t="n">
        <v>0</v>
      </c>
      <c r="R833" s="2" t="inlineStr"/>
    </row>
    <row r="834" ht="15" customHeight="1">
      <c r="A834" t="inlineStr">
        <is>
          <t>A 37003-2025</t>
        </is>
      </c>
      <c r="B834" s="1" t="n">
        <v>45874.68918981482</v>
      </c>
      <c r="C834" s="1" t="n">
        <v>46165</v>
      </c>
      <c r="D834" t="inlineStr">
        <is>
          <t>VÄSTERNORRLANDS LÄN</t>
        </is>
      </c>
      <c r="E834" t="inlineStr">
        <is>
          <t>SUNDSVALL</t>
        </is>
      </c>
      <c r="G834" t="n">
        <v>2.5</v>
      </c>
      <c r="H834" t="n">
        <v>0</v>
      </c>
      <c r="I834" t="n">
        <v>0</v>
      </c>
      <c r="J834" t="n">
        <v>0</v>
      </c>
      <c r="K834" t="n">
        <v>0</v>
      </c>
      <c r="L834" t="n">
        <v>0</v>
      </c>
      <c r="M834" t="n">
        <v>0</v>
      </c>
      <c r="N834" t="n">
        <v>0</v>
      </c>
      <c r="O834" t="n">
        <v>0</v>
      </c>
      <c r="P834" t="n">
        <v>0</v>
      </c>
      <c r="Q834" t="n">
        <v>0</v>
      </c>
      <c r="R834" s="2" t="inlineStr"/>
    </row>
    <row r="835" ht="15" customHeight="1">
      <c r="A835" t="inlineStr">
        <is>
          <t>A 36972-2025</t>
        </is>
      </c>
      <c r="B835" s="1" t="n">
        <v>45874.63732638889</v>
      </c>
      <c r="C835" s="1" t="n">
        <v>46165</v>
      </c>
      <c r="D835" t="inlineStr">
        <is>
          <t>VÄSTERNORRLANDS LÄN</t>
        </is>
      </c>
      <c r="E835" t="inlineStr">
        <is>
          <t>SUNDSVALL</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37114-2025</t>
        </is>
      </c>
      <c r="B836" s="1" t="n">
        <v>45875.5112037037</v>
      </c>
      <c r="C836" s="1" t="n">
        <v>46165</v>
      </c>
      <c r="D836" t="inlineStr">
        <is>
          <t>VÄSTERNORRLANDS LÄN</t>
        </is>
      </c>
      <c r="E836" t="inlineStr">
        <is>
          <t>SUNDSVALL</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37081-2025</t>
        </is>
      </c>
      <c r="B837" s="1" t="n">
        <v>45875.43229166666</v>
      </c>
      <c r="C837" s="1" t="n">
        <v>46165</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17316-2026</t>
        </is>
      </c>
      <c r="B838" s="1" t="n">
        <v>46119</v>
      </c>
      <c r="C838" s="1" t="n">
        <v>46165</v>
      </c>
      <c r="D838" t="inlineStr">
        <is>
          <t>VÄSTERNORRLANDS LÄN</t>
        </is>
      </c>
      <c r="E838" t="inlineStr">
        <is>
          <t>SUNDSVALL</t>
        </is>
      </c>
      <c r="G838" t="n">
        <v>2.1</v>
      </c>
      <c r="H838" t="n">
        <v>0</v>
      </c>
      <c r="I838" t="n">
        <v>0</v>
      </c>
      <c r="J838" t="n">
        <v>0</v>
      </c>
      <c r="K838" t="n">
        <v>0</v>
      </c>
      <c r="L838" t="n">
        <v>0</v>
      </c>
      <c r="M838" t="n">
        <v>0</v>
      </c>
      <c r="N838" t="n">
        <v>0</v>
      </c>
      <c r="O838" t="n">
        <v>0</v>
      </c>
      <c r="P838" t="n">
        <v>0</v>
      </c>
      <c r="Q838" t="n">
        <v>0</v>
      </c>
      <c r="R838" s="2" t="inlineStr"/>
    </row>
    <row r="839" ht="15" customHeight="1">
      <c r="A839" t="inlineStr">
        <is>
          <t>A 41505-2025</t>
        </is>
      </c>
      <c r="B839" s="1" t="n">
        <v>45901.52425925926</v>
      </c>
      <c r="C839" s="1" t="n">
        <v>46165</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37009-2025</t>
        </is>
      </c>
      <c r="B840" s="1" t="n">
        <v>45874.70120370371</v>
      </c>
      <c r="C840" s="1" t="n">
        <v>46165</v>
      </c>
      <c r="D840" t="inlineStr">
        <is>
          <t>VÄSTERNORRLANDS LÄN</t>
        </is>
      </c>
      <c r="E840" t="inlineStr">
        <is>
          <t>SUNDSVALL</t>
        </is>
      </c>
      <c r="G840" t="n">
        <v>2.2</v>
      </c>
      <c r="H840" t="n">
        <v>0</v>
      </c>
      <c r="I840" t="n">
        <v>0</v>
      </c>
      <c r="J840" t="n">
        <v>0</v>
      </c>
      <c r="K840" t="n">
        <v>0</v>
      </c>
      <c r="L840" t="n">
        <v>0</v>
      </c>
      <c r="M840" t="n">
        <v>0</v>
      </c>
      <c r="N840" t="n">
        <v>0</v>
      </c>
      <c r="O840" t="n">
        <v>0</v>
      </c>
      <c r="P840" t="n">
        <v>0</v>
      </c>
      <c r="Q840" t="n">
        <v>0</v>
      </c>
      <c r="R840" s="2" t="inlineStr"/>
    </row>
    <row r="841" ht="15" customHeight="1">
      <c r="A841" t="inlineStr">
        <is>
          <t>A 41944-2025</t>
        </is>
      </c>
      <c r="B841" s="1" t="n">
        <v>45903</v>
      </c>
      <c r="C841" s="1" t="n">
        <v>46165</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17243-2026</t>
        </is>
      </c>
      <c r="B842" s="1" t="n">
        <v>46119.42773148148</v>
      </c>
      <c r="C842" s="1" t="n">
        <v>46165</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37001-2025</t>
        </is>
      </c>
      <c r="B843" s="1" t="n">
        <v>45874.68542824074</v>
      </c>
      <c r="C843" s="1" t="n">
        <v>46165</v>
      </c>
      <c r="D843" t="inlineStr">
        <is>
          <t>VÄSTERNORRLANDS LÄN</t>
        </is>
      </c>
      <c r="E843" t="inlineStr">
        <is>
          <t>SUNDSVALL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37113-2025</t>
        </is>
      </c>
      <c r="B844" s="1" t="n">
        <v>45875.51104166666</v>
      </c>
      <c r="C844" s="1" t="n">
        <v>46165</v>
      </c>
      <c r="D844" t="inlineStr">
        <is>
          <t>VÄSTERNORRLANDS LÄN</t>
        </is>
      </c>
      <c r="E844" t="inlineStr">
        <is>
          <t>SUNDSVALL</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21998-2023</t>
        </is>
      </c>
      <c r="B845" s="1" t="n">
        <v>45068</v>
      </c>
      <c r="C845" s="1" t="n">
        <v>46165</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37205-2025</t>
        </is>
      </c>
      <c r="B846" s="1" t="n">
        <v>45875.69844907407</v>
      </c>
      <c r="C846" s="1" t="n">
        <v>46165</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1573-2023</t>
        </is>
      </c>
      <c r="B847" s="1" t="n">
        <v>44937.61605324074</v>
      </c>
      <c r="C847" s="1" t="n">
        <v>46165</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23157-2026</t>
        </is>
      </c>
      <c r="B848" s="1" t="n">
        <v>46161.64462962963</v>
      </c>
      <c r="C848" s="1" t="n">
        <v>46165</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40999-2025</t>
        </is>
      </c>
      <c r="B849" s="1" t="n">
        <v>45898.34481481482</v>
      </c>
      <c r="C849" s="1" t="n">
        <v>46165</v>
      </c>
      <c r="D849" t="inlineStr">
        <is>
          <t>VÄSTERNORRLANDS LÄN</t>
        </is>
      </c>
      <c r="E849" t="inlineStr">
        <is>
          <t>SUNDSVALL</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41014-2025</t>
        </is>
      </c>
      <c r="B850" s="1" t="n">
        <v>45898.35866898148</v>
      </c>
      <c r="C850" s="1" t="n">
        <v>46165</v>
      </c>
      <c r="D850" t="inlineStr">
        <is>
          <t>VÄSTERNORRLANDS LÄN</t>
        </is>
      </c>
      <c r="E850" t="inlineStr">
        <is>
          <t>SUNDSVALL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36950-2025</t>
        </is>
      </c>
      <c r="B851" s="1" t="n">
        <v>45874.60196759259</v>
      </c>
      <c r="C851" s="1" t="n">
        <v>46165</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37080-2025</t>
        </is>
      </c>
      <c r="B852" s="1" t="n">
        <v>45875.42811342593</v>
      </c>
      <c r="C852" s="1" t="n">
        <v>46165</v>
      </c>
      <c r="D852" t="inlineStr">
        <is>
          <t>VÄSTERNORRLANDS LÄN</t>
        </is>
      </c>
      <c r="E852" t="inlineStr">
        <is>
          <t>SUNDSVALL</t>
        </is>
      </c>
      <c r="G852" t="n">
        <v>0.9</v>
      </c>
      <c r="H852" t="n">
        <v>0</v>
      </c>
      <c r="I852" t="n">
        <v>0</v>
      </c>
      <c r="J852" t="n">
        <v>0</v>
      </c>
      <c r="K852" t="n">
        <v>0</v>
      </c>
      <c r="L852" t="n">
        <v>0</v>
      </c>
      <c r="M852" t="n">
        <v>0</v>
      </c>
      <c r="N852" t="n">
        <v>0</v>
      </c>
      <c r="O852" t="n">
        <v>0</v>
      </c>
      <c r="P852" t="n">
        <v>0</v>
      </c>
      <c r="Q852" t="n">
        <v>0</v>
      </c>
      <c r="R852" s="2" t="inlineStr"/>
    </row>
    <row r="853" ht="15" customHeight="1">
      <c r="A853" t="inlineStr">
        <is>
          <t>A 17341-2026</t>
        </is>
      </c>
      <c r="B853" s="1" t="n">
        <v>46119.63667824074</v>
      </c>
      <c r="C853" s="1" t="n">
        <v>46165</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52252-2025</t>
        </is>
      </c>
      <c r="B854" s="1" t="n">
        <v>45953.49189814815</v>
      </c>
      <c r="C854" s="1" t="n">
        <v>46165</v>
      </c>
      <c r="D854" t="inlineStr">
        <is>
          <t>VÄSTERNORRLANDS LÄN</t>
        </is>
      </c>
      <c r="E854" t="inlineStr">
        <is>
          <t>SUNDSVALL</t>
        </is>
      </c>
      <c r="G854" t="n">
        <v>6.4</v>
      </c>
      <c r="H854" t="n">
        <v>0</v>
      </c>
      <c r="I854" t="n">
        <v>0</v>
      </c>
      <c r="J854" t="n">
        <v>0</v>
      </c>
      <c r="K854" t="n">
        <v>0</v>
      </c>
      <c r="L854" t="n">
        <v>0</v>
      </c>
      <c r="M854" t="n">
        <v>0</v>
      </c>
      <c r="N854" t="n">
        <v>0</v>
      </c>
      <c r="O854" t="n">
        <v>0</v>
      </c>
      <c r="P854" t="n">
        <v>0</v>
      </c>
      <c r="Q854" t="n">
        <v>0</v>
      </c>
      <c r="R854" s="2" t="inlineStr"/>
    </row>
    <row r="855" ht="15" customHeight="1">
      <c r="A855" t="inlineStr">
        <is>
          <t>A 36946-2025</t>
        </is>
      </c>
      <c r="B855" s="1" t="n">
        <v>45874.59483796296</v>
      </c>
      <c r="C855" s="1" t="n">
        <v>46165</v>
      </c>
      <c r="D855" t="inlineStr">
        <is>
          <t>VÄSTERNORRLANDS LÄN</t>
        </is>
      </c>
      <c r="E855" t="inlineStr">
        <is>
          <t>SUNDSVALL</t>
        </is>
      </c>
      <c r="F855" t="inlineStr">
        <is>
          <t>SCA</t>
        </is>
      </c>
      <c r="G855" t="n">
        <v>7</v>
      </c>
      <c r="H855" t="n">
        <v>0</v>
      </c>
      <c r="I855" t="n">
        <v>0</v>
      </c>
      <c r="J855" t="n">
        <v>0</v>
      </c>
      <c r="K855" t="n">
        <v>0</v>
      </c>
      <c r="L855" t="n">
        <v>0</v>
      </c>
      <c r="M855" t="n">
        <v>0</v>
      </c>
      <c r="N855" t="n">
        <v>0</v>
      </c>
      <c r="O855" t="n">
        <v>0</v>
      </c>
      <c r="P855" t="n">
        <v>0</v>
      </c>
      <c r="Q855" t="n">
        <v>0</v>
      </c>
      <c r="R855" s="2" t="inlineStr"/>
    </row>
    <row r="856" ht="15" customHeight="1">
      <c r="A856" t="inlineStr">
        <is>
          <t>A 36755-2025</t>
        </is>
      </c>
      <c r="B856" s="1" t="n">
        <v>45873.56207175926</v>
      </c>
      <c r="C856" s="1" t="n">
        <v>46165</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37165-2025</t>
        </is>
      </c>
      <c r="B857" s="1" t="n">
        <v>45875.60496527778</v>
      </c>
      <c r="C857" s="1" t="n">
        <v>46165</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41405-2025</t>
        </is>
      </c>
      <c r="B858" s="1" t="n">
        <v>45901.34476851852</v>
      </c>
      <c r="C858" s="1" t="n">
        <v>46165</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50737-2024</t>
        </is>
      </c>
      <c r="B859" s="1" t="n">
        <v>45602.39856481482</v>
      </c>
      <c r="C859" s="1" t="n">
        <v>46165</v>
      </c>
      <c r="D859" t="inlineStr">
        <is>
          <t>VÄSTERNORRLANDS LÄN</t>
        </is>
      </c>
      <c r="E859" t="inlineStr">
        <is>
          <t>SUNDSVALL</t>
        </is>
      </c>
      <c r="G859" t="n">
        <v>2.8</v>
      </c>
      <c r="H859" t="n">
        <v>0</v>
      </c>
      <c r="I859" t="n">
        <v>0</v>
      </c>
      <c r="J859" t="n">
        <v>0</v>
      </c>
      <c r="K859" t="n">
        <v>0</v>
      </c>
      <c r="L859" t="n">
        <v>0</v>
      </c>
      <c r="M859" t="n">
        <v>0</v>
      </c>
      <c r="N859" t="n">
        <v>0</v>
      </c>
      <c r="O859" t="n">
        <v>0</v>
      </c>
      <c r="P859" t="n">
        <v>0</v>
      </c>
      <c r="Q859" t="n">
        <v>0</v>
      </c>
      <c r="R859" s="2" t="inlineStr"/>
    </row>
    <row r="860" ht="15" customHeight="1">
      <c r="A860" t="inlineStr">
        <is>
          <t>A 41509-2025</t>
        </is>
      </c>
      <c r="B860" s="1" t="n">
        <v>45901.53246527778</v>
      </c>
      <c r="C860" s="1" t="n">
        <v>46165</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23178-2026</t>
        </is>
      </c>
      <c r="B861" s="1" t="n">
        <v>46161.67763888889</v>
      </c>
      <c r="C861" s="1" t="n">
        <v>46165</v>
      </c>
      <c r="D861" t="inlineStr">
        <is>
          <t>VÄSTERNORRLANDS LÄN</t>
        </is>
      </c>
      <c r="E861" t="inlineStr">
        <is>
          <t>SUNDSVALL</t>
        </is>
      </c>
      <c r="F861" t="inlineStr">
        <is>
          <t>Naturvårdsverket</t>
        </is>
      </c>
      <c r="G861" t="n">
        <v>4.5</v>
      </c>
      <c r="H861" t="n">
        <v>0</v>
      </c>
      <c r="I861" t="n">
        <v>0</v>
      </c>
      <c r="J861" t="n">
        <v>0</v>
      </c>
      <c r="K861" t="n">
        <v>0</v>
      </c>
      <c r="L861" t="n">
        <v>0</v>
      </c>
      <c r="M861" t="n">
        <v>0</v>
      </c>
      <c r="N861" t="n">
        <v>0</v>
      </c>
      <c r="O861" t="n">
        <v>0</v>
      </c>
      <c r="P861" t="n">
        <v>0</v>
      </c>
      <c r="Q861" t="n">
        <v>0</v>
      </c>
      <c r="R861" s="2" t="inlineStr"/>
    </row>
    <row r="862" ht="15" customHeight="1">
      <c r="A862" t="inlineStr">
        <is>
          <t>A 19805-2025</t>
        </is>
      </c>
      <c r="B862" s="1" t="n">
        <v>45771</v>
      </c>
      <c r="C862" s="1" t="n">
        <v>46165</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41883-2025</t>
        </is>
      </c>
      <c r="B863" s="1" t="n">
        <v>45903.36512731481</v>
      </c>
      <c r="C863" s="1" t="n">
        <v>46165</v>
      </c>
      <c r="D863" t="inlineStr">
        <is>
          <t>VÄSTERNORRLANDS LÄN</t>
        </is>
      </c>
      <c r="E863" t="inlineStr">
        <is>
          <t>SUNDSVALL</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37329-2025</t>
        </is>
      </c>
      <c r="B864" s="1" t="n">
        <v>45876</v>
      </c>
      <c r="C864" s="1" t="n">
        <v>46165</v>
      </c>
      <c r="D864" t="inlineStr">
        <is>
          <t>VÄSTERNORRLANDS LÄN</t>
        </is>
      </c>
      <c r="E864" t="inlineStr">
        <is>
          <t>SUNDSVALL</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42024-2025</t>
        </is>
      </c>
      <c r="B865" s="1" t="n">
        <v>45903.59418981482</v>
      </c>
      <c r="C865" s="1" t="n">
        <v>46165</v>
      </c>
      <c r="D865" t="inlineStr">
        <is>
          <t>VÄSTERNORRLANDS LÄN</t>
        </is>
      </c>
      <c r="E865" t="inlineStr">
        <is>
          <t>SUNDSVALL</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42000-2025</t>
        </is>
      </c>
      <c r="B866" s="1" t="n">
        <v>45903.55262731481</v>
      </c>
      <c r="C866" s="1" t="n">
        <v>46165</v>
      </c>
      <c r="D866" t="inlineStr">
        <is>
          <t>VÄSTERNORRLANDS LÄN</t>
        </is>
      </c>
      <c r="E866" t="inlineStr">
        <is>
          <t>SUNDSVALL</t>
        </is>
      </c>
      <c r="G866" t="n">
        <v>4.4</v>
      </c>
      <c r="H866" t="n">
        <v>0</v>
      </c>
      <c r="I866" t="n">
        <v>0</v>
      </c>
      <c r="J866" t="n">
        <v>0</v>
      </c>
      <c r="K866" t="n">
        <v>0</v>
      </c>
      <c r="L866" t="n">
        <v>0</v>
      </c>
      <c r="M866" t="n">
        <v>0</v>
      </c>
      <c r="N866" t="n">
        <v>0</v>
      </c>
      <c r="O866" t="n">
        <v>0</v>
      </c>
      <c r="P866" t="n">
        <v>0</v>
      </c>
      <c r="Q866" t="n">
        <v>0</v>
      </c>
      <c r="R866" s="2" t="inlineStr"/>
    </row>
    <row r="867" ht="15" customHeight="1">
      <c r="A867" t="inlineStr">
        <is>
          <t>A 23803-2026</t>
        </is>
      </c>
      <c r="B867" s="1" t="n">
        <v>46164.63174768518</v>
      </c>
      <c r="C867" s="1" t="n">
        <v>46165</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41696-2025</t>
        </is>
      </c>
      <c r="B868" s="1" t="n">
        <v>45902.40671296296</v>
      </c>
      <c r="C868" s="1" t="n">
        <v>46165</v>
      </c>
      <c r="D868" t="inlineStr">
        <is>
          <t>VÄSTERNORRLANDS LÄN</t>
        </is>
      </c>
      <c r="E868" t="inlineStr">
        <is>
          <t>SUNDSVALL</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41673-2025</t>
        </is>
      </c>
      <c r="B869" s="1" t="n">
        <v>45902.3650462963</v>
      </c>
      <c r="C869" s="1" t="n">
        <v>46165</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36971-2025</t>
        </is>
      </c>
      <c r="B870" s="1" t="n">
        <v>45874.6371875</v>
      </c>
      <c r="C870" s="1" t="n">
        <v>46165</v>
      </c>
      <c r="D870" t="inlineStr">
        <is>
          <t>VÄSTERNORRLANDS LÄN</t>
        </is>
      </c>
      <c r="E870" t="inlineStr">
        <is>
          <t>SUNDSVALL</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41999-2025</t>
        </is>
      </c>
      <c r="B871" s="1" t="n">
        <v>45903.55244212963</v>
      </c>
      <c r="C871" s="1" t="n">
        <v>46165</v>
      </c>
      <c r="D871" t="inlineStr">
        <is>
          <t>VÄSTERNORRLANDS LÄN</t>
        </is>
      </c>
      <c r="E871" t="inlineStr">
        <is>
          <t>SUNDSVALL</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41774-2025</t>
        </is>
      </c>
      <c r="B872" s="1" t="n">
        <v>45902.56362268519</v>
      </c>
      <c r="C872" s="1" t="n">
        <v>46165</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42833-2024</t>
        </is>
      </c>
      <c r="B873" s="1" t="n">
        <v>45566.6171875</v>
      </c>
      <c r="C873" s="1" t="n">
        <v>46165</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37588-2025</t>
        </is>
      </c>
      <c r="B874" s="1" t="n">
        <v>45880.40707175926</v>
      </c>
      <c r="C874" s="1" t="n">
        <v>46165</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2373-2024</t>
        </is>
      </c>
      <c r="B875" s="1" t="n">
        <v>45310</v>
      </c>
      <c r="C875" s="1" t="n">
        <v>46165</v>
      </c>
      <c r="D875" t="inlineStr">
        <is>
          <t>VÄSTERNORRLANDS LÄN</t>
        </is>
      </c>
      <c r="E875" t="inlineStr">
        <is>
          <t>SUNDSVALL</t>
        </is>
      </c>
      <c r="G875" t="n">
        <v>1.1</v>
      </c>
      <c r="H875" t="n">
        <v>0</v>
      </c>
      <c r="I875" t="n">
        <v>0</v>
      </c>
      <c r="J875" t="n">
        <v>0</v>
      </c>
      <c r="K875" t="n">
        <v>0</v>
      </c>
      <c r="L875" t="n">
        <v>0</v>
      </c>
      <c r="M875" t="n">
        <v>0</v>
      </c>
      <c r="N875" t="n">
        <v>0</v>
      </c>
      <c r="O875" t="n">
        <v>0</v>
      </c>
      <c r="P875" t="n">
        <v>0</v>
      </c>
      <c r="Q875" t="n">
        <v>0</v>
      </c>
      <c r="R875" s="2" t="inlineStr"/>
    </row>
    <row r="876" ht="15" customHeight="1">
      <c r="A876" t="inlineStr">
        <is>
          <t>A 23388-2026</t>
        </is>
      </c>
      <c r="B876" s="1" t="n">
        <v>46162</v>
      </c>
      <c r="C876" s="1" t="n">
        <v>46165</v>
      </c>
      <c r="D876" t="inlineStr">
        <is>
          <t>VÄSTERNORRLANDS LÄN</t>
        </is>
      </c>
      <c r="E876" t="inlineStr">
        <is>
          <t>SUNDSVALL</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23605-2026</t>
        </is>
      </c>
      <c r="B877" s="1" t="n">
        <v>46163.65674768519</v>
      </c>
      <c r="C877" s="1" t="n">
        <v>46165</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6228-2023</t>
        </is>
      </c>
      <c r="B878" s="1" t="n">
        <v>44964</v>
      </c>
      <c r="C878" s="1" t="n">
        <v>46165</v>
      </c>
      <c r="D878" t="inlineStr">
        <is>
          <t>VÄSTERNORRLANDS LÄN</t>
        </is>
      </c>
      <c r="E878" t="inlineStr">
        <is>
          <t>SUNDSVALL</t>
        </is>
      </c>
      <c r="G878" t="n">
        <v>6.5</v>
      </c>
      <c r="H878" t="n">
        <v>0</v>
      </c>
      <c r="I878" t="n">
        <v>0</v>
      </c>
      <c r="J878" t="n">
        <v>0</v>
      </c>
      <c r="K878" t="n">
        <v>0</v>
      </c>
      <c r="L878" t="n">
        <v>0</v>
      </c>
      <c r="M878" t="n">
        <v>0</v>
      </c>
      <c r="N878" t="n">
        <v>0</v>
      </c>
      <c r="O878" t="n">
        <v>0</v>
      </c>
      <c r="P878" t="n">
        <v>0</v>
      </c>
      <c r="Q878" t="n">
        <v>0</v>
      </c>
      <c r="R878" s="2" t="inlineStr"/>
    </row>
    <row r="879" ht="15" customHeight="1">
      <c r="A879" t="inlineStr">
        <is>
          <t>A 25153-2025</t>
        </is>
      </c>
      <c r="B879" s="1" t="n">
        <v>45800.42759259259</v>
      </c>
      <c r="C879" s="1" t="n">
        <v>46165</v>
      </c>
      <c r="D879" t="inlineStr">
        <is>
          <t>VÄSTERNORRLANDS LÄN</t>
        </is>
      </c>
      <c r="E879" t="inlineStr">
        <is>
          <t>SUNDSVALL</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37577-2025</t>
        </is>
      </c>
      <c r="B880" s="1" t="n">
        <v>45880.38368055555</v>
      </c>
      <c r="C880" s="1" t="n">
        <v>46165</v>
      </c>
      <c r="D880" t="inlineStr">
        <is>
          <t>VÄSTERNORRLANDS LÄN</t>
        </is>
      </c>
      <c r="E880" t="inlineStr">
        <is>
          <t>SUNDSVALL</t>
        </is>
      </c>
      <c r="F880" t="inlineStr">
        <is>
          <t>Holmen skog AB</t>
        </is>
      </c>
      <c r="G880" t="n">
        <v>5.9</v>
      </c>
      <c r="H880" t="n">
        <v>0</v>
      </c>
      <c r="I880" t="n">
        <v>0</v>
      </c>
      <c r="J880" t="n">
        <v>0</v>
      </c>
      <c r="K880" t="n">
        <v>0</v>
      </c>
      <c r="L880" t="n">
        <v>0</v>
      </c>
      <c r="M880" t="n">
        <v>0</v>
      </c>
      <c r="N880" t="n">
        <v>0</v>
      </c>
      <c r="O880" t="n">
        <v>0</v>
      </c>
      <c r="P880" t="n">
        <v>0</v>
      </c>
      <c r="Q880" t="n">
        <v>0</v>
      </c>
      <c r="R880" s="2" t="inlineStr"/>
    </row>
    <row r="881" ht="15" customHeight="1">
      <c r="A881" t="inlineStr">
        <is>
          <t>A 22730-2026</t>
        </is>
      </c>
      <c r="B881" s="1" t="n">
        <v>46157</v>
      </c>
      <c r="C881" s="1" t="n">
        <v>46165</v>
      </c>
      <c r="D881" t="inlineStr">
        <is>
          <t>VÄSTERNORRLANDS LÄN</t>
        </is>
      </c>
      <c r="E881" t="inlineStr">
        <is>
          <t>SUNDSVALL</t>
        </is>
      </c>
      <c r="G881" t="n">
        <v>0.9</v>
      </c>
      <c r="H881" t="n">
        <v>0</v>
      </c>
      <c r="I881" t="n">
        <v>0</v>
      </c>
      <c r="J881" t="n">
        <v>0</v>
      </c>
      <c r="K881" t="n">
        <v>0</v>
      </c>
      <c r="L881" t="n">
        <v>0</v>
      </c>
      <c r="M881" t="n">
        <v>0</v>
      </c>
      <c r="N881" t="n">
        <v>0</v>
      </c>
      <c r="O881" t="n">
        <v>0</v>
      </c>
      <c r="P881" t="n">
        <v>0</v>
      </c>
      <c r="Q881" t="n">
        <v>0</v>
      </c>
      <c r="R881" s="2" t="inlineStr"/>
    </row>
    <row r="882" ht="15" customHeight="1">
      <c r="A882" t="inlineStr">
        <is>
          <t>A 26084-2024</t>
        </is>
      </c>
      <c r="B882" s="1" t="n">
        <v>45468</v>
      </c>
      <c r="C882" s="1" t="n">
        <v>46165</v>
      </c>
      <c r="D882" t="inlineStr">
        <is>
          <t>VÄSTERNORRLANDS LÄN</t>
        </is>
      </c>
      <c r="E882" t="inlineStr">
        <is>
          <t>SUNDSVALL</t>
        </is>
      </c>
      <c r="G882" t="n">
        <v>6</v>
      </c>
      <c r="H882" t="n">
        <v>0</v>
      </c>
      <c r="I882" t="n">
        <v>0</v>
      </c>
      <c r="J882" t="n">
        <v>0</v>
      </c>
      <c r="K882" t="n">
        <v>0</v>
      </c>
      <c r="L882" t="n">
        <v>0</v>
      </c>
      <c r="M882" t="n">
        <v>0</v>
      </c>
      <c r="N882" t="n">
        <v>0</v>
      </c>
      <c r="O882" t="n">
        <v>0</v>
      </c>
      <c r="P882" t="n">
        <v>0</v>
      </c>
      <c r="Q882" t="n">
        <v>0</v>
      </c>
      <c r="R882" s="2" t="inlineStr"/>
    </row>
    <row r="883" ht="15" customHeight="1">
      <c r="A883" t="inlineStr">
        <is>
          <t>A 37896-2025</t>
        </is>
      </c>
      <c r="B883" s="1" t="n">
        <v>45881.55258101852</v>
      </c>
      <c r="C883" s="1" t="n">
        <v>46165</v>
      </c>
      <c r="D883" t="inlineStr">
        <is>
          <t>VÄSTERNORRLANDS LÄN</t>
        </is>
      </c>
      <c r="E883" t="inlineStr">
        <is>
          <t>SUNDSVALL</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37597-2025</t>
        </is>
      </c>
      <c r="B884" s="1" t="n">
        <v>45880.41709490741</v>
      </c>
      <c r="C884" s="1" t="n">
        <v>46165</v>
      </c>
      <c r="D884" t="inlineStr">
        <is>
          <t>VÄSTERNORRLANDS LÄN</t>
        </is>
      </c>
      <c r="E884" t="inlineStr">
        <is>
          <t>SUNDSVALL</t>
        </is>
      </c>
      <c r="G884" t="n">
        <v>0.7</v>
      </c>
      <c r="H884" t="n">
        <v>0</v>
      </c>
      <c r="I884" t="n">
        <v>0</v>
      </c>
      <c r="J884" t="n">
        <v>0</v>
      </c>
      <c r="K884" t="n">
        <v>0</v>
      </c>
      <c r="L884" t="n">
        <v>0</v>
      </c>
      <c r="M884" t="n">
        <v>0</v>
      </c>
      <c r="N884" t="n">
        <v>0</v>
      </c>
      <c r="O884" t="n">
        <v>0</v>
      </c>
      <c r="P884" t="n">
        <v>0</v>
      </c>
      <c r="Q884" t="n">
        <v>0</v>
      </c>
      <c r="R884" s="2" t="inlineStr"/>
    </row>
    <row r="885" ht="15" customHeight="1">
      <c r="A885" t="inlineStr">
        <is>
          <t>A 30179-2024</t>
        </is>
      </c>
      <c r="B885" s="1" t="n">
        <v>45489.92717592593</v>
      </c>
      <c r="C885" s="1" t="n">
        <v>46165</v>
      </c>
      <c r="D885" t="inlineStr">
        <is>
          <t>VÄSTERNORRLANDS LÄN</t>
        </is>
      </c>
      <c r="E885" t="inlineStr">
        <is>
          <t>SUNDSVALL</t>
        </is>
      </c>
      <c r="F885" t="inlineStr">
        <is>
          <t>Kyrkan</t>
        </is>
      </c>
      <c r="G885" t="n">
        <v>8.6</v>
      </c>
      <c r="H885" t="n">
        <v>0</v>
      </c>
      <c r="I885" t="n">
        <v>0</v>
      </c>
      <c r="J885" t="n">
        <v>0</v>
      </c>
      <c r="K885" t="n">
        <v>0</v>
      </c>
      <c r="L885" t="n">
        <v>0</v>
      </c>
      <c r="M885" t="n">
        <v>0</v>
      </c>
      <c r="N885" t="n">
        <v>0</v>
      </c>
      <c r="O885" t="n">
        <v>0</v>
      </c>
      <c r="P885" t="n">
        <v>0</v>
      </c>
      <c r="Q885" t="n">
        <v>0</v>
      </c>
      <c r="R885" s="2" t="inlineStr"/>
    </row>
    <row r="886" ht="15" customHeight="1">
      <c r="A886" t="inlineStr">
        <is>
          <t>A 41196-2024</t>
        </is>
      </c>
      <c r="B886" s="1" t="n">
        <v>45559.51123842593</v>
      </c>
      <c r="C886" s="1" t="n">
        <v>46165</v>
      </c>
      <c r="D886" t="inlineStr">
        <is>
          <t>VÄSTERNORRLANDS LÄN</t>
        </is>
      </c>
      <c r="E886" t="inlineStr">
        <is>
          <t>SUNDSVALL</t>
        </is>
      </c>
      <c r="G886" t="n">
        <v>13.2</v>
      </c>
      <c r="H886" t="n">
        <v>0</v>
      </c>
      <c r="I886" t="n">
        <v>0</v>
      </c>
      <c r="J886" t="n">
        <v>0</v>
      </c>
      <c r="K886" t="n">
        <v>0</v>
      </c>
      <c r="L886" t="n">
        <v>0</v>
      </c>
      <c r="M886" t="n">
        <v>0</v>
      </c>
      <c r="N886" t="n">
        <v>0</v>
      </c>
      <c r="O886" t="n">
        <v>0</v>
      </c>
      <c r="P886" t="n">
        <v>0</v>
      </c>
      <c r="Q886" t="n">
        <v>0</v>
      </c>
      <c r="R886" s="2" t="inlineStr"/>
    </row>
    <row r="887" ht="15" customHeight="1">
      <c r="A887" t="inlineStr">
        <is>
          <t>A 42467-2025</t>
        </is>
      </c>
      <c r="B887" s="1" t="n">
        <v>45904</v>
      </c>
      <c r="C887" s="1" t="n">
        <v>46165</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37567-2025</t>
        </is>
      </c>
      <c r="B888" s="1" t="n">
        <v>45880</v>
      </c>
      <c r="C888" s="1" t="n">
        <v>46165</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10487-2025</t>
        </is>
      </c>
      <c r="B889" s="1" t="n">
        <v>45721.34428240741</v>
      </c>
      <c r="C889" s="1" t="n">
        <v>46165</v>
      </c>
      <c r="D889" t="inlineStr">
        <is>
          <t>VÄSTERNORRLANDS LÄN</t>
        </is>
      </c>
      <c r="E889" t="inlineStr">
        <is>
          <t>SUNDSVALL</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19699-2025</t>
        </is>
      </c>
      <c r="B890" s="1" t="n">
        <v>45771.32137731482</v>
      </c>
      <c r="C890" s="1" t="n">
        <v>46165</v>
      </c>
      <c r="D890" t="inlineStr">
        <is>
          <t>VÄSTERNORRLANDS LÄN</t>
        </is>
      </c>
      <c r="E890" t="inlineStr">
        <is>
          <t>SUNDSVALL</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37598-2025</t>
        </is>
      </c>
      <c r="B891" s="1" t="n">
        <v>45880.41893518518</v>
      </c>
      <c r="C891" s="1" t="n">
        <v>46165</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7946-2022</t>
        </is>
      </c>
      <c r="B892" s="1" t="n">
        <v>44608</v>
      </c>
      <c r="C892" s="1" t="n">
        <v>46165</v>
      </c>
      <c r="D892" t="inlineStr">
        <is>
          <t>VÄSTERNORRLANDS LÄN</t>
        </is>
      </c>
      <c r="E892" t="inlineStr">
        <is>
          <t>SUNDSVALL</t>
        </is>
      </c>
      <c r="G892" t="n">
        <v>5.8</v>
      </c>
      <c r="H892" t="n">
        <v>0</v>
      </c>
      <c r="I892" t="n">
        <v>0</v>
      </c>
      <c r="J892" t="n">
        <v>0</v>
      </c>
      <c r="K892" t="n">
        <v>0</v>
      </c>
      <c r="L892" t="n">
        <v>0</v>
      </c>
      <c r="M892" t="n">
        <v>0</v>
      </c>
      <c r="N892" t="n">
        <v>0</v>
      </c>
      <c r="O892" t="n">
        <v>0</v>
      </c>
      <c r="P892" t="n">
        <v>0</v>
      </c>
      <c r="Q892" t="n">
        <v>0</v>
      </c>
      <c r="R892" s="2" t="inlineStr"/>
    </row>
    <row r="893" ht="15" customHeight="1">
      <c r="A893" t="inlineStr">
        <is>
          <t>A 3941-2024</t>
        </is>
      </c>
      <c r="B893" s="1" t="n">
        <v>45322</v>
      </c>
      <c r="C893" s="1" t="n">
        <v>46165</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42762-2025</t>
        </is>
      </c>
      <c r="B894" s="1" t="n">
        <v>45905</v>
      </c>
      <c r="C894" s="1" t="n">
        <v>46165</v>
      </c>
      <c r="D894" t="inlineStr">
        <is>
          <t>VÄSTERNORRLANDS LÄN</t>
        </is>
      </c>
      <c r="E894" t="inlineStr">
        <is>
          <t>SUNDSVALL</t>
        </is>
      </c>
      <c r="G894" t="n">
        <v>3.8</v>
      </c>
      <c r="H894" t="n">
        <v>0</v>
      </c>
      <c r="I894" t="n">
        <v>0</v>
      </c>
      <c r="J894" t="n">
        <v>0</v>
      </c>
      <c r="K894" t="n">
        <v>0</v>
      </c>
      <c r="L894" t="n">
        <v>0</v>
      </c>
      <c r="M894" t="n">
        <v>0</v>
      </c>
      <c r="N894" t="n">
        <v>0</v>
      </c>
      <c r="O894" t="n">
        <v>0</v>
      </c>
      <c r="P894" t="n">
        <v>0</v>
      </c>
      <c r="Q894" t="n">
        <v>0</v>
      </c>
      <c r="R894" s="2" t="inlineStr"/>
    </row>
    <row r="895" ht="15" customHeight="1">
      <c r="A895" t="inlineStr">
        <is>
          <t>A 42428-2025</t>
        </is>
      </c>
      <c r="B895" s="1" t="n">
        <v>45905.4219212963</v>
      </c>
      <c r="C895" s="1" t="n">
        <v>46165</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37933-2025</t>
        </is>
      </c>
      <c r="B896" s="1" t="n">
        <v>45881.59413194445</v>
      </c>
      <c r="C896" s="1" t="n">
        <v>46165</v>
      </c>
      <c r="D896" t="inlineStr">
        <is>
          <t>VÄSTERNORRLANDS LÄN</t>
        </is>
      </c>
      <c r="E896" t="inlineStr">
        <is>
          <t>SUNDSVALL</t>
        </is>
      </c>
      <c r="G896" t="n">
        <v>3.9</v>
      </c>
      <c r="H896" t="n">
        <v>0</v>
      </c>
      <c r="I896" t="n">
        <v>0</v>
      </c>
      <c r="J896" t="n">
        <v>0</v>
      </c>
      <c r="K896" t="n">
        <v>0</v>
      </c>
      <c r="L896" t="n">
        <v>0</v>
      </c>
      <c r="M896" t="n">
        <v>0</v>
      </c>
      <c r="N896" t="n">
        <v>0</v>
      </c>
      <c r="O896" t="n">
        <v>0</v>
      </c>
      <c r="P896" t="n">
        <v>0</v>
      </c>
      <c r="Q896" t="n">
        <v>0</v>
      </c>
      <c r="R896" s="2" t="inlineStr"/>
    </row>
    <row r="897" ht="15" customHeight="1">
      <c r="A897" t="inlineStr">
        <is>
          <t>A 38272-2025</t>
        </is>
      </c>
      <c r="B897" s="1" t="n">
        <v>45883.40728009259</v>
      </c>
      <c r="C897" s="1" t="n">
        <v>46165</v>
      </c>
      <c r="D897" t="inlineStr">
        <is>
          <t>VÄSTERNORRLANDS LÄN</t>
        </is>
      </c>
      <c r="E897" t="inlineStr">
        <is>
          <t>SUNDSVALL</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38450-2025</t>
        </is>
      </c>
      <c r="B898" s="1" t="n">
        <v>45883.6778587963</v>
      </c>
      <c r="C898" s="1" t="n">
        <v>46165</v>
      </c>
      <c r="D898" t="inlineStr">
        <is>
          <t>VÄSTERNORRLANDS LÄN</t>
        </is>
      </c>
      <c r="E898" t="inlineStr">
        <is>
          <t>SUNDSVALL</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38351-2025</t>
        </is>
      </c>
      <c r="B899" s="1" t="n">
        <v>45883.53170138889</v>
      </c>
      <c r="C899" s="1" t="n">
        <v>46165</v>
      </c>
      <c r="D899" t="inlineStr">
        <is>
          <t>VÄSTERNORRLANDS LÄN</t>
        </is>
      </c>
      <c r="E899" t="inlineStr">
        <is>
          <t>SUNDSVALL</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58720-2024</t>
        </is>
      </c>
      <c r="B900" s="1" t="n">
        <v>45635.66298611111</v>
      </c>
      <c r="C900" s="1" t="n">
        <v>46165</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38385-2025</t>
        </is>
      </c>
      <c r="B901" s="1" t="n">
        <v>45883.57413194444</v>
      </c>
      <c r="C901" s="1" t="n">
        <v>46165</v>
      </c>
      <c r="D901" t="inlineStr">
        <is>
          <t>VÄSTERNORRLANDS LÄN</t>
        </is>
      </c>
      <c r="E901" t="inlineStr">
        <is>
          <t>SUNDSVALL</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30546-2025</t>
        </is>
      </c>
      <c r="B902" s="1" t="n">
        <v>45831</v>
      </c>
      <c r="C902" s="1" t="n">
        <v>46165</v>
      </c>
      <c r="D902" t="inlineStr">
        <is>
          <t>VÄSTERNORRLANDS LÄN</t>
        </is>
      </c>
      <c r="E902" t="inlineStr">
        <is>
          <t>SUNDSVALL</t>
        </is>
      </c>
      <c r="F902" t="inlineStr">
        <is>
          <t>Kyrkan</t>
        </is>
      </c>
      <c r="G902" t="n">
        <v>7.3</v>
      </c>
      <c r="H902" t="n">
        <v>0</v>
      </c>
      <c r="I902" t="n">
        <v>0</v>
      </c>
      <c r="J902" t="n">
        <v>0</v>
      </c>
      <c r="K902" t="n">
        <v>0</v>
      </c>
      <c r="L902" t="n">
        <v>0</v>
      </c>
      <c r="M902" t="n">
        <v>0</v>
      </c>
      <c r="N902" t="n">
        <v>0</v>
      </c>
      <c r="O902" t="n">
        <v>0</v>
      </c>
      <c r="P902" t="n">
        <v>0</v>
      </c>
      <c r="Q902" t="n">
        <v>0</v>
      </c>
      <c r="R902" s="2" t="inlineStr"/>
    </row>
    <row r="903" ht="15" customHeight="1">
      <c r="A903" t="inlineStr">
        <is>
          <t>A 22706-2026</t>
        </is>
      </c>
      <c r="B903" s="1" t="n">
        <v>46156</v>
      </c>
      <c r="C903" s="1" t="n">
        <v>46165</v>
      </c>
      <c r="D903" t="inlineStr">
        <is>
          <t>VÄSTERNORRLANDS LÄN</t>
        </is>
      </c>
      <c r="E903" t="inlineStr">
        <is>
          <t>SUNDSVALL</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23799-2026</t>
        </is>
      </c>
      <c r="B904" s="1" t="n">
        <v>46164.61543981481</v>
      </c>
      <c r="C904" s="1" t="n">
        <v>46165</v>
      </c>
      <c r="D904" t="inlineStr">
        <is>
          <t>VÄSTERNORRLANDS LÄN</t>
        </is>
      </c>
      <c r="E904" t="inlineStr">
        <is>
          <t>SUNDSVALL</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42726-2025</t>
        </is>
      </c>
      <c r="B905" s="1" t="n">
        <v>45905</v>
      </c>
      <c r="C905" s="1" t="n">
        <v>46165</v>
      </c>
      <c r="D905" t="inlineStr">
        <is>
          <t>VÄSTERNORRLANDS LÄN</t>
        </is>
      </c>
      <c r="E905" t="inlineStr">
        <is>
          <t>SUNDSVALL</t>
        </is>
      </c>
      <c r="G905" t="n">
        <v>3.2</v>
      </c>
      <c r="H905" t="n">
        <v>0</v>
      </c>
      <c r="I905" t="n">
        <v>0</v>
      </c>
      <c r="J905" t="n">
        <v>0</v>
      </c>
      <c r="K905" t="n">
        <v>0</v>
      </c>
      <c r="L905" t="n">
        <v>0</v>
      </c>
      <c r="M905" t="n">
        <v>0</v>
      </c>
      <c r="N905" t="n">
        <v>0</v>
      </c>
      <c r="O905" t="n">
        <v>0</v>
      </c>
      <c r="P905" t="n">
        <v>0</v>
      </c>
      <c r="Q905" t="n">
        <v>0</v>
      </c>
      <c r="R905" s="2" t="inlineStr"/>
    </row>
    <row r="906" ht="15" customHeight="1">
      <c r="A906" t="inlineStr">
        <is>
          <t>A 22704-2026</t>
        </is>
      </c>
      <c r="B906" s="1" t="n">
        <v>46156</v>
      </c>
      <c r="C906" s="1" t="n">
        <v>46165</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2880-2025</t>
        </is>
      </c>
      <c r="B907" s="1" t="n">
        <v>45677</v>
      </c>
      <c r="C907" s="1" t="n">
        <v>46165</v>
      </c>
      <c r="D907" t="inlineStr">
        <is>
          <t>VÄSTERNORRLANDS LÄN</t>
        </is>
      </c>
      <c r="E907" t="inlineStr">
        <is>
          <t>SUNDSVALL</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2959-2025</t>
        </is>
      </c>
      <c r="B908" s="1" t="n">
        <v>45678.44880787037</v>
      </c>
      <c r="C908" s="1" t="n">
        <v>46165</v>
      </c>
      <c r="D908" t="inlineStr">
        <is>
          <t>VÄSTERNORRLANDS LÄN</t>
        </is>
      </c>
      <c r="E908" t="inlineStr">
        <is>
          <t>SUNDSVALL</t>
        </is>
      </c>
      <c r="F908" t="inlineStr">
        <is>
          <t>SCA</t>
        </is>
      </c>
      <c r="G908" t="n">
        <v>21.5</v>
      </c>
      <c r="H908" t="n">
        <v>0</v>
      </c>
      <c r="I908" t="n">
        <v>0</v>
      </c>
      <c r="J908" t="n">
        <v>0</v>
      </c>
      <c r="K908" t="n">
        <v>0</v>
      </c>
      <c r="L908" t="n">
        <v>0</v>
      </c>
      <c r="M908" t="n">
        <v>0</v>
      </c>
      <c r="N908" t="n">
        <v>0</v>
      </c>
      <c r="O908" t="n">
        <v>0</v>
      </c>
      <c r="P908" t="n">
        <v>0</v>
      </c>
      <c r="Q908" t="n">
        <v>0</v>
      </c>
      <c r="R908" s="2" t="inlineStr"/>
    </row>
    <row r="909" ht="15" customHeight="1">
      <c r="A909" t="inlineStr">
        <is>
          <t>A 61596-2024</t>
        </is>
      </c>
      <c r="B909" s="1" t="n">
        <v>45646</v>
      </c>
      <c r="C909" s="1" t="n">
        <v>46165</v>
      </c>
      <c r="D909" t="inlineStr">
        <is>
          <t>VÄSTERNORRLANDS LÄN</t>
        </is>
      </c>
      <c r="E909" t="inlineStr">
        <is>
          <t>SUNDSVALL</t>
        </is>
      </c>
      <c r="F909" t="inlineStr">
        <is>
          <t>SCA</t>
        </is>
      </c>
      <c r="G909" t="n">
        <v>19.2</v>
      </c>
      <c r="H909" t="n">
        <v>0</v>
      </c>
      <c r="I909" t="n">
        <v>0</v>
      </c>
      <c r="J909" t="n">
        <v>0</v>
      </c>
      <c r="K909" t="n">
        <v>0</v>
      </c>
      <c r="L909" t="n">
        <v>0</v>
      </c>
      <c r="M909" t="n">
        <v>0</v>
      </c>
      <c r="N909" t="n">
        <v>0</v>
      </c>
      <c r="O909" t="n">
        <v>0</v>
      </c>
      <c r="P909" t="n">
        <v>0</v>
      </c>
      <c r="Q909" t="n">
        <v>0</v>
      </c>
      <c r="R909" s="2" t="inlineStr"/>
    </row>
    <row r="910" ht="15" customHeight="1">
      <c r="A910" t="inlineStr">
        <is>
          <t>A 38389-2025</t>
        </is>
      </c>
      <c r="B910" s="1" t="n">
        <v>45883.57486111111</v>
      </c>
      <c r="C910" s="1" t="n">
        <v>46165</v>
      </c>
      <c r="D910" t="inlineStr">
        <is>
          <t>VÄSTERNORRLANDS LÄN</t>
        </is>
      </c>
      <c r="E910" t="inlineStr">
        <is>
          <t>SUNDSVALL</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23802-2026</t>
        </is>
      </c>
      <c r="B911" s="1" t="n">
        <v>46164.62810185185</v>
      </c>
      <c r="C911" s="1" t="n">
        <v>46165</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23805-2026</t>
        </is>
      </c>
      <c r="B912" s="1" t="n">
        <v>46164.63591435185</v>
      </c>
      <c r="C912" s="1" t="n">
        <v>46165</v>
      </c>
      <c r="D912" t="inlineStr">
        <is>
          <t>VÄSTERNORRLANDS LÄN</t>
        </is>
      </c>
      <c r="E912" t="inlineStr">
        <is>
          <t>SUNDSVALL</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38354-2025</t>
        </is>
      </c>
      <c r="B913" s="1" t="n">
        <v>45883.53215277778</v>
      </c>
      <c r="C913" s="1" t="n">
        <v>46165</v>
      </c>
      <c r="D913" t="inlineStr">
        <is>
          <t>VÄSTERNORRLANDS LÄN</t>
        </is>
      </c>
      <c r="E913" t="inlineStr">
        <is>
          <t>SUNDSVALL</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18231-2026</t>
        </is>
      </c>
      <c r="B914" s="1" t="n">
        <v>46126</v>
      </c>
      <c r="C914" s="1" t="n">
        <v>46165</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23189-2026</t>
        </is>
      </c>
      <c r="B915" s="1" t="n">
        <v>46161</v>
      </c>
      <c r="C915" s="1" t="n">
        <v>46165</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23734-2026</t>
        </is>
      </c>
      <c r="B916" s="1" t="n">
        <v>46164.48918981481</v>
      </c>
      <c r="C916" s="1" t="n">
        <v>46165</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43108-2025</t>
        </is>
      </c>
      <c r="B917" s="1" t="n">
        <v>45909.65167824074</v>
      </c>
      <c r="C917" s="1" t="n">
        <v>46165</v>
      </c>
      <c r="D917" t="inlineStr">
        <is>
          <t>VÄSTERNORRLANDS LÄN</t>
        </is>
      </c>
      <c r="E917" t="inlineStr">
        <is>
          <t>SUNDSVALL</t>
        </is>
      </c>
      <c r="G917" t="n">
        <v>2.1</v>
      </c>
      <c r="H917" t="n">
        <v>0</v>
      </c>
      <c r="I917" t="n">
        <v>0</v>
      </c>
      <c r="J917" t="n">
        <v>0</v>
      </c>
      <c r="K917" t="n">
        <v>0</v>
      </c>
      <c r="L917" t="n">
        <v>0</v>
      </c>
      <c r="M917" t="n">
        <v>0</v>
      </c>
      <c r="N917" t="n">
        <v>0</v>
      </c>
      <c r="O917" t="n">
        <v>0</v>
      </c>
      <c r="P917" t="n">
        <v>0</v>
      </c>
      <c r="Q917" t="n">
        <v>0</v>
      </c>
      <c r="R917" s="2" t="inlineStr"/>
    </row>
    <row r="918" ht="15" customHeight="1">
      <c r="A918" t="inlineStr">
        <is>
          <t>A 42689-2025</t>
        </is>
      </c>
      <c r="B918" s="1" t="n">
        <v>45908.35649305556</v>
      </c>
      <c r="C918" s="1" t="n">
        <v>46165</v>
      </c>
      <c r="D918" t="inlineStr">
        <is>
          <t>VÄSTERNORRLANDS LÄN</t>
        </is>
      </c>
      <c r="E918" t="inlineStr">
        <is>
          <t>SUNDSVALL</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32953-2023</t>
        </is>
      </c>
      <c r="B919" s="1" t="n">
        <v>45113</v>
      </c>
      <c r="C919" s="1" t="n">
        <v>46165</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9435-2024</t>
        </is>
      </c>
      <c r="B920" s="1" t="n">
        <v>45359</v>
      </c>
      <c r="C920" s="1" t="n">
        <v>46165</v>
      </c>
      <c r="D920" t="inlineStr">
        <is>
          <t>VÄSTERNORRLANDS LÄN</t>
        </is>
      </c>
      <c r="E920" t="inlineStr">
        <is>
          <t>SUNDSVALL</t>
        </is>
      </c>
      <c r="F920" t="inlineStr">
        <is>
          <t>Holmen skog AB</t>
        </is>
      </c>
      <c r="G920" t="n">
        <v>24.7</v>
      </c>
      <c r="H920" t="n">
        <v>0</v>
      </c>
      <c r="I920" t="n">
        <v>0</v>
      </c>
      <c r="J920" t="n">
        <v>0</v>
      </c>
      <c r="K920" t="n">
        <v>0</v>
      </c>
      <c r="L920" t="n">
        <v>0</v>
      </c>
      <c r="M920" t="n">
        <v>0</v>
      </c>
      <c r="N920" t="n">
        <v>0</v>
      </c>
      <c r="O920" t="n">
        <v>0</v>
      </c>
      <c r="P920" t="n">
        <v>0</v>
      </c>
      <c r="Q920" t="n">
        <v>0</v>
      </c>
      <c r="R920" s="2" t="inlineStr"/>
    </row>
    <row r="921" ht="15" customHeight="1">
      <c r="A921" t="inlineStr">
        <is>
          <t>A 15673-2024</t>
        </is>
      </c>
      <c r="B921" s="1" t="n">
        <v>45404.40168981482</v>
      </c>
      <c r="C921" s="1" t="n">
        <v>46165</v>
      </c>
      <c r="D921" t="inlineStr">
        <is>
          <t>VÄSTERNORRLANDS LÄN</t>
        </is>
      </c>
      <c r="E921" t="inlineStr">
        <is>
          <t>SUNDSVALL</t>
        </is>
      </c>
      <c r="G921" t="n">
        <v>2.3</v>
      </c>
      <c r="H921" t="n">
        <v>0</v>
      </c>
      <c r="I921" t="n">
        <v>0</v>
      </c>
      <c r="J921" t="n">
        <v>0</v>
      </c>
      <c r="K921" t="n">
        <v>0</v>
      </c>
      <c r="L921" t="n">
        <v>0</v>
      </c>
      <c r="M921" t="n">
        <v>0</v>
      </c>
      <c r="N921" t="n">
        <v>0</v>
      </c>
      <c r="O921" t="n">
        <v>0</v>
      </c>
      <c r="P921" t="n">
        <v>0</v>
      </c>
      <c r="Q921" t="n">
        <v>0</v>
      </c>
      <c r="R921" s="2" t="inlineStr"/>
    </row>
    <row r="922" ht="15" customHeight="1">
      <c r="A922" t="inlineStr">
        <is>
          <t>A 43194-2021</t>
        </is>
      </c>
      <c r="B922" s="1" t="n">
        <v>44431</v>
      </c>
      <c r="C922" s="1" t="n">
        <v>46165</v>
      </c>
      <c r="D922" t="inlineStr">
        <is>
          <t>VÄSTERNORRLANDS LÄN</t>
        </is>
      </c>
      <c r="E922" t="inlineStr">
        <is>
          <t>SUNDSVALL</t>
        </is>
      </c>
      <c r="G922" t="n">
        <v>1.1</v>
      </c>
      <c r="H922" t="n">
        <v>0</v>
      </c>
      <c r="I922" t="n">
        <v>0</v>
      </c>
      <c r="J922" t="n">
        <v>0</v>
      </c>
      <c r="K922" t="n">
        <v>0</v>
      </c>
      <c r="L922" t="n">
        <v>0</v>
      </c>
      <c r="M922" t="n">
        <v>0</v>
      </c>
      <c r="N922" t="n">
        <v>0</v>
      </c>
      <c r="O922" t="n">
        <v>0</v>
      </c>
      <c r="P922" t="n">
        <v>0</v>
      </c>
      <c r="Q922" t="n">
        <v>0</v>
      </c>
      <c r="R922" s="2" t="inlineStr"/>
    </row>
    <row r="923" ht="15" customHeight="1">
      <c r="A923" t="inlineStr">
        <is>
          <t>A 56197-2024</t>
        </is>
      </c>
      <c r="B923" s="1" t="n">
        <v>45624</v>
      </c>
      <c r="C923" s="1" t="n">
        <v>46165</v>
      </c>
      <c r="D923" t="inlineStr">
        <is>
          <t>VÄSTERNORRLANDS LÄN</t>
        </is>
      </c>
      <c r="E923" t="inlineStr">
        <is>
          <t>SUNDSVALL</t>
        </is>
      </c>
      <c r="G923" t="n">
        <v>0.7</v>
      </c>
      <c r="H923" t="n">
        <v>0</v>
      </c>
      <c r="I923" t="n">
        <v>0</v>
      </c>
      <c r="J923" t="n">
        <v>0</v>
      </c>
      <c r="K923" t="n">
        <v>0</v>
      </c>
      <c r="L923" t="n">
        <v>0</v>
      </c>
      <c r="M923" t="n">
        <v>0</v>
      </c>
      <c r="N923" t="n">
        <v>0</v>
      </c>
      <c r="O923" t="n">
        <v>0</v>
      </c>
      <c r="P923" t="n">
        <v>0</v>
      </c>
      <c r="Q923" t="n">
        <v>0</v>
      </c>
      <c r="R923" s="2" t="inlineStr"/>
    </row>
    <row r="924" ht="15" customHeight="1">
      <c r="A924" t="inlineStr">
        <is>
          <t>A 42909-2025</t>
        </is>
      </c>
      <c r="B924" s="1" t="n">
        <v>45908.69828703703</v>
      </c>
      <c r="C924" s="1" t="n">
        <v>46165</v>
      </c>
      <c r="D924" t="inlineStr">
        <is>
          <t>VÄSTERNORRLANDS LÄN</t>
        </is>
      </c>
      <c r="E924" t="inlineStr">
        <is>
          <t>SUNDSVALL</t>
        </is>
      </c>
      <c r="F924" t="inlineStr">
        <is>
          <t>Naturvårdsverket</t>
        </is>
      </c>
      <c r="G924" t="n">
        <v>3.1</v>
      </c>
      <c r="H924" t="n">
        <v>0</v>
      </c>
      <c r="I924" t="n">
        <v>0</v>
      </c>
      <c r="J924" t="n">
        <v>0</v>
      </c>
      <c r="K924" t="n">
        <v>0</v>
      </c>
      <c r="L924" t="n">
        <v>0</v>
      </c>
      <c r="M924" t="n">
        <v>0</v>
      </c>
      <c r="N924" t="n">
        <v>0</v>
      </c>
      <c r="O924" t="n">
        <v>0</v>
      </c>
      <c r="P924" t="n">
        <v>0</v>
      </c>
      <c r="Q924" t="n">
        <v>0</v>
      </c>
      <c r="R924" s="2" t="inlineStr"/>
    </row>
    <row r="925" ht="15" customHeight="1">
      <c r="A925" t="inlineStr">
        <is>
          <t>A 52109-2023</t>
        </is>
      </c>
      <c r="B925" s="1" t="n">
        <v>45223</v>
      </c>
      <c r="C925" s="1" t="n">
        <v>46165</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52110-2023</t>
        </is>
      </c>
      <c r="B926" s="1" t="n">
        <v>45223</v>
      </c>
      <c r="C926" s="1" t="n">
        <v>46165</v>
      </c>
      <c r="D926" t="inlineStr">
        <is>
          <t>VÄSTERNORRLANDS LÄN</t>
        </is>
      </c>
      <c r="E926" t="inlineStr">
        <is>
          <t>SUNDSVALL</t>
        </is>
      </c>
      <c r="G926" t="n">
        <v>1.7</v>
      </c>
      <c r="H926" t="n">
        <v>0</v>
      </c>
      <c r="I926" t="n">
        <v>0</v>
      </c>
      <c r="J926" t="n">
        <v>0</v>
      </c>
      <c r="K926" t="n">
        <v>0</v>
      </c>
      <c r="L926" t="n">
        <v>0</v>
      </c>
      <c r="M926" t="n">
        <v>0</v>
      </c>
      <c r="N926" t="n">
        <v>0</v>
      </c>
      <c r="O926" t="n">
        <v>0</v>
      </c>
      <c r="P926" t="n">
        <v>0</v>
      </c>
      <c r="Q926" t="n">
        <v>0</v>
      </c>
      <c r="R926" s="2" t="inlineStr"/>
    </row>
    <row r="927" ht="15" customHeight="1">
      <c r="A927" t="inlineStr">
        <is>
          <t>A 43615-2025</t>
        </is>
      </c>
      <c r="B927" s="1" t="n">
        <v>45911.67784722222</v>
      </c>
      <c r="C927" s="1" t="n">
        <v>46165</v>
      </c>
      <c r="D927" t="inlineStr">
        <is>
          <t>VÄSTERNORRLANDS LÄN</t>
        </is>
      </c>
      <c r="E927" t="inlineStr">
        <is>
          <t>SUNDSVALL</t>
        </is>
      </c>
      <c r="F927" t="inlineStr">
        <is>
          <t>Naturvårdsverket</t>
        </is>
      </c>
      <c r="G927" t="n">
        <v>1.7</v>
      </c>
      <c r="H927" t="n">
        <v>0</v>
      </c>
      <c r="I927" t="n">
        <v>0</v>
      </c>
      <c r="J927" t="n">
        <v>0</v>
      </c>
      <c r="K927" t="n">
        <v>0</v>
      </c>
      <c r="L927" t="n">
        <v>0</v>
      </c>
      <c r="M927" t="n">
        <v>0</v>
      </c>
      <c r="N927" t="n">
        <v>0</v>
      </c>
      <c r="O927" t="n">
        <v>0</v>
      </c>
      <c r="P927" t="n">
        <v>0</v>
      </c>
      <c r="Q927" t="n">
        <v>0</v>
      </c>
      <c r="R927" s="2" t="inlineStr"/>
    </row>
    <row r="928" ht="15" customHeight="1">
      <c r="A928" t="inlineStr">
        <is>
          <t>A 43488-2025</t>
        </is>
      </c>
      <c r="B928" s="1" t="n">
        <v>45911.51083333333</v>
      </c>
      <c r="C928" s="1" t="n">
        <v>46165</v>
      </c>
      <c r="D928" t="inlineStr">
        <is>
          <t>VÄSTERNORRLANDS LÄN</t>
        </is>
      </c>
      <c r="E928" t="inlineStr">
        <is>
          <t>SUNDSVALL</t>
        </is>
      </c>
      <c r="F928" t="inlineStr">
        <is>
          <t>SCA</t>
        </is>
      </c>
      <c r="G928" t="n">
        <v>5.9</v>
      </c>
      <c r="H928" t="n">
        <v>0</v>
      </c>
      <c r="I928" t="n">
        <v>0</v>
      </c>
      <c r="J928" t="n">
        <v>0</v>
      </c>
      <c r="K928" t="n">
        <v>0</v>
      </c>
      <c r="L928" t="n">
        <v>0</v>
      </c>
      <c r="M928" t="n">
        <v>0</v>
      </c>
      <c r="N928" t="n">
        <v>0</v>
      </c>
      <c r="O928" t="n">
        <v>0</v>
      </c>
      <c r="P928" t="n">
        <v>0</v>
      </c>
      <c r="Q928" t="n">
        <v>0</v>
      </c>
      <c r="R928" s="2" t="inlineStr"/>
    </row>
    <row r="929" ht="15" customHeight="1">
      <c r="A929" t="inlineStr">
        <is>
          <t>A 43152-2025</t>
        </is>
      </c>
      <c r="B929" s="1" t="n">
        <v>45910.34438657408</v>
      </c>
      <c r="C929" s="1" t="n">
        <v>46165</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3467-2024</t>
        </is>
      </c>
      <c r="B930" s="1" t="n">
        <v>45317</v>
      </c>
      <c r="C930" s="1" t="n">
        <v>46165</v>
      </c>
      <c r="D930" t="inlineStr">
        <is>
          <t>VÄSTERNORRLANDS LÄN</t>
        </is>
      </c>
      <c r="E930" t="inlineStr">
        <is>
          <t>SUNDSVALL</t>
        </is>
      </c>
      <c r="G930" t="n">
        <v>5.5</v>
      </c>
      <c r="H930" t="n">
        <v>0</v>
      </c>
      <c r="I930" t="n">
        <v>0</v>
      </c>
      <c r="J930" t="n">
        <v>0</v>
      </c>
      <c r="K930" t="n">
        <v>0</v>
      </c>
      <c r="L930" t="n">
        <v>0</v>
      </c>
      <c r="M930" t="n">
        <v>0</v>
      </c>
      <c r="N930" t="n">
        <v>0</v>
      </c>
      <c r="O930" t="n">
        <v>0</v>
      </c>
      <c r="P930" t="n">
        <v>0</v>
      </c>
      <c r="Q930" t="n">
        <v>0</v>
      </c>
      <c r="R930" s="2" t="inlineStr"/>
    </row>
    <row r="931" ht="15" customHeight="1">
      <c r="A931" t="inlineStr">
        <is>
          <t>A 47158-2023</t>
        </is>
      </c>
      <c r="B931" s="1" t="n">
        <v>45201</v>
      </c>
      <c r="C931" s="1" t="n">
        <v>46165</v>
      </c>
      <c r="D931" t="inlineStr">
        <is>
          <t>VÄSTERNORRLANDS LÄN</t>
        </is>
      </c>
      <c r="E931" t="inlineStr">
        <is>
          <t>SUNDSVALL</t>
        </is>
      </c>
      <c r="G931" t="n">
        <v>6.7</v>
      </c>
      <c r="H931" t="n">
        <v>0</v>
      </c>
      <c r="I931" t="n">
        <v>0</v>
      </c>
      <c r="J931" t="n">
        <v>0</v>
      </c>
      <c r="K931" t="n">
        <v>0</v>
      </c>
      <c r="L931" t="n">
        <v>0</v>
      </c>
      <c r="M931" t="n">
        <v>0</v>
      </c>
      <c r="N931" t="n">
        <v>0</v>
      </c>
      <c r="O931" t="n">
        <v>0</v>
      </c>
      <c r="P931" t="n">
        <v>0</v>
      </c>
      <c r="Q931" t="n">
        <v>0</v>
      </c>
      <c r="R931" s="2" t="inlineStr"/>
    </row>
    <row r="932" ht="15" customHeight="1">
      <c r="A932" t="inlineStr">
        <is>
          <t>A 38483-2025</t>
        </is>
      </c>
      <c r="B932" s="1" t="n">
        <v>45884.33432870371</v>
      </c>
      <c r="C932" s="1" t="n">
        <v>46165</v>
      </c>
      <c r="D932" t="inlineStr">
        <is>
          <t>VÄSTERNORRLANDS LÄN</t>
        </is>
      </c>
      <c r="E932" t="inlineStr">
        <is>
          <t>SUNDSVALL</t>
        </is>
      </c>
      <c r="G932" t="n">
        <v>3.6</v>
      </c>
      <c r="H932" t="n">
        <v>0</v>
      </c>
      <c r="I932" t="n">
        <v>0</v>
      </c>
      <c r="J932" t="n">
        <v>0</v>
      </c>
      <c r="K932" t="n">
        <v>0</v>
      </c>
      <c r="L932" t="n">
        <v>0</v>
      </c>
      <c r="M932" t="n">
        <v>0</v>
      </c>
      <c r="N932" t="n">
        <v>0</v>
      </c>
      <c r="O932" t="n">
        <v>0</v>
      </c>
      <c r="P932" t="n">
        <v>0</v>
      </c>
      <c r="Q932" t="n">
        <v>0</v>
      </c>
      <c r="R932" s="2" t="inlineStr"/>
    </row>
    <row r="933" ht="15" customHeight="1">
      <c r="A933" t="inlineStr">
        <is>
          <t>A 43592-2025</t>
        </is>
      </c>
      <c r="B933" s="1" t="n">
        <v>45911.65704861111</v>
      </c>
      <c r="C933" s="1" t="n">
        <v>46165</v>
      </c>
      <c r="D933" t="inlineStr">
        <is>
          <t>VÄSTERNORRLANDS LÄN</t>
        </is>
      </c>
      <c r="E933" t="inlineStr">
        <is>
          <t>SUNDSVALL</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43331-2025</t>
        </is>
      </c>
      <c r="B934" s="1" t="n">
        <v>45910.69842592593</v>
      </c>
      <c r="C934" s="1" t="n">
        <v>46165</v>
      </c>
      <c r="D934" t="inlineStr">
        <is>
          <t>VÄSTERNORRLANDS LÄN</t>
        </is>
      </c>
      <c r="E934" t="inlineStr">
        <is>
          <t>SUNDSVALL</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22729-2022</t>
        </is>
      </c>
      <c r="B935" s="1" t="n">
        <v>44714.65461805555</v>
      </c>
      <c r="C935" s="1" t="n">
        <v>46165</v>
      </c>
      <c r="D935" t="inlineStr">
        <is>
          <t>VÄSTERNORRLANDS LÄN</t>
        </is>
      </c>
      <c r="E935" t="inlineStr">
        <is>
          <t>SUNDSVALL</t>
        </is>
      </c>
      <c r="G935" t="n">
        <v>2.4</v>
      </c>
      <c r="H935" t="n">
        <v>0</v>
      </c>
      <c r="I935" t="n">
        <v>0</v>
      </c>
      <c r="J935" t="n">
        <v>0</v>
      </c>
      <c r="K935" t="n">
        <v>0</v>
      </c>
      <c r="L935" t="n">
        <v>0</v>
      </c>
      <c r="M935" t="n">
        <v>0</v>
      </c>
      <c r="N935" t="n">
        <v>0</v>
      </c>
      <c r="O935" t="n">
        <v>0</v>
      </c>
      <c r="P935" t="n">
        <v>0</v>
      </c>
      <c r="Q935" t="n">
        <v>0</v>
      </c>
      <c r="R935" s="2" t="inlineStr"/>
    </row>
    <row r="936" ht="15" customHeight="1">
      <c r="A936" t="inlineStr">
        <is>
          <t>A 43814-2025</t>
        </is>
      </c>
      <c r="B936" s="1" t="n">
        <v>45912.59471064815</v>
      </c>
      <c r="C936" s="1" t="n">
        <v>46165</v>
      </c>
      <c r="D936" t="inlineStr">
        <is>
          <t>VÄSTERNORRLANDS LÄN</t>
        </is>
      </c>
      <c r="E936" t="inlineStr">
        <is>
          <t>SUNDSVALL</t>
        </is>
      </c>
      <c r="F936" t="inlineStr">
        <is>
          <t>Naturvårdsverket</t>
        </is>
      </c>
      <c r="G936" t="n">
        <v>2.1</v>
      </c>
      <c r="H936" t="n">
        <v>0</v>
      </c>
      <c r="I936" t="n">
        <v>0</v>
      </c>
      <c r="J936" t="n">
        <v>0</v>
      </c>
      <c r="K936" t="n">
        <v>0</v>
      </c>
      <c r="L936" t="n">
        <v>0</v>
      </c>
      <c r="M936" t="n">
        <v>0</v>
      </c>
      <c r="N936" t="n">
        <v>0</v>
      </c>
      <c r="O936" t="n">
        <v>0</v>
      </c>
      <c r="P936" t="n">
        <v>0</v>
      </c>
      <c r="Q936" t="n">
        <v>0</v>
      </c>
      <c r="R936" s="2" t="inlineStr"/>
    </row>
    <row r="937" ht="15" customHeight="1">
      <c r="A937" t="inlineStr">
        <is>
          <t>A 43981-2025</t>
        </is>
      </c>
      <c r="B937" s="1" t="n">
        <v>45915.42752314815</v>
      </c>
      <c r="C937" s="1" t="n">
        <v>46165</v>
      </c>
      <c r="D937" t="inlineStr">
        <is>
          <t>VÄSTERNORRLANDS LÄN</t>
        </is>
      </c>
      <c r="E937" t="inlineStr">
        <is>
          <t>SUNDSVALL</t>
        </is>
      </c>
      <c r="F937" t="inlineStr">
        <is>
          <t>Naturvårdsverket</t>
        </is>
      </c>
      <c r="G937" t="n">
        <v>2.7</v>
      </c>
      <c r="H937" t="n">
        <v>0</v>
      </c>
      <c r="I937" t="n">
        <v>0</v>
      </c>
      <c r="J937" t="n">
        <v>0</v>
      </c>
      <c r="K937" t="n">
        <v>0</v>
      </c>
      <c r="L937" t="n">
        <v>0</v>
      </c>
      <c r="M937" t="n">
        <v>0</v>
      </c>
      <c r="N937" t="n">
        <v>0</v>
      </c>
      <c r="O937" t="n">
        <v>0</v>
      </c>
      <c r="P937" t="n">
        <v>0</v>
      </c>
      <c r="Q937" t="n">
        <v>0</v>
      </c>
      <c r="R937" s="2" t="inlineStr"/>
    </row>
    <row r="938" ht="15" customHeight="1">
      <c r="A938" t="inlineStr">
        <is>
          <t>A 43865-2025</t>
        </is>
      </c>
      <c r="B938" s="1" t="n">
        <v>45912.65709490741</v>
      </c>
      <c r="C938" s="1" t="n">
        <v>46165</v>
      </c>
      <c r="D938" t="inlineStr">
        <is>
          <t>VÄSTERNORRLANDS LÄN</t>
        </is>
      </c>
      <c r="E938" t="inlineStr">
        <is>
          <t>SUNDSVALL</t>
        </is>
      </c>
      <c r="F938" t="inlineStr">
        <is>
          <t>Kommuner</t>
        </is>
      </c>
      <c r="G938" t="n">
        <v>1.6</v>
      </c>
      <c r="H938" t="n">
        <v>0</v>
      </c>
      <c r="I938" t="n">
        <v>0</v>
      </c>
      <c r="J938" t="n">
        <v>0</v>
      </c>
      <c r="K938" t="n">
        <v>0</v>
      </c>
      <c r="L938" t="n">
        <v>0</v>
      </c>
      <c r="M938" t="n">
        <v>0</v>
      </c>
      <c r="N938" t="n">
        <v>0</v>
      </c>
      <c r="O938" t="n">
        <v>0</v>
      </c>
      <c r="P938" t="n">
        <v>0</v>
      </c>
      <c r="Q938" t="n">
        <v>0</v>
      </c>
      <c r="R938" s="2" t="inlineStr"/>
    </row>
    <row r="939" ht="15" customHeight="1">
      <c r="A939" t="inlineStr">
        <is>
          <t>A 44150-2025</t>
        </is>
      </c>
      <c r="B939" s="1" t="n">
        <v>45915.59415509259</v>
      </c>
      <c r="C939" s="1" t="n">
        <v>46165</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44151-2025</t>
        </is>
      </c>
      <c r="B940" s="1" t="n">
        <v>45915.59424768519</v>
      </c>
      <c r="C940" s="1" t="n">
        <v>46165</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25147-2021</t>
        </is>
      </c>
      <c r="B941" s="1" t="n">
        <v>44341</v>
      </c>
      <c r="C941" s="1" t="n">
        <v>46165</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38365-2023</t>
        </is>
      </c>
      <c r="B942" s="1" t="n">
        <v>45161.94349537037</v>
      </c>
      <c r="C942" s="1" t="n">
        <v>46165</v>
      </c>
      <c r="D942" t="inlineStr">
        <is>
          <t>VÄSTERNORRLANDS LÄN</t>
        </is>
      </c>
      <c r="E942" t="inlineStr">
        <is>
          <t>SUNDSVALL</t>
        </is>
      </c>
      <c r="F942" t="inlineStr">
        <is>
          <t>SCA</t>
        </is>
      </c>
      <c r="G942" t="n">
        <v>21.8</v>
      </c>
      <c r="H942" t="n">
        <v>0</v>
      </c>
      <c r="I942" t="n">
        <v>0</v>
      </c>
      <c r="J942" t="n">
        <v>0</v>
      </c>
      <c r="K942" t="n">
        <v>0</v>
      </c>
      <c r="L942" t="n">
        <v>0</v>
      </c>
      <c r="M942" t="n">
        <v>0</v>
      </c>
      <c r="N942" t="n">
        <v>0</v>
      </c>
      <c r="O942" t="n">
        <v>0</v>
      </c>
      <c r="P942" t="n">
        <v>0</v>
      </c>
      <c r="Q942" t="n">
        <v>0</v>
      </c>
      <c r="R942" s="2" t="inlineStr"/>
    </row>
    <row r="943" ht="15" customHeight="1">
      <c r="A943" t="inlineStr">
        <is>
          <t>A 44054-2025</t>
        </is>
      </c>
      <c r="B943" s="1" t="n">
        <v>45915.51605324074</v>
      </c>
      <c r="C943" s="1" t="n">
        <v>46165</v>
      </c>
      <c r="D943" t="inlineStr">
        <is>
          <t>VÄSTERNORRLANDS LÄN</t>
        </is>
      </c>
      <c r="E943" t="inlineStr">
        <is>
          <t>SUNDSVALL</t>
        </is>
      </c>
      <c r="G943" t="n">
        <v>4.3</v>
      </c>
      <c r="H943" t="n">
        <v>0</v>
      </c>
      <c r="I943" t="n">
        <v>0</v>
      </c>
      <c r="J943" t="n">
        <v>0</v>
      </c>
      <c r="K943" t="n">
        <v>0</v>
      </c>
      <c r="L943" t="n">
        <v>0</v>
      </c>
      <c r="M943" t="n">
        <v>0</v>
      </c>
      <c r="N943" t="n">
        <v>0</v>
      </c>
      <c r="O943" t="n">
        <v>0</v>
      </c>
      <c r="P943" t="n">
        <v>0</v>
      </c>
      <c r="Q943" t="n">
        <v>0</v>
      </c>
      <c r="R943" s="2" t="inlineStr"/>
    </row>
    <row r="944" ht="15" customHeight="1">
      <c r="A944" t="inlineStr">
        <is>
          <t>A 22126-2024</t>
        </is>
      </c>
      <c r="B944" s="1" t="n">
        <v>45443.95326388889</v>
      </c>
      <c r="C944" s="1" t="n">
        <v>46165</v>
      </c>
      <c r="D944" t="inlineStr">
        <is>
          <t>VÄSTERNORRLANDS LÄN</t>
        </is>
      </c>
      <c r="E944" t="inlineStr">
        <is>
          <t>SUNDSVALL</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29951-2023</t>
        </is>
      </c>
      <c r="B945" s="1" t="n">
        <v>45107.93866898148</v>
      </c>
      <c r="C945" s="1" t="n">
        <v>46165</v>
      </c>
      <c r="D945" t="inlineStr">
        <is>
          <t>VÄSTERNORRLANDS LÄN</t>
        </is>
      </c>
      <c r="E945" t="inlineStr">
        <is>
          <t>SUNDSVALL</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44307-2025</t>
        </is>
      </c>
      <c r="B946" s="1" t="n">
        <v>45915</v>
      </c>
      <c r="C946" s="1" t="n">
        <v>46165</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9744-2023</t>
        </is>
      </c>
      <c r="B947" s="1" t="n">
        <v>44984</v>
      </c>
      <c r="C947" s="1" t="n">
        <v>46165</v>
      </c>
      <c r="D947" t="inlineStr">
        <is>
          <t>VÄSTERNORRLANDS LÄN</t>
        </is>
      </c>
      <c r="E947" t="inlineStr">
        <is>
          <t>SUNDSVALL</t>
        </is>
      </c>
      <c r="G947" t="n">
        <v>1.1</v>
      </c>
      <c r="H947" t="n">
        <v>0</v>
      </c>
      <c r="I947" t="n">
        <v>0</v>
      </c>
      <c r="J947" t="n">
        <v>0</v>
      </c>
      <c r="K947" t="n">
        <v>0</v>
      </c>
      <c r="L947" t="n">
        <v>0</v>
      </c>
      <c r="M947" t="n">
        <v>0</v>
      </c>
      <c r="N947" t="n">
        <v>0</v>
      </c>
      <c r="O947" t="n">
        <v>0</v>
      </c>
      <c r="P947" t="n">
        <v>0</v>
      </c>
      <c r="Q947" t="n">
        <v>0</v>
      </c>
      <c r="R947" s="2" t="inlineStr"/>
    </row>
    <row r="948" ht="15" customHeight="1">
      <c r="A948" t="inlineStr">
        <is>
          <t>A 44437-2025</t>
        </is>
      </c>
      <c r="B948" s="1" t="n">
        <v>45916.58321759259</v>
      </c>
      <c r="C948" s="1" t="n">
        <v>46165</v>
      </c>
      <c r="D948" t="inlineStr">
        <is>
          <t>VÄSTERNORRLANDS LÄN</t>
        </is>
      </c>
      <c r="E948" t="inlineStr">
        <is>
          <t>SUNDSVALL</t>
        </is>
      </c>
      <c r="G948" t="n">
        <v>1.5</v>
      </c>
      <c r="H948" t="n">
        <v>0</v>
      </c>
      <c r="I948" t="n">
        <v>0</v>
      </c>
      <c r="J948" t="n">
        <v>0</v>
      </c>
      <c r="K948" t="n">
        <v>0</v>
      </c>
      <c r="L948" t="n">
        <v>0</v>
      </c>
      <c r="M948" t="n">
        <v>0</v>
      </c>
      <c r="N948" t="n">
        <v>0</v>
      </c>
      <c r="O948" t="n">
        <v>0</v>
      </c>
      <c r="P948" t="n">
        <v>0</v>
      </c>
      <c r="Q948" t="n">
        <v>0</v>
      </c>
      <c r="R948" s="2" t="inlineStr"/>
    </row>
    <row r="949" ht="15" customHeight="1">
      <c r="A949" t="inlineStr">
        <is>
          <t>A 12496-2022</t>
        </is>
      </c>
      <c r="B949" s="1" t="n">
        <v>44638.51076388889</v>
      </c>
      <c r="C949" s="1" t="n">
        <v>46165</v>
      </c>
      <c r="D949" t="inlineStr">
        <is>
          <t>VÄSTERNORRLANDS LÄN</t>
        </is>
      </c>
      <c r="E949" t="inlineStr">
        <is>
          <t>SUNDSVALL</t>
        </is>
      </c>
      <c r="G949" t="n">
        <v>1.1</v>
      </c>
      <c r="H949" t="n">
        <v>0</v>
      </c>
      <c r="I949" t="n">
        <v>0</v>
      </c>
      <c r="J949" t="n">
        <v>0</v>
      </c>
      <c r="K949" t="n">
        <v>0</v>
      </c>
      <c r="L949" t="n">
        <v>0</v>
      </c>
      <c r="M949" t="n">
        <v>0</v>
      </c>
      <c r="N949" t="n">
        <v>0</v>
      </c>
      <c r="O949" t="n">
        <v>0</v>
      </c>
      <c r="P949" t="n">
        <v>0</v>
      </c>
      <c r="Q949" t="n">
        <v>0</v>
      </c>
      <c r="R949" s="2" t="inlineStr"/>
    </row>
    <row r="950" ht="15" customHeight="1">
      <c r="A950" t="inlineStr">
        <is>
          <t>A 65188-2023</t>
        </is>
      </c>
      <c r="B950" s="1" t="n">
        <v>45288</v>
      </c>
      <c r="C950" s="1" t="n">
        <v>46165</v>
      </c>
      <c r="D950" t="inlineStr">
        <is>
          <t>VÄSTERNORRLANDS LÄN</t>
        </is>
      </c>
      <c r="E950" t="inlineStr">
        <is>
          <t>SUNDSVALL</t>
        </is>
      </c>
      <c r="F950" t="inlineStr">
        <is>
          <t>SCA</t>
        </is>
      </c>
      <c r="G950" t="n">
        <v>16.9</v>
      </c>
      <c r="H950" t="n">
        <v>0</v>
      </c>
      <c r="I950" t="n">
        <v>0</v>
      </c>
      <c r="J950" t="n">
        <v>0</v>
      </c>
      <c r="K950" t="n">
        <v>0</v>
      </c>
      <c r="L950" t="n">
        <v>0</v>
      </c>
      <c r="M950" t="n">
        <v>0</v>
      </c>
      <c r="N950" t="n">
        <v>0</v>
      </c>
      <c r="O950" t="n">
        <v>0</v>
      </c>
      <c r="P950" t="n">
        <v>0</v>
      </c>
      <c r="Q950" t="n">
        <v>0</v>
      </c>
      <c r="R950" s="2" t="inlineStr"/>
    </row>
    <row r="951" ht="15" customHeight="1">
      <c r="A951" t="inlineStr">
        <is>
          <t>A 44426-2025</t>
        </is>
      </c>
      <c r="B951" s="1" t="n">
        <v>45916</v>
      </c>
      <c r="C951" s="1" t="n">
        <v>46165</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c r="U951">
        <f>HYPERLINK("https://klasma.github.io/Logging_2281/knärot/A 44426-2025 karta knärot.png", "A 44426-2025")</f>
        <v/>
      </c>
      <c r="V951">
        <f>HYPERLINK("https://klasma.github.io/Logging_2281/klagomål/A 44426-2025 FSC-klagomål.docx", "A 44426-2025")</f>
        <v/>
      </c>
      <c r="W951">
        <f>HYPERLINK("https://klasma.github.io/Logging_2281/klagomålsmail/A 44426-2025 FSC-klagomål mail.docx", "A 44426-2025")</f>
        <v/>
      </c>
      <c r="X951">
        <f>HYPERLINK("https://klasma.github.io/Logging_2281/tillsyn/A 44426-2025 tillsynsbegäran.docx", "A 44426-2025")</f>
        <v/>
      </c>
      <c r="Y951">
        <f>HYPERLINK("https://klasma.github.io/Logging_2281/tillsynsmail/A 44426-2025 tillsynsbegäran mail.docx", "A 44426-2025")</f>
        <v/>
      </c>
    </row>
    <row r="952" ht="15" customHeight="1">
      <c r="A952" t="inlineStr">
        <is>
          <t>A 44297-2025</t>
        </is>
      </c>
      <c r="B952" s="1" t="n">
        <v>45916.36524305555</v>
      </c>
      <c r="C952" s="1" t="n">
        <v>46165</v>
      </c>
      <c r="D952" t="inlineStr">
        <is>
          <t>VÄSTERNORRLANDS LÄN</t>
        </is>
      </c>
      <c r="E952" t="inlineStr">
        <is>
          <t>SUNDSVALL</t>
        </is>
      </c>
      <c r="F952" t="inlineStr">
        <is>
          <t>Naturvårdsverket</t>
        </is>
      </c>
      <c r="G952" t="n">
        <v>1.2</v>
      </c>
      <c r="H952" t="n">
        <v>0</v>
      </c>
      <c r="I952" t="n">
        <v>0</v>
      </c>
      <c r="J952" t="n">
        <v>0</v>
      </c>
      <c r="K952" t="n">
        <v>0</v>
      </c>
      <c r="L952" t="n">
        <v>0</v>
      </c>
      <c r="M952" t="n">
        <v>0</v>
      </c>
      <c r="N952" t="n">
        <v>0</v>
      </c>
      <c r="O952" t="n">
        <v>0</v>
      </c>
      <c r="P952" t="n">
        <v>0</v>
      </c>
      <c r="Q952" t="n">
        <v>0</v>
      </c>
      <c r="R952" s="2" t="inlineStr"/>
    </row>
    <row r="953" ht="15" customHeight="1">
      <c r="A953" t="inlineStr">
        <is>
          <t>A 44388-2025</t>
        </is>
      </c>
      <c r="B953" s="1" t="n">
        <v>45916.49010416667</v>
      </c>
      <c r="C953" s="1" t="n">
        <v>46165</v>
      </c>
      <c r="D953" t="inlineStr">
        <is>
          <t>VÄSTERNORRLANDS LÄN</t>
        </is>
      </c>
      <c r="E953" t="inlineStr">
        <is>
          <t>SUNDSVALL</t>
        </is>
      </c>
      <c r="F953" t="inlineStr">
        <is>
          <t>Naturvårdsverket</t>
        </is>
      </c>
      <c r="G953" t="n">
        <v>1.6</v>
      </c>
      <c r="H953" t="n">
        <v>0</v>
      </c>
      <c r="I953" t="n">
        <v>0</v>
      </c>
      <c r="J953" t="n">
        <v>0</v>
      </c>
      <c r="K953" t="n">
        <v>0</v>
      </c>
      <c r="L953" t="n">
        <v>0</v>
      </c>
      <c r="M953" t="n">
        <v>0</v>
      </c>
      <c r="N953" t="n">
        <v>0</v>
      </c>
      <c r="O953" t="n">
        <v>0</v>
      </c>
      <c r="P953" t="n">
        <v>0</v>
      </c>
      <c r="Q953" t="n">
        <v>0</v>
      </c>
      <c r="R953" s="2" t="inlineStr"/>
    </row>
    <row r="954" ht="15" customHeight="1">
      <c r="A954" t="inlineStr">
        <is>
          <t>A 2104-2025</t>
        </is>
      </c>
      <c r="B954" s="1" t="n">
        <v>45672</v>
      </c>
      <c r="C954" s="1" t="n">
        <v>46165</v>
      </c>
      <c r="D954" t="inlineStr">
        <is>
          <t>VÄSTERNORRLANDS LÄN</t>
        </is>
      </c>
      <c r="E954" t="inlineStr">
        <is>
          <t>SUNDSVALL</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44582-2025</t>
        </is>
      </c>
      <c r="B955" s="1" t="n">
        <v>45917.40690972222</v>
      </c>
      <c r="C955" s="1" t="n">
        <v>46165</v>
      </c>
      <c r="D955" t="inlineStr">
        <is>
          <t>VÄSTERNORRLANDS LÄN</t>
        </is>
      </c>
      <c r="E955" t="inlineStr">
        <is>
          <t>SUNDSVALL</t>
        </is>
      </c>
      <c r="F955" t="inlineStr">
        <is>
          <t>Naturvårdsverket</t>
        </is>
      </c>
      <c r="G955" t="n">
        <v>3.5</v>
      </c>
      <c r="H955" t="n">
        <v>0</v>
      </c>
      <c r="I955" t="n">
        <v>0</v>
      </c>
      <c r="J955" t="n">
        <v>0</v>
      </c>
      <c r="K955" t="n">
        <v>0</v>
      </c>
      <c r="L955" t="n">
        <v>0</v>
      </c>
      <c r="M955" t="n">
        <v>0</v>
      </c>
      <c r="N955" t="n">
        <v>0</v>
      </c>
      <c r="O955" t="n">
        <v>0</v>
      </c>
      <c r="P955" t="n">
        <v>0</v>
      </c>
      <c r="Q955" t="n">
        <v>0</v>
      </c>
      <c r="R955" s="2" t="inlineStr"/>
    </row>
    <row r="956" ht="15" customHeight="1">
      <c r="A956" t="inlineStr">
        <is>
          <t>A 41804-2022</t>
        </is>
      </c>
      <c r="B956" s="1" t="n">
        <v>44827</v>
      </c>
      <c r="C956" s="1" t="n">
        <v>46165</v>
      </c>
      <c r="D956" t="inlineStr">
        <is>
          <t>VÄSTERNORRLANDS LÄN</t>
        </is>
      </c>
      <c r="E956" t="inlineStr">
        <is>
          <t>SUNDSVALL</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44284-2025</t>
        </is>
      </c>
      <c r="B957" s="1" t="n">
        <v>45916.34548611111</v>
      </c>
      <c r="C957" s="1" t="n">
        <v>46165</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45134-2025</t>
        </is>
      </c>
      <c r="B958" s="1" t="n">
        <v>45919.44836805556</v>
      </c>
      <c r="C958" s="1" t="n">
        <v>46165</v>
      </c>
      <c r="D958" t="inlineStr">
        <is>
          <t>VÄSTERNORRLANDS LÄN</t>
        </is>
      </c>
      <c r="E958" t="inlineStr">
        <is>
          <t>SUNDSVALL</t>
        </is>
      </c>
      <c r="F958" t="inlineStr">
        <is>
          <t>SCA</t>
        </is>
      </c>
      <c r="G958" t="n">
        <v>17.6</v>
      </c>
      <c r="H958" t="n">
        <v>0</v>
      </c>
      <c r="I958" t="n">
        <v>0</v>
      </c>
      <c r="J958" t="n">
        <v>0</v>
      </c>
      <c r="K958" t="n">
        <v>0</v>
      </c>
      <c r="L958" t="n">
        <v>0</v>
      </c>
      <c r="M958" t="n">
        <v>0</v>
      </c>
      <c r="N958" t="n">
        <v>0</v>
      </c>
      <c r="O958" t="n">
        <v>0</v>
      </c>
      <c r="P958" t="n">
        <v>0</v>
      </c>
      <c r="Q958" t="n">
        <v>0</v>
      </c>
      <c r="R958" s="2" t="inlineStr"/>
    </row>
    <row r="959" ht="15" customHeight="1">
      <c r="A959" t="inlineStr">
        <is>
          <t>A 7412-2024</t>
        </is>
      </c>
      <c r="B959" s="1" t="n">
        <v>45345</v>
      </c>
      <c r="C959" s="1" t="n">
        <v>46165</v>
      </c>
      <c r="D959" t="inlineStr">
        <is>
          <t>VÄSTERNORRLANDS LÄN</t>
        </is>
      </c>
      <c r="E959" t="inlineStr">
        <is>
          <t>SUNDSVALL</t>
        </is>
      </c>
      <c r="G959" t="n">
        <v>3.6</v>
      </c>
      <c r="H959" t="n">
        <v>0</v>
      </c>
      <c r="I959" t="n">
        <v>0</v>
      </c>
      <c r="J959" t="n">
        <v>0</v>
      </c>
      <c r="K959" t="n">
        <v>0</v>
      </c>
      <c r="L959" t="n">
        <v>0</v>
      </c>
      <c r="M959" t="n">
        <v>0</v>
      </c>
      <c r="N959" t="n">
        <v>0</v>
      </c>
      <c r="O959" t="n">
        <v>0</v>
      </c>
      <c r="P959" t="n">
        <v>0</v>
      </c>
      <c r="Q959" t="n">
        <v>0</v>
      </c>
      <c r="R959" s="2" t="inlineStr"/>
    </row>
    <row r="960" ht="15" customHeight="1">
      <c r="A960" t="inlineStr">
        <is>
          <t>A 32128-2023</t>
        </is>
      </c>
      <c r="B960" s="1" t="n">
        <v>45107</v>
      </c>
      <c r="C960" s="1" t="n">
        <v>46165</v>
      </c>
      <c r="D960" t="inlineStr">
        <is>
          <t>VÄSTERNORRLANDS LÄN</t>
        </is>
      </c>
      <c r="E960" t="inlineStr">
        <is>
          <t>SUNDSVALL</t>
        </is>
      </c>
      <c r="G960" t="n">
        <v>13.3</v>
      </c>
      <c r="H960" t="n">
        <v>0</v>
      </c>
      <c r="I960" t="n">
        <v>0</v>
      </c>
      <c r="J960" t="n">
        <v>0</v>
      </c>
      <c r="K960" t="n">
        <v>0</v>
      </c>
      <c r="L960" t="n">
        <v>0</v>
      </c>
      <c r="M960" t="n">
        <v>0</v>
      </c>
      <c r="N960" t="n">
        <v>0</v>
      </c>
      <c r="O960" t="n">
        <v>0</v>
      </c>
      <c r="P960" t="n">
        <v>0</v>
      </c>
      <c r="Q960" t="n">
        <v>0</v>
      </c>
      <c r="R960" s="2" t="inlineStr"/>
    </row>
    <row r="961" ht="15" customHeight="1">
      <c r="A961" t="inlineStr">
        <is>
          <t>A 1116-2025</t>
        </is>
      </c>
      <c r="B961" s="1" t="n">
        <v>45666</v>
      </c>
      <c r="C961" s="1" t="n">
        <v>46165</v>
      </c>
      <c r="D961" t="inlineStr">
        <is>
          <t>VÄSTERNORRLANDS LÄN</t>
        </is>
      </c>
      <c r="E961" t="inlineStr">
        <is>
          <t>SUNDSVALL</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15411-2025</t>
        </is>
      </c>
      <c r="B962" s="1" t="n">
        <v>45747.45125</v>
      </c>
      <c r="C962" s="1" t="n">
        <v>46165</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45094-2025</t>
        </is>
      </c>
      <c r="B963" s="1" t="n">
        <v>45919.38578703703</v>
      </c>
      <c r="C963" s="1" t="n">
        <v>46165</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44932-2025</t>
        </is>
      </c>
      <c r="B964" s="1" t="n">
        <v>45918.57347222222</v>
      </c>
      <c r="C964" s="1" t="n">
        <v>46165</v>
      </c>
      <c r="D964" t="inlineStr">
        <is>
          <t>VÄSTERNORRLANDS LÄN</t>
        </is>
      </c>
      <c r="E964" t="inlineStr">
        <is>
          <t>SUNDSVALL</t>
        </is>
      </c>
      <c r="F964" t="inlineStr">
        <is>
          <t>Naturvårdsverket</t>
        </is>
      </c>
      <c r="G964" t="n">
        <v>0.8</v>
      </c>
      <c r="H964" t="n">
        <v>0</v>
      </c>
      <c r="I964" t="n">
        <v>0</v>
      </c>
      <c r="J964" t="n">
        <v>0</v>
      </c>
      <c r="K964" t="n">
        <v>0</v>
      </c>
      <c r="L964" t="n">
        <v>0</v>
      </c>
      <c r="M964" t="n">
        <v>0</v>
      </c>
      <c r="N964" t="n">
        <v>0</v>
      </c>
      <c r="O964" t="n">
        <v>0</v>
      </c>
      <c r="P964" t="n">
        <v>0</v>
      </c>
      <c r="Q964" t="n">
        <v>0</v>
      </c>
      <c r="R964" s="2" t="inlineStr"/>
    </row>
    <row r="965" ht="15" customHeight="1">
      <c r="A965" t="inlineStr">
        <is>
          <t>A 38621-2025</t>
        </is>
      </c>
      <c r="B965" s="1" t="n">
        <v>45884.55306712963</v>
      </c>
      <c r="C965" s="1" t="n">
        <v>46165</v>
      </c>
      <c r="D965" t="inlineStr">
        <is>
          <t>VÄSTERNORRLANDS LÄN</t>
        </is>
      </c>
      <c r="E965" t="inlineStr">
        <is>
          <t>SUNDSVALL</t>
        </is>
      </c>
      <c r="F965" t="inlineStr">
        <is>
          <t>Naturvårdsverket</t>
        </is>
      </c>
      <c r="G965" t="n">
        <v>1.2</v>
      </c>
      <c r="H965" t="n">
        <v>0</v>
      </c>
      <c r="I965" t="n">
        <v>0</v>
      </c>
      <c r="J965" t="n">
        <v>0</v>
      </c>
      <c r="K965" t="n">
        <v>0</v>
      </c>
      <c r="L965" t="n">
        <v>0</v>
      </c>
      <c r="M965" t="n">
        <v>0</v>
      </c>
      <c r="N965" t="n">
        <v>0</v>
      </c>
      <c r="O965" t="n">
        <v>0</v>
      </c>
      <c r="P965" t="n">
        <v>0</v>
      </c>
      <c r="Q965" t="n">
        <v>0</v>
      </c>
      <c r="R965" s="2" t="inlineStr"/>
    </row>
    <row r="966" ht="15" customHeight="1">
      <c r="A966" t="inlineStr">
        <is>
          <t>A 45018-2025</t>
        </is>
      </c>
      <c r="B966" s="1" t="n">
        <v>45918.67739583334</v>
      </c>
      <c r="C966" s="1" t="n">
        <v>46165</v>
      </c>
      <c r="D966" t="inlineStr">
        <is>
          <t>VÄSTERNORRLANDS LÄN</t>
        </is>
      </c>
      <c r="E966" t="inlineStr">
        <is>
          <t>SUNDSVALL</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44837-2025</t>
        </is>
      </c>
      <c r="B967" s="1" t="n">
        <v>45918.42329861111</v>
      </c>
      <c r="C967" s="1" t="n">
        <v>46165</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27304-2024</t>
        </is>
      </c>
      <c r="B968" s="1" t="n">
        <v>45471.94401620371</v>
      </c>
      <c r="C968" s="1" t="n">
        <v>46165</v>
      </c>
      <c r="D968" t="inlineStr">
        <is>
          <t>VÄSTERNORRLANDS LÄN</t>
        </is>
      </c>
      <c r="E968" t="inlineStr">
        <is>
          <t>SUNDSVALL</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45234-2025</t>
        </is>
      </c>
      <c r="B969" s="1" t="n">
        <v>45919.59416666667</v>
      </c>
      <c r="C969" s="1" t="n">
        <v>46165</v>
      </c>
      <c r="D969" t="inlineStr">
        <is>
          <t>VÄSTERNORRLANDS LÄN</t>
        </is>
      </c>
      <c r="E969" t="inlineStr">
        <is>
          <t>SUNDSVALL</t>
        </is>
      </c>
      <c r="F969" t="inlineStr">
        <is>
          <t>SCA</t>
        </is>
      </c>
      <c r="G969" t="n">
        <v>10.8</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46165</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11023-2025</t>
        </is>
      </c>
      <c r="B971" s="1" t="n">
        <v>45723.46907407408</v>
      </c>
      <c r="C971" s="1" t="n">
        <v>46165</v>
      </c>
      <c r="D971" t="inlineStr">
        <is>
          <t>VÄSTERNORRLANDS LÄN</t>
        </is>
      </c>
      <c r="E971" t="inlineStr">
        <is>
          <t>SUNDSVALL</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9561-2024</t>
        </is>
      </c>
      <c r="B972" s="1" t="n">
        <v>45360</v>
      </c>
      <c r="C972" s="1" t="n">
        <v>46165</v>
      </c>
      <c r="D972" t="inlineStr">
        <is>
          <t>VÄSTERNORRLANDS LÄN</t>
        </is>
      </c>
      <c r="E972" t="inlineStr">
        <is>
          <t>SUNDSVALL</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45571-2025</t>
        </is>
      </c>
      <c r="B973" s="1" t="n">
        <v>45922.65731481482</v>
      </c>
      <c r="C973" s="1" t="n">
        <v>46165</v>
      </c>
      <c r="D973" t="inlineStr">
        <is>
          <t>VÄSTERNORRLANDS LÄN</t>
        </is>
      </c>
      <c r="E973" t="inlineStr">
        <is>
          <t>SUNDSVALL</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45846-2025</t>
        </is>
      </c>
      <c r="B974" s="1" t="n">
        <v>45923.61597222222</v>
      </c>
      <c r="C974" s="1" t="n">
        <v>46165</v>
      </c>
      <c r="D974" t="inlineStr">
        <is>
          <t>VÄSTERNORRLANDS LÄN</t>
        </is>
      </c>
      <c r="E974" t="inlineStr">
        <is>
          <t>SUNDSVALL</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45753-2025</t>
        </is>
      </c>
      <c r="B975" s="1" t="n">
        <v>45923.49008101852</v>
      </c>
      <c r="C975" s="1" t="n">
        <v>46165</v>
      </c>
      <c r="D975" t="inlineStr">
        <is>
          <t>VÄSTERNORRLANDS LÄN</t>
        </is>
      </c>
      <c r="E975" t="inlineStr">
        <is>
          <t>SUNDSVALL</t>
        </is>
      </c>
      <c r="F975" t="inlineStr">
        <is>
          <t>SCA</t>
        </is>
      </c>
      <c r="G975" t="n">
        <v>14.5</v>
      </c>
      <c r="H975" t="n">
        <v>0</v>
      </c>
      <c r="I975" t="n">
        <v>0</v>
      </c>
      <c r="J975" t="n">
        <v>0</v>
      </c>
      <c r="K975" t="n">
        <v>0</v>
      </c>
      <c r="L975" t="n">
        <v>0</v>
      </c>
      <c r="M975" t="n">
        <v>0</v>
      </c>
      <c r="N975" t="n">
        <v>0</v>
      </c>
      <c r="O975" t="n">
        <v>0</v>
      </c>
      <c r="P975" t="n">
        <v>0</v>
      </c>
      <c r="Q975" t="n">
        <v>0</v>
      </c>
      <c r="R975" s="2" t="inlineStr"/>
    </row>
    <row r="976" ht="15" customHeight="1">
      <c r="A976" t="inlineStr">
        <is>
          <t>A 57875-2024</t>
        </is>
      </c>
      <c r="B976" s="1" t="n">
        <v>45631.44851851852</v>
      </c>
      <c r="C976" s="1" t="n">
        <v>46165</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45845-2025</t>
        </is>
      </c>
      <c r="B977" s="1" t="n">
        <v>45923.61579861111</v>
      </c>
      <c r="C977" s="1" t="n">
        <v>46165</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45874-2025</t>
        </is>
      </c>
      <c r="B978" s="1" t="n">
        <v>45923.65667824074</v>
      </c>
      <c r="C978" s="1" t="n">
        <v>46165</v>
      </c>
      <c r="D978" t="inlineStr">
        <is>
          <t>VÄSTERNORRLANDS LÄN</t>
        </is>
      </c>
      <c r="E978" t="inlineStr">
        <is>
          <t>SUNDSVALL</t>
        </is>
      </c>
      <c r="F978" t="inlineStr">
        <is>
          <t>SCA</t>
        </is>
      </c>
      <c r="G978" t="n">
        <v>16.3</v>
      </c>
      <c r="H978" t="n">
        <v>0</v>
      </c>
      <c r="I978" t="n">
        <v>0</v>
      </c>
      <c r="J978" t="n">
        <v>0</v>
      </c>
      <c r="K978" t="n">
        <v>0</v>
      </c>
      <c r="L978" t="n">
        <v>0</v>
      </c>
      <c r="M978" t="n">
        <v>0</v>
      </c>
      <c r="N978" t="n">
        <v>0</v>
      </c>
      <c r="O978" t="n">
        <v>0</v>
      </c>
      <c r="P978" t="n">
        <v>0</v>
      </c>
      <c r="Q978" t="n">
        <v>0</v>
      </c>
      <c r="R978" s="2" t="inlineStr"/>
    </row>
    <row r="979" ht="15" customHeight="1">
      <c r="A979" t="inlineStr">
        <is>
          <t>A 50203-2024</t>
        </is>
      </c>
      <c r="B979" s="1" t="n">
        <v>45600.49369212963</v>
      </c>
      <c r="C979" s="1" t="n">
        <v>46165</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45768-2025</t>
        </is>
      </c>
      <c r="B980" s="1" t="n">
        <v>45923.53170138889</v>
      </c>
      <c r="C980" s="1" t="n">
        <v>46165</v>
      </c>
      <c r="D980" t="inlineStr">
        <is>
          <t>VÄSTERNORRLANDS LÄN</t>
        </is>
      </c>
      <c r="E980" t="inlineStr">
        <is>
          <t>SUNDSVALL</t>
        </is>
      </c>
      <c r="F980" t="inlineStr">
        <is>
          <t>SCA</t>
        </is>
      </c>
      <c r="G980" t="n">
        <v>9.5</v>
      </c>
      <c r="H980" t="n">
        <v>0</v>
      </c>
      <c r="I980" t="n">
        <v>0</v>
      </c>
      <c r="J980" t="n">
        <v>0</v>
      </c>
      <c r="K980" t="n">
        <v>0</v>
      </c>
      <c r="L980" t="n">
        <v>0</v>
      </c>
      <c r="M980" t="n">
        <v>0</v>
      </c>
      <c r="N980" t="n">
        <v>0</v>
      </c>
      <c r="O980" t="n">
        <v>0</v>
      </c>
      <c r="P980" t="n">
        <v>0</v>
      </c>
      <c r="Q980" t="n">
        <v>0</v>
      </c>
      <c r="R980" s="2" t="inlineStr"/>
      <c r="U980">
        <f>HYPERLINK("https://klasma.github.io/Logging_2281/knärot/A 45768-2025 karta knärot.png", "A 45768-2025")</f>
        <v/>
      </c>
      <c r="V980">
        <f>HYPERLINK("https://klasma.github.io/Logging_2281/klagomål/A 45768-2025 FSC-klagomål.docx", "A 45768-2025")</f>
        <v/>
      </c>
      <c r="W980">
        <f>HYPERLINK("https://klasma.github.io/Logging_2281/klagomålsmail/A 45768-2025 FSC-klagomål mail.docx", "A 45768-2025")</f>
        <v/>
      </c>
      <c r="X980">
        <f>HYPERLINK("https://klasma.github.io/Logging_2281/tillsyn/A 45768-2025 tillsynsbegäran.docx", "A 45768-2025")</f>
        <v/>
      </c>
      <c r="Y980">
        <f>HYPERLINK("https://klasma.github.io/Logging_2281/tillsynsmail/A 45768-2025 tillsynsbegäran mail.docx", "A 45768-2025")</f>
        <v/>
      </c>
    </row>
    <row r="981" ht="15" customHeight="1">
      <c r="A981" t="inlineStr">
        <is>
          <t>A 3740-2025</t>
        </is>
      </c>
      <c r="B981" s="1" t="n">
        <v>45681.57350694444</v>
      </c>
      <c r="C981" s="1" t="n">
        <v>46165</v>
      </c>
      <c r="D981" t="inlineStr">
        <is>
          <t>VÄSTERNORRLANDS LÄN</t>
        </is>
      </c>
      <c r="E981" t="inlineStr">
        <is>
          <t>SUNDSVALL</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30560-2024</t>
        </is>
      </c>
      <c r="B982" s="1" t="n">
        <v>45492.92827546296</v>
      </c>
      <c r="C982" s="1" t="n">
        <v>46165</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52231-2023</t>
        </is>
      </c>
      <c r="B983" s="1" t="n">
        <v>45217</v>
      </c>
      <c r="C983" s="1" t="n">
        <v>46165</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45840-2025</t>
        </is>
      </c>
      <c r="B984" s="1" t="n">
        <v>45923.61502314815</v>
      </c>
      <c r="C984" s="1" t="n">
        <v>46165</v>
      </c>
      <c r="D984" t="inlineStr">
        <is>
          <t>VÄSTERNORRLANDS LÄN</t>
        </is>
      </c>
      <c r="E984" t="inlineStr">
        <is>
          <t>SUNDSVALL</t>
        </is>
      </c>
      <c r="F984" t="inlineStr">
        <is>
          <t>SCA</t>
        </is>
      </c>
      <c r="G984" t="n">
        <v>0.3</v>
      </c>
      <c r="H984" t="n">
        <v>0</v>
      </c>
      <c r="I984" t="n">
        <v>0</v>
      </c>
      <c r="J984" t="n">
        <v>0</v>
      </c>
      <c r="K984" t="n">
        <v>0</v>
      </c>
      <c r="L984" t="n">
        <v>0</v>
      </c>
      <c r="M984" t="n">
        <v>0</v>
      </c>
      <c r="N984" t="n">
        <v>0</v>
      </c>
      <c r="O984" t="n">
        <v>0</v>
      </c>
      <c r="P984" t="n">
        <v>0</v>
      </c>
      <c r="Q984" t="n">
        <v>0</v>
      </c>
      <c r="R984" s="2" t="inlineStr"/>
    </row>
    <row r="985" ht="15" customHeight="1">
      <c r="A985" t="inlineStr">
        <is>
          <t>A 45517-2025</t>
        </is>
      </c>
      <c r="B985" s="1" t="n">
        <v>45922.58853009259</v>
      </c>
      <c r="C985" s="1" t="n">
        <v>46165</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34607-2024</t>
        </is>
      </c>
      <c r="B986" s="1" t="n">
        <v>45526</v>
      </c>
      <c r="C986" s="1" t="n">
        <v>46165</v>
      </c>
      <c r="D986" t="inlineStr">
        <is>
          <t>VÄSTERNORRLANDS LÄN</t>
        </is>
      </c>
      <c r="E986" t="inlineStr">
        <is>
          <t>SUNDSVALL</t>
        </is>
      </c>
      <c r="G986" t="n">
        <v>3</v>
      </c>
      <c r="H986" t="n">
        <v>0</v>
      </c>
      <c r="I986" t="n">
        <v>0</v>
      </c>
      <c r="J986" t="n">
        <v>0</v>
      </c>
      <c r="K986" t="n">
        <v>0</v>
      </c>
      <c r="L986" t="n">
        <v>0</v>
      </c>
      <c r="M986" t="n">
        <v>0</v>
      </c>
      <c r="N986" t="n">
        <v>0</v>
      </c>
      <c r="O986" t="n">
        <v>0</v>
      </c>
      <c r="P986" t="n">
        <v>0</v>
      </c>
      <c r="Q986" t="n">
        <v>0</v>
      </c>
      <c r="R986" s="2" t="inlineStr"/>
    </row>
    <row r="987" ht="15" customHeight="1">
      <c r="A987" t="inlineStr">
        <is>
          <t>A 46120-2025</t>
        </is>
      </c>
      <c r="B987" s="1" t="n">
        <v>45924.58050925926</v>
      </c>
      <c r="C987" s="1" t="n">
        <v>46165</v>
      </c>
      <c r="D987" t="inlineStr">
        <is>
          <t>VÄSTERNORRLANDS LÄN</t>
        </is>
      </c>
      <c r="E987" t="inlineStr">
        <is>
          <t>SUNDSVALL</t>
        </is>
      </c>
      <c r="G987" t="n">
        <v>1.6</v>
      </c>
      <c r="H987" t="n">
        <v>0</v>
      </c>
      <c r="I987" t="n">
        <v>0</v>
      </c>
      <c r="J987" t="n">
        <v>0</v>
      </c>
      <c r="K987" t="n">
        <v>0</v>
      </c>
      <c r="L987" t="n">
        <v>0</v>
      </c>
      <c r="M987" t="n">
        <v>0</v>
      </c>
      <c r="N987" t="n">
        <v>0</v>
      </c>
      <c r="O987" t="n">
        <v>0</v>
      </c>
      <c r="P987" t="n">
        <v>0</v>
      </c>
      <c r="Q987" t="n">
        <v>0</v>
      </c>
      <c r="R987" s="2" t="inlineStr"/>
    </row>
    <row r="988" ht="15" customHeight="1">
      <c r="A988" t="inlineStr">
        <is>
          <t>A 54584-2024</t>
        </is>
      </c>
      <c r="B988" s="1" t="n">
        <v>45617.65747685185</v>
      </c>
      <c r="C988" s="1" t="n">
        <v>46165</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8418-2024</t>
        </is>
      </c>
      <c r="B989" s="1" t="n">
        <v>45352.98878472222</v>
      </c>
      <c r="C989" s="1" t="n">
        <v>46165</v>
      </c>
      <c r="D989" t="inlineStr">
        <is>
          <t>VÄSTERNORRLANDS LÄN</t>
        </is>
      </c>
      <c r="E989" t="inlineStr">
        <is>
          <t>SUNDSVALL</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46255-2025</t>
        </is>
      </c>
      <c r="B990" s="1" t="n">
        <v>45925.34540509259</v>
      </c>
      <c r="C990" s="1" t="n">
        <v>46165</v>
      </c>
      <c r="D990" t="inlineStr">
        <is>
          <t>VÄSTERNORRLANDS LÄN</t>
        </is>
      </c>
      <c r="E990" t="inlineStr">
        <is>
          <t>SUNDSVALL</t>
        </is>
      </c>
      <c r="G990" t="n">
        <v>1.5</v>
      </c>
      <c r="H990" t="n">
        <v>0</v>
      </c>
      <c r="I990" t="n">
        <v>0</v>
      </c>
      <c r="J990" t="n">
        <v>0</v>
      </c>
      <c r="K990" t="n">
        <v>0</v>
      </c>
      <c r="L990" t="n">
        <v>0</v>
      </c>
      <c r="M990" t="n">
        <v>0</v>
      </c>
      <c r="N990" t="n">
        <v>0</v>
      </c>
      <c r="O990" t="n">
        <v>0</v>
      </c>
      <c r="P990" t="n">
        <v>0</v>
      </c>
      <c r="Q990" t="n">
        <v>0</v>
      </c>
      <c r="R990" s="2" t="inlineStr"/>
    </row>
    <row r="991" ht="15" customHeight="1">
      <c r="A991" t="inlineStr">
        <is>
          <t>A 62283-2023</t>
        </is>
      </c>
      <c r="B991" s="1" t="n">
        <v>45266</v>
      </c>
      <c r="C991" s="1" t="n">
        <v>46165</v>
      </c>
      <c r="D991" t="inlineStr">
        <is>
          <t>VÄSTERNORRLANDS LÄN</t>
        </is>
      </c>
      <c r="E991" t="inlineStr">
        <is>
          <t>SUNDSVALL</t>
        </is>
      </c>
      <c r="G991" t="n">
        <v>6.4</v>
      </c>
      <c r="H991" t="n">
        <v>0</v>
      </c>
      <c r="I991" t="n">
        <v>0</v>
      </c>
      <c r="J991" t="n">
        <v>0</v>
      </c>
      <c r="K991" t="n">
        <v>0</v>
      </c>
      <c r="L991" t="n">
        <v>0</v>
      </c>
      <c r="M991" t="n">
        <v>0</v>
      </c>
      <c r="N991" t="n">
        <v>0</v>
      </c>
      <c r="O991" t="n">
        <v>0</v>
      </c>
      <c r="P991" t="n">
        <v>0</v>
      </c>
      <c r="Q991" t="n">
        <v>0</v>
      </c>
      <c r="R991" s="2" t="inlineStr"/>
    </row>
    <row r="992" ht="15" customHeight="1">
      <c r="A992" t="inlineStr">
        <is>
          <t>A 46385-2025</t>
        </is>
      </c>
      <c r="B992" s="1" t="n">
        <v>45925.53165509259</v>
      </c>
      <c r="C992" s="1" t="n">
        <v>46165</v>
      </c>
      <c r="D992" t="inlineStr">
        <is>
          <t>VÄSTERNORRLANDS LÄN</t>
        </is>
      </c>
      <c r="E992" t="inlineStr">
        <is>
          <t>SUNDSVALL</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45972-2025</t>
        </is>
      </c>
      <c r="B993" s="1" t="n">
        <v>45924</v>
      </c>
      <c r="C993" s="1" t="n">
        <v>46165</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45968-2025</t>
        </is>
      </c>
      <c r="B994" s="1" t="n">
        <v>45924</v>
      </c>
      <c r="C994" s="1" t="n">
        <v>46165</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6239-2022</t>
        </is>
      </c>
      <c r="B995" s="1" t="n">
        <v>44599</v>
      </c>
      <c r="C995" s="1" t="n">
        <v>46165</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10984-2022</t>
        </is>
      </c>
      <c r="B996" s="1" t="n">
        <v>44628</v>
      </c>
      <c r="C996" s="1" t="n">
        <v>46165</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10988-2022</t>
        </is>
      </c>
      <c r="B997" s="1" t="n">
        <v>44628</v>
      </c>
      <c r="C997" s="1" t="n">
        <v>46165</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40798-2023</t>
        </is>
      </c>
      <c r="B998" s="1" t="n">
        <v>45170</v>
      </c>
      <c r="C998" s="1" t="n">
        <v>46165</v>
      </c>
      <c r="D998" t="inlineStr">
        <is>
          <t>VÄSTERNORRLANDS LÄN</t>
        </is>
      </c>
      <c r="E998" t="inlineStr">
        <is>
          <t>SUNDSVALL</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46266-2025</t>
        </is>
      </c>
      <c r="B999" s="1" t="n">
        <v>45925.36525462963</v>
      </c>
      <c r="C999" s="1" t="n">
        <v>46165</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46356-2025</t>
        </is>
      </c>
      <c r="B1000" s="1" t="n">
        <v>45925.49037037037</v>
      </c>
      <c r="C1000" s="1" t="n">
        <v>46165</v>
      </c>
      <c r="D1000" t="inlineStr">
        <is>
          <t>VÄSTERNORRLANDS LÄN</t>
        </is>
      </c>
      <c r="E1000" t="inlineStr">
        <is>
          <t>SUNDSVALL</t>
        </is>
      </c>
      <c r="F1000" t="inlineStr">
        <is>
          <t>SCA</t>
        </is>
      </c>
      <c r="G1000" t="n">
        <v>22.4</v>
      </c>
      <c r="H1000" t="n">
        <v>0</v>
      </c>
      <c r="I1000" t="n">
        <v>0</v>
      </c>
      <c r="J1000" t="n">
        <v>0</v>
      </c>
      <c r="K1000" t="n">
        <v>0</v>
      </c>
      <c r="L1000" t="n">
        <v>0</v>
      </c>
      <c r="M1000" t="n">
        <v>0</v>
      </c>
      <c r="N1000" t="n">
        <v>0</v>
      </c>
      <c r="O1000" t="n">
        <v>0</v>
      </c>
      <c r="P1000" t="n">
        <v>0</v>
      </c>
      <c r="Q1000" t="n">
        <v>0</v>
      </c>
      <c r="R1000" s="2" t="inlineStr"/>
    </row>
    <row r="1001" ht="15" customHeight="1">
      <c r="A1001" t="inlineStr">
        <is>
          <t>A 46187-2025</t>
        </is>
      </c>
      <c r="B1001" s="1" t="n">
        <v>45924.66307870371</v>
      </c>
      <c r="C1001" s="1" t="n">
        <v>46165</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46899-2025</t>
        </is>
      </c>
      <c r="B1002" s="1" t="n">
        <v>45929.3870949074</v>
      </c>
      <c r="C1002" s="1" t="n">
        <v>46165</v>
      </c>
      <c r="D1002" t="inlineStr">
        <is>
          <t>VÄSTERNORRLANDS LÄN</t>
        </is>
      </c>
      <c r="E1002" t="inlineStr">
        <is>
          <t>SUNDSVALL</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46936-2025</t>
        </is>
      </c>
      <c r="B1003" s="1" t="n">
        <v>45929.44827546296</v>
      </c>
      <c r="C1003" s="1" t="n">
        <v>46165</v>
      </c>
      <c r="D1003" t="inlineStr">
        <is>
          <t>VÄSTERNORRLANDS LÄN</t>
        </is>
      </c>
      <c r="E1003" t="inlineStr">
        <is>
          <t>SUNDSVALL</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47071-2025</t>
        </is>
      </c>
      <c r="B1004" s="1" t="n">
        <v>45929.63642361111</v>
      </c>
      <c r="C1004" s="1" t="n">
        <v>46165</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11764-2025</t>
        </is>
      </c>
      <c r="B1005" s="1" t="n">
        <v>45727.65665509259</v>
      </c>
      <c r="C1005" s="1" t="n">
        <v>46165</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5421-2024</t>
        </is>
      </c>
      <c r="B1006" s="1" t="n">
        <v>45331</v>
      </c>
      <c r="C1006" s="1" t="n">
        <v>46165</v>
      </c>
      <c r="D1006" t="inlineStr">
        <is>
          <t>VÄSTERNORRLANDS LÄN</t>
        </is>
      </c>
      <c r="E1006" t="inlineStr">
        <is>
          <t>SUNDSVALL</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47149-2025</t>
        </is>
      </c>
      <c r="B1007" s="1" t="n">
        <v>45929.71913194445</v>
      </c>
      <c r="C1007" s="1" t="n">
        <v>46165</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58037-2021</t>
        </is>
      </c>
      <c r="B1008" s="1" t="n">
        <v>44487</v>
      </c>
      <c r="C1008" s="1" t="n">
        <v>46165</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60611-2024</t>
        </is>
      </c>
      <c r="B1009" s="1" t="n">
        <v>45644.38586805556</v>
      </c>
      <c r="C1009" s="1" t="n">
        <v>46165</v>
      </c>
      <c r="D1009" t="inlineStr">
        <is>
          <t>VÄSTERNORRLANDS LÄN</t>
        </is>
      </c>
      <c r="E1009" t="inlineStr">
        <is>
          <t>SUNDSVALL</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46792-2025</t>
        </is>
      </c>
      <c r="B1010" s="1" t="n">
        <v>45926.65543981481</v>
      </c>
      <c r="C1010" s="1" t="n">
        <v>46165</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28611-2024</t>
        </is>
      </c>
      <c r="B1011" s="1" t="n">
        <v>45478</v>
      </c>
      <c r="C1011" s="1" t="n">
        <v>46165</v>
      </c>
      <c r="D1011" t="inlineStr">
        <is>
          <t>VÄSTERNORRLANDS LÄN</t>
        </is>
      </c>
      <c r="E1011" t="inlineStr">
        <is>
          <t>SUNDSVALL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46669-2025</t>
        </is>
      </c>
      <c r="B1012" s="1" t="n">
        <v>45926.53166666667</v>
      </c>
      <c r="C1012" s="1" t="n">
        <v>46165</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46791-2025</t>
        </is>
      </c>
      <c r="B1013" s="1" t="n">
        <v>45926.65502314815</v>
      </c>
      <c r="C1013" s="1" t="n">
        <v>46165</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18933-2024</t>
        </is>
      </c>
      <c r="B1014" s="1" t="n">
        <v>45427.44076388889</v>
      </c>
      <c r="C1014" s="1" t="n">
        <v>46165</v>
      </c>
      <c r="D1014" t="inlineStr">
        <is>
          <t>VÄSTERNORRLANDS LÄN</t>
        </is>
      </c>
      <c r="E1014" t="inlineStr">
        <is>
          <t>SUNDSVALL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47346-2025</t>
        </is>
      </c>
      <c r="B1015" s="1" t="n">
        <v>45930.57329861111</v>
      </c>
      <c r="C1015" s="1" t="n">
        <v>46165</v>
      </c>
      <c r="D1015" t="inlineStr">
        <is>
          <t>VÄSTERNORRLANDS LÄN</t>
        </is>
      </c>
      <c r="E1015" t="inlineStr">
        <is>
          <t>SUNDSVALL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13440-2025</t>
        </is>
      </c>
      <c r="B1016" s="1" t="n">
        <v>45736</v>
      </c>
      <c r="C1016" s="1" t="n">
        <v>46165</v>
      </c>
      <c r="D1016" t="inlineStr">
        <is>
          <t>VÄSTERNORRLANDS LÄN</t>
        </is>
      </c>
      <c r="E1016" t="inlineStr">
        <is>
          <t>SUNDSVALL</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13488-2025</t>
        </is>
      </c>
      <c r="B1017" s="1" t="n">
        <v>45736</v>
      </c>
      <c r="C1017" s="1" t="n">
        <v>46165</v>
      </c>
      <c r="D1017" t="inlineStr">
        <is>
          <t>VÄSTERNORRLANDS LÄN</t>
        </is>
      </c>
      <c r="E1017" t="inlineStr">
        <is>
          <t>SUNDSVALL</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47673-2025</t>
        </is>
      </c>
      <c r="B1018" s="1" t="n">
        <v>45931.57407407407</v>
      </c>
      <c r="C1018" s="1" t="n">
        <v>46165</v>
      </c>
      <c r="D1018" t="inlineStr">
        <is>
          <t>VÄSTERNORRLANDS LÄN</t>
        </is>
      </c>
      <c r="E1018" t="inlineStr">
        <is>
          <t>SUNDSVALL</t>
        </is>
      </c>
      <c r="F1018" t="inlineStr">
        <is>
          <t>SCA</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47455-2025</t>
        </is>
      </c>
      <c r="B1019" s="1" t="n">
        <v>45930</v>
      </c>
      <c r="C1019" s="1" t="n">
        <v>46165</v>
      </c>
      <c r="D1019" t="inlineStr">
        <is>
          <t>VÄSTERNORRLANDS LÄN</t>
        </is>
      </c>
      <c r="E1019" t="inlineStr">
        <is>
          <t>SUNDSVALL</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11263-2025</t>
        </is>
      </c>
      <c r="B1020" s="1" t="n">
        <v>45726</v>
      </c>
      <c r="C1020" s="1" t="n">
        <v>46165</v>
      </c>
      <c r="D1020" t="inlineStr">
        <is>
          <t>VÄSTERNORRLANDS LÄN</t>
        </is>
      </c>
      <c r="E1020" t="inlineStr">
        <is>
          <t>SUNDSVALL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47671-2025</t>
        </is>
      </c>
      <c r="B1021" s="1" t="n">
        <v>45931.57368055556</v>
      </c>
      <c r="C1021" s="1" t="n">
        <v>46165</v>
      </c>
      <c r="D1021" t="inlineStr">
        <is>
          <t>VÄSTERNORRLANDS LÄN</t>
        </is>
      </c>
      <c r="E1021" t="inlineStr">
        <is>
          <t>SUNDSVALL</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47672-2025</t>
        </is>
      </c>
      <c r="B1022" s="1" t="n">
        <v>45931.57385416667</v>
      </c>
      <c r="C1022" s="1" t="n">
        <v>46165</v>
      </c>
      <c r="D1022" t="inlineStr">
        <is>
          <t>VÄSTERNORRLANDS LÄN</t>
        </is>
      </c>
      <c r="E1022" t="inlineStr">
        <is>
          <t>SUNDSVALL</t>
        </is>
      </c>
      <c r="F1022" t="inlineStr">
        <is>
          <t>SCA</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47670-2025</t>
        </is>
      </c>
      <c r="B1023" s="1" t="n">
        <v>45931.57358796296</v>
      </c>
      <c r="C1023" s="1" t="n">
        <v>46165</v>
      </c>
      <c r="D1023" t="inlineStr">
        <is>
          <t>VÄSTERNORRLANDS LÄN</t>
        </is>
      </c>
      <c r="E1023" t="inlineStr">
        <is>
          <t>SUNDSVALL</t>
        </is>
      </c>
      <c r="F1023" t="inlineStr">
        <is>
          <t>SCA</t>
        </is>
      </c>
      <c r="G1023" t="n">
        <v>20.8</v>
      </c>
      <c r="H1023" t="n">
        <v>0</v>
      </c>
      <c r="I1023" t="n">
        <v>0</v>
      </c>
      <c r="J1023" t="n">
        <v>0</v>
      </c>
      <c r="K1023" t="n">
        <v>0</v>
      </c>
      <c r="L1023" t="n">
        <v>0</v>
      </c>
      <c r="M1023" t="n">
        <v>0</v>
      </c>
      <c r="N1023" t="n">
        <v>0</v>
      </c>
      <c r="O1023" t="n">
        <v>0</v>
      </c>
      <c r="P1023" t="n">
        <v>0</v>
      </c>
      <c r="Q1023" t="n">
        <v>0</v>
      </c>
      <c r="R1023" s="2" t="inlineStr"/>
    </row>
    <row r="1024" ht="15" customHeight="1">
      <c r="A1024" t="inlineStr">
        <is>
          <t>A 8888-2024</t>
        </is>
      </c>
      <c r="B1024" s="1" t="n">
        <v>45357</v>
      </c>
      <c r="C1024" s="1" t="n">
        <v>46165</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8962-2024</t>
        </is>
      </c>
      <c r="B1025" s="1" t="n">
        <v>45357.46949074074</v>
      </c>
      <c r="C1025" s="1" t="n">
        <v>46165</v>
      </c>
      <c r="D1025" t="inlineStr">
        <is>
          <t>VÄSTERNORRLANDS LÄN</t>
        </is>
      </c>
      <c r="E1025" t="inlineStr">
        <is>
          <t>SUNDSVALL</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47380-2025</t>
        </is>
      </c>
      <c r="B1026" s="1" t="n">
        <v>45930.59491898148</v>
      </c>
      <c r="C1026" s="1" t="n">
        <v>46165</v>
      </c>
      <c r="D1026" t="inlineStr">
        <is>
          <t>VÄSTERNORRLANDS LÄN</t>
        </is>
      </c>
      <c r="E1026" t="inlineStr">
        <is>
          <t>SUNDSVALL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47378-2025</t>
        </is>
      </c>
      <c r="B1027" s="1" t="n">
        <v>45930.59487268519</v>
      </c>
      <c r="C1027" s="1" t="n">
        <v>46165</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2585-2025</t>
        </is>
      </c>
      <c r="B1028" s="1" t="n">
        <v>45674.68055555555</v>
      </c>
      <c r="C1028" s="1" t="n">
        <v>46165</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53451-2023</t>
        </is>
      </c>
      <c r="B1029" s="1" t="n">
        <v>45229.96545138889</v>
      </c>
      <c r="C1029" s="1" t="n">
        <v>46165</v>
      </c>
      <c r="D1029" t="inlineStr">
        <is>
          <t>VÄSTERNORRLANDS LÄN</t>
        </is>
      </c>
      <c r="E1029" t="inlineStr">
        <is>
          <t>SUNDSVALL</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123-2024</t>
        </is>
      </c>
      <c r="B1030" s="1" t="n">
        <v>45294.3955324074</v>
      </c>
      <c r="C1030" s="1" t="n">
        <v>46165</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47379-2025</t>
        </is>
      </c>
      <c r="B1031" s="1" t="n">
        <v>45930.59488425926</v>
      </c>
      <c r="C1031" s="1" t="n">
        <v>46165</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3962-2025</t>
        </is>
      </c>
      <c r="B1032" s="1" t="n">
        <v>45684.50478009259</v>
      </c>
      <c r="C1032" s="1" t="n">
        <v>46165</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47482-2025</t>
        </is>
      </c>
      <c r="B1033" s="1" t="n">
        <v>45930</v>
      </c>
      <c r="C1033" s="1" t="n">
        <v>46165</v>
      </c>
      <c r="D1033" t="inlineStr">
        <is>
          <t>VÄSTERNORRLANDS LÄN</t>
        </is>
      </c>
      <c r="E1033" t="inlineStr">
        <is>
          <t>SUNDSVALL</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54578-2022</t>
        </is>
      </c>
      <c r="B1034" s="1" t="n">
        <v>44882</v>
      </c>
      <c r="C1034" s="1" t="n">
        <v>46165</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48239-2025</t>
        </is>
      </c>
      <c r="B1035" s="1" t="n">
        <v>45933.53252314815</v>
      </c>
      <c r="C1035" s="1" t="n">
        <v>46165</v>
      </c>
      <c r="D1035" t="inlineStr">
        <is>
          <t>VÄSTERNORRLANDS LÄN</t>
        </is>
      </c>
      <c r="E1035" t="inlineStr">
        <is>
          <t>SUNDSVALL</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10993-2022</t>
        </is>
      </c>
      <c r="B1036" s="1" t="n">
        <v>44628.46541666667</v>
      </c>
      <c r="C1036" s="1" t="n">
        <v>46165</v>
      </c>
      <c r="D1036" t="inlineStr">
        <is>
          <t>VÄSTERNORRLANDS LÄN</t>
        </is>
      </c>
      <c r="E1036" t="inlineStr">
        <is>
          <t>SUNDSVALL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21637-2023</t>
        </is>
      </c>
      <c r="B1037" s="1" t="n">
        <v>45063</v>
      </c>
      <c r="C1037" s="1" t="n">
        <v>46165</v>
      </c>
      <c r="D1037" t="inlineStr">
        <is>
          <t>VÄSTERNORRLANDS LÄN</t>
        </is>
      </c>
      <c r="E1037" t="inlineStr">
        <is>
          <t>SUNDSVALL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50829-2023</t>
        </is>
      </c>
      <c r="B1038" s="1" t="n">
        <v>45217</v>
      </c>
      <c r="C1038" s="1" t="n">
        <v>46165</v>
      </c>
      <c r="D1038" t="inlineStr">
        <is>
          <t>VÄSTERNORRLANDS LÄN</t>
        </is>
      </c>
      <c r="E1038" t="inlineStr">
        <is>
          <t>SUNDSVALL</t>
        </is>
      </c>
      <c r="F1038" t="inlineStr">
        <is>
          <t>SCA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35818-2023</t>
        </is>
      </c>
      <c r="B1039" s="1" t="n">
        <v>45147</v>
      </c>
      <c r="C1039" s="1" t="n">
        <v>46165</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48336-2025</t>
        </is>
      </c>
      <c r="B1040" s="1" t="n">
        <v>45933</v>
      </c>
      <c r="C1040" s="1" t="n">
        <v>46165</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48352-2025</t>
        </is>
      </c>
      <c r="B1041" s="1" t="n">
        <v>45933</v>
      </c>
      <c r="C1041" s="1" t="n">
        <v>46165</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48350-2025</t>
        </is>
      </c>
      <c r="B1042" s="1" t="n">
        <v>45933.65699074074</v>
      </c>
      <c r="C1042" s="1" t="n">
        <v>46165</v>
      </c>
      <c r="D1042" t="inlineStr">
        <is>
          <t>VÄSTERNORRLANDS LÄN</t>
        </is>
      </c>
      <c r="E1042" t="inlineStr">
        <is>
          <t>SUNDSVALL</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37408-2023</t>
        </is>
      </c>
      <c r="B1043" s="1" t="n">
        <v>45156</v>
      </c>
      <c r="C1043" s="1" t="n">
        <v>46165</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48048-2025</t>
        </is>
      </c>
      <c r="B1044" s="1" t="n">
        <v>45932.67753472222</v>
      </c>
      <c r="C1044" s="1" t="n">
        <v>46165</v>
      </c>
      <c r="D1044" t="inlineStr">
        <is>
          <t>VÄSTERNORRLANDS LÄN</t>
        </is>
      </c>
      <c r="E1044" t="inlineStr">
        <is>
          <t>SUNDSVALL</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48054-2025</t>
        </is>
      </c>
      <c r="B1045" s="1" t="n">
        <v>45932.67890046296</v>
      </c>
      <c r="C1045" s="1" t="n">
        <v>46165</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48864-2021</t>
        </is>
      </c>
      <c r="B1046" s="1" t="n">
        <v>44452.94085648148</v>
      </c>
      <c r="C1046" s="1" t="n">
        <v>46165</v>
      </c>
      <c r="D1046" t="inlineStr">
        <is>
          <t>VÄSTERNORRLANDS LÄN</t>
        </is>
      </c>
      <c r="E1046" t="inlineStr">
        <is>
          <t>SUNDSVALL</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48233-2025</t>
        </is>
      </c>
      <c r="B1047" s="1" t="n">
        <v>45933.53196759259</v>
      </c>
      <c r="C1047" s="1" t="n">
        <v>46165</v>
      </c>
      <c r="D1047" t="inlineStr">
        <is>
          <t>VÄSTERNORRLANDS LÄN</t>
        </is>
      </c>
      <c r="E1047" t="inlineStr">
        <is>
          <t>SUNDSVALL</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39795-2023</t>
        </is>
      </c>
      <c r="B1048" s="1" t="n">
        <v>45167</v>
      </c>
      <c r="C1048" s="1" t="n">
        <v>46165</v>
      </c>
      <c r="D1048" t="inlineStr">
        <is>
          <t>VÄSTERNORRLANDS LÄN</t>
        </is>
      </c>
      <c r="E1048" t="inlineStr">
        <is>
          <t>SUNDSVALL</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48136-2025</t>
        </is>
      </c>
      <c r="B1049" s="1" t="n">
        <v>45933.37855324074</v>
      </c>
      <c r="C1049" s="1" t="n">
        <v>46165</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48192-2025</t>
        </is>
      </c>
      <c r="B1050" s="1" t="n">
        <v>45933.4696875</v>
      </c>
      <c r="C1050" s="1" t="n">
        <v>46165</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47824-2025</t>
        </is>
      </c>
      <c r="B1051" s="1" t="n">
        <v>45932.34465277778</v>
      </c>
      <c r="C1051" s="1" t="n">
        <v>46165</v>
      </c>
      <c r="D1051" t="inlineStr">
        <is>
          <t>VÄSTERNORRLANDS LÄN</t>
        </is>
      </c>
      <c r="E1051" t="inlineStr">
        <is>
          <t>SUNDSVALL</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42879-2022</t>
        </is>
      </c>
      <c r="B1052" s="1" t="n">
        <v>44832</v>
      </c>
      <c r="C1052" s="1" t="n">
        <v>46165</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1371-2023</t>
        </is>
      </c>
      <c r="B1053" s="1" t="n">
        <v>44936.66162037037</v>
      </c>
      <c r="C1053" s="1" t="n">
        <v>46165</v>
      </c>
      <c r="D1053" t="inlineStr">
        <is>
          <t>VÄSTERNORRLANDS LÄN</t>
        </is>
      </c>
      <c r="E1053" t="inlineStr">
        <is>
          <t>SUNDSVALL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27005-2022</t>
        </is>
      </c>
      <c r="B1054" s="1" t="n">
        <v>44740</v>
      </c>
      <c r="C1054" s="1" t="n">
        <v>46165</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48668-2025</t>
        </is>
      </c>
      <c r="B1055" s="1" t="n">
        <v>45936.5741550926</v>
      </c>
      <c r="C1055" s="1" t="n">
        <v>46165</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10047-2023</t>
        </is>
      </c>
      <c r="B1056" s="1" t="n">
        <v>44977</v>
      </c>
      <c r="C1056" s="1" t="n">
        <v>46165</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48472-2025</t>
        </is>
      </c>
      <c r="B1057" s="1" t="n">
        <v>45936.34538194445</v>
      </c>
      <c r="C1057" s="1" t="n">
        <v>46165</v>
      </c>
      <c r="D1057" t="inlineStr">
        <is>
          <t>VÄSTERNORRLANDS LÄN</t>
        </is>
      </c>
      <c r="E1057" t="inlineStr">
        <is>
          <t>SUNDSVALL</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48629-2025</t>
        </is>
      </c>
      <c r="B1058" s="1" t="n">
        <v>45936.51148148148</v>
      </c>
      <c r="C1058" s="1" t="n">
        <v>46165</v>
      </c>
      <c r="D1058" t="inlineStr">
        <is>
          <t>VÄSTERNORRLANDS LÄN</t>
        </is>
      </c>
      <c r="E1058" t="inlineStr">
        <is>
          <t>SUNDSVALL</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48442-2025</t>
        </is>
      </c>
      <c r="B1059" s="1" t="n">
        <v>45935.53334490741</v>
      </c>
      <c r="C1059" s="1" t="n">
        <v>46165</v>
      </c>
      <c r="D1059" t="inlineStr">
        <is>
          <t>VÄSTERNORRLANDS LÄN</t>
        </is>
      </c>
      <c r="E1059" t="inlineStr">
        <is>
          <t>SUNDSVALL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48402-2025</t>
        </is>
      </c>
      <c r="B1060" s="1" t="n">
        <v>45934.34449074074</v>
      </c>
      <c r="C1060" s="1" t="n">
        <v>46165</v>
      </c>
      <c r="D1060" t="inlineStr">
        <is>
          <t>VÄSTERNORRLANDS LÄN</t>
        </is>
      </c>
      <c r="E1060" t="inlineStr">
        <is>
          <t>SUNDSVALL</t>
        </is>
      </c>
      <c r="F1060" t="inlineStr">
        <is>
          <t>SCA</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48471-2025</t>
        </is>
      </c>
      <c r="B1061" s="1" t="n">
        <v>45936.34520833333</v>
      </c>
      <c r="C1061" s="1" t="n">
        <v>46165</v>
      </c>
      <c r="D1061" t="inlineStr">
        <is>
          <t>VÄSTERNORRLANDS LÄN</t>
        </is>
      </c>
      <c r="E1061" t="inlineStr">
        <is>
          <t>SUNDSVALL</t>
        </is>
      </c>
      <c r="F1061" t="inlineStr">
        <is>
          <t>SCA</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48410-2025</t>
        </is>
      </c>
      <c r="B1062" s="1" t="n">
        <v>45934.42759259259</v>
      </c>
      <c r="C1062" s="1" t="n">
        <v>46165</v>
      </c>
      <c r="D1062" t="inlineStr">
        <is>
          <t>VÄSTERNORRLANDS LÄN</t>
        </is>
      </c>
      <c r="E1062" t="inlineStr">
        <is>
          <t>SUNDSVALL</t>
        </is>
      </c>
      <c r="F1062" t="inlineStr">
        <is>
          <t>SCA</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48426-2025</t>
        </is>
      </c>
      <c r="B1063" s="1" t="n">
        <v>45934.71929398148</v>
      </c>
      <c r="C1063" s="1" t="n">
        <v>46165</v>
      </c>
      <c r="D1063" t="inlineStr">
        <is>
          <t>VÄSTERNORRLANDS LÄN</t>
        </is>
      </c>
      <c r="E1063" t="inlineStr">
        <is>
          <t>SUNDSVALL</t>
        </is>
      </c>
      <c r="F1063" t="inlineStr">
        <is>
          <t>SCA</t>
        </is>
      </c>
      <c r="G1063" t="n">
        <v>19.9</v>
      </c>
      <c r="H1063" t="n">
        <v>0</v>
      </c>
      <c r="I1063" t="n">
        <v>0</v>
      </c>
      <c r="J1063" t="n">
        <v>0</v>
      </c>
      <c r="K1063" t="n">
        <v>0</v>
      </c>
      <c r="L1063" t="n">
        <v>0</v>
      </c>
      <c r="M1063" t="n">
        <v>0</v>
      </c>
      <c r="N1063" t="n">
        <v>0</v>
      </c>
      <c r="O1063" t="n">
        <v>0</v>
      </c>
      <c r="P1063" t="n">
        <v>0</v>
      </c>
      <c r="Q1063" t="n">
        <v>0</v>
      </c>
      <c r="R1063" s="2" t="inlineStr"/>
    </row>
    <row r="1064" ht="15" customHeight="1">
      <c r="A1064" t="inlineStr">
        <is>
          <t>A 48605-2025</t>
        </is>
      </c>
      <c r="B1064" s="1" t="n">
        <v>45936.46971064815</v>
      </c>
      <c r="C1064" s="1" t="n">
        <v>46165</v>
      </c>
      <c r="D1064" t="inlineStr">
        <is>
          <t>VÄSTERNORRLANDS LÄN</t>
        </is>
      </c>
      <c r="E1064" t="inlineStr">
        <is>
          <t>SUNDSVALL</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48831-2025</t>
        </is>
      </c>
      <c r="B1065" s="1" t="n">
        <v>45937.3866087963</v>
      </c>
      <c r="C1065" s="1" t="n">
        <v>46165</v>
      </c>
      <c r="D1065" t="inlineStr">
        <is>
          <t>VÄSTERNORRLANDS LÄN</t>
        </is>
      </c>
      <c r="E1065" t="inlineStr">
        <is>
          <t>SUNDSVALL</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48795-2025</t>
        </is>
      </c>
      <c r="B1066" s="1" t="n">
        <v>45937.34444444445</v>
      </c>
      <c r="C1066" s="1" t="n">
        <v>46165</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59213-2023</t>
        </is>
      </c>
      <c r="B1067" s="1" t="n">
        <v>45253.4800462963</v>
      </c>
      <c r="C1067" s="1" t="n">
        <v>46165</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48913-2025</t>
        </is>
      </c>
      <c r="B1068" s="1" t="n">
        <v>45937.49005787037</v>
      </c>
      <c r="C1068" s="1" t="n">
        <v>46165</v>
      </c>
      <c r="D1068" t="inlineStr">
        <is>
          <t>VÄSTERNORRLANDS LÄN</t>
        </is>
      </c>
      <c r="E1068" t="inlineStr">
        <is>
          <t>SUNDSVALL</t>
        </is>
      </c>
      <c r="F1068" t="inlineStr">
        <is>
          <t>Naturvårdsverket</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25982-2024</t>
        </is>
      </c>
      <c r="B1069" s="1" t="n">
        <v>45467</v>
      </c>
      <c r="C1069" s="1" t="n">
        <v>46165</v>
      </c>
      <c r="D1069" t="inlineStr">
        <is>
          <t>VÄSTERNORRLANDS LÄN</t>
        </is>
      </c>
      <c r="E1069" t="inlineStr">
        <is>
          <t>SUNDSVALL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35484-2022</t>
        </is>
      </c>
      <c r="B1070" s="1" t="n">
        <v>44798.92724537037</v>
      </c>
      <c r="C1070" s="1" t="n">
        <v>46165</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48814-2025</t>
        </is>
      </c>
      <c r="B1071" s="1" t="n">
        <v>45937.36435185185</v>
      </c>
      <c r="C1071" s="1" t="n">
        <v>46165</v>
      </c>
      <c r="D1071" t="inlineStr">
        <is>
          <t>VÄSTERNORRLANDS LÄN</t>
        </is>
      </c>
      <c r="E1071" t="inlineStr">
        <is>
          <t>SUNDSVALL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48819-2025</t>
        </is>
      </c>
      <c r="B1072" s="1" t="n">
        <v>45937.3687037037</v>
      </c>
      <c r="C1072" s="1" t="n">
        <v>46165</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49529-2025</t>
        </is>
      </c>
      <c r="B1073" s="1" t="n">
        <v>45939.4068287037</v>
      </c>
      <c r="C1073" s="1" t="n">
        <v>46165</v>
      </c>
      <c r="D1073" t="inlineStr">
        <is>
          <t>VÄSTERNORRLANDS LÄN</t>
        </is>
      </c>
      <c r="E1073" t="inlineStr">
        <is>
          <t>SUNDSVALL</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47280-2023</t>
        </is>
      </c>
      <c r="B1074" s="1" t="n">
        <v>45196</v>
      </c>
      <c r="C1074" s="1" t="n">
        <v>46165</v>
      </c>
      <c r="D1074" t="inlineStr">
        <is>
          <t>VÄSTERNORRLANDS LÄN</t>
        </is>
      </c>
      <c r="E1074" t="inlineStr">
        <is>
          <t>SUNDSVALL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47283-2023</t>
        </is>
      </c>
      <c r="B1075" s="1" t="n">
        <v>45196</v>
      </c>
      <c r="C1075" s="1" t="n">
        <v>46165</v>
      </c>
      <c r="D1075" t="inlineStr">
        <is>
          <t>VÄSTERNORRLANDS LÄN</t>
        </is>
      </c>
      <c r="E1075" t="inlineStr">
        <is>
          <t>SUNDSVALL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58130-2024</t>
        </is>
      </c>
      <c r="B1076" s="1" t="n">
        <v>45632.40662037037</v>
      </c>
      <c r="C1076" s="1" t="n">
        <v>46165</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49055-2025</t>
        </is>
      </c>
      <c r="B1077" s="1" t="n">
        <v>45937.64056712963</v>
      </c>
      <c r="C1077" s="1" t="n">
        <v>46165</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49641-2025</t>
        </is>
      </c>
      <c r="B1078" s="1" t="n">
        <v>45939.61519675926</v>
      </c>
      <c r="C1078" s="1" t="n">
        <v>46165</v>
      </c>
      <c r="D1078" t="inlineStr">
        <is>
          <t>VÄSTERNORRLANDS LÄN</t>
        </is>
      </c>
      <c r="E1078" t="inlineStr">
        <is>
          <t>SUNDSVALL</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49697-2025</t>
        </is>
      </c>
      <c r="B1079" s="1" t="n">
        <v>45939.67776620371</v>
      </c>
      <c r="C1079" s="1" t="n">
        <v>46165</v>
      </c>
      <c r="D1079" t="inlineStr">
        <is>
          <t>VÄSTERNORRLANDS LÄN</t>
        </is>
      </c>
      <c r="E1079" t="inlineStr">
        <is>
          <t>SUNDSVALL</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44551-2023</t>
        </is>
      </c>
      <c r="B1080" s="1" t="n">
        <v>45183</v>
      </c>
      <c r="C1080" s="1" t="n">
        <v>46165</v>
      </c>
      <c r="D1080" t="inlineStr">
        <is>
          <t>VÄSTERNORRLANDS LÄN</t>
        </is>
      </c>
      <c r="E1080" t="inlineStr">
        <is>
          <t>SUNDSVALL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49867-2025</t>
        </is>
      </c>
      <c r="B1081" s="1" t="n">
        <v>45940.53179398148</v>
      </c>
      <c r="C1081" s="1" t="n">
        <v>46165</v>
      </c>
      <c r="D1081" t="inlineStr">
        <is>
          <t>VÄSTERNORRLANDS LÄN</t>
        </is>
      </c>
      <c r="E1081" t="inlineStr">
        <is>
          <t>SUNDSVALL</t>
        </is>
      </c>
      <c r="F1081" t="inlineStr">
        <is>
          <t>Naturvårdsverket</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54052-2023</t>
        </is>
      </c>
      <c r="B1082" s="1" t="n">
        <v>45231.96819444445</v>
      </c>
      <c r="C1082" s="1" t="n">
        <v>46165</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55890-2022</t>
        </is>
      </c>
      <c r="B1083" s="1" t="n">
        <v>44888</v>
      </c>
      <c r="C1083" s="1" t="n">
        <v>46165</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6270-2024</t>
        </is>
      </c>
      <c r="B1084" s="1" t="n">
        <v>45337</v>
      </c>
      <c r="C1084" s="1" t="n">
        <v>46165</v>
      </c>
      <c r="D1084" t="inlineStr">
        <is>
          <t>VÄSTERNORRLANDS LÄN</t>
        </is>
      </c>
      <c r="E1084" t="inlineStr">
        <is>
          <t>SUNDSVALL</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42771-2024</t>
        </is>
      </c>
      <c r="B1085" s="1" t="n">
        <v>45566.51241898148</v>
      </c>
      <c r="C1085" s="1" t="n">
        <v>46165</v>
      </c>
      <c r="D1085" t="inlineStr">
        <is>
          <t>VÄSTERNORRLANDS LÄN</t>
        </is>
      </c>
      <c r="E1085" t="inlineStr">
        <is>
          <t>SUNDSVALL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50180-2025</t>
        </is>
      </c>
      <c r="B1086" s="1" t="n">
        <v>45943.61502314815</v>
      </c>
      <c r="C1086" s="1" t="n">
        <v>46165</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1100-2022</t>
        </is>
      </c>
      <c r="B1087" s="1" t="n">
        <v>44571</v>
      </c>
      <c r="C1087" s="1" t="n">
        <v>46165</v>
      </c>
      <c r="D1087" t="inlineStr">
        <is>
          <t>VÄSTERNORRLANDS LÄN</t>
        </is>
      </c>
      <c r="E1087" t="inlineStr">
        <is>
          <t>SUNDSVALL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21630-2023</t>
        </is>
      </c>
      <c r="B1088" s="1" t="n">
        <v>45063</v>
      </c>
      <c r="C1088" s="1" t="n">
        <v>46165</v>
      </c>
      <c r="D1088" t="inlineStr">
        <is>
          <t>VÄSTERNORRLANDS LÄN</t>
        </is>
      </c>
      <c r="E1088" t="inlineStr">
        <is>
          <t>SUNDSVALL</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49752-2025</t>
        </is>
      </c>
      <c r="B1089" s="1" t="n">
        <v>45940.34524305556</v>
      </c>
      <c r="C1089" s="1" t="n">
        <v>46165</v>
      </c>
      <c r="D1089" t="inlineStr">
        <is>
          <t>VÄSTERNORRLANDS LÄN</t>
        </is>
      </c>
      <c r="E1089" t="inlineStr">
        <is>
          <t>SUNDSVALL</t>
        </is>
      </c>
      <c r="F1089" t="inlineStr">
        <is>
          <t>Naturvårdsverket</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49960-2025</t>
        </is>
      </c>
      <c r="B1090" s="1" t="n">
        <v>45941.34421296296</v>
      </c>
      <c r="C1090" s="1" t="n">
        <v>46165</v>
      </c>
      <c r="D1090" t="inlineStr">
        <is>
          <t>VÄSTERNORRLANDS LÄN</t>
        </is>
      </c>
      <c r="E1090" t="inlineStr">
        <is>
          <t>SUNDSVALL</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50228-2025</t>
        </is>
      </c>
      <c r="B1091" s="1" t="n">
        <v>45943.69835648148</v>
      </c>
      <c r="C1091" s="1" t="n">
        <v>46165</v>
      </c>
      <c r="D1091" t="inlineStr">
        <is>
          <t>VÄSTERNORRLANDS LÄN</t>
        </is>
      </c>
      <c r="E1091" t="inlineStr">
        <is>
          <t>SUNDSVALL</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9514-2025</t>
        </is>
      </c>
      <c r="B1092" s="1" t="n">
        <v>45715.54472222222</v>
      </c>
      <c r="C1092" s="1" t="n">
        <v>46165</v>
      </c>
      <c r="D1092" t="inlineStr">
        <is>
          <t>VÄSTERNORRLANDS LÄN</t>
        </is>
      </c>
      <c r="E1092" t="inlineStr">
        <is>
          <t>SUNDSVALL</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56682-2023</t>
        </is>
      </c>
      <c r="B1093" s="1" t="n">
        <v>45243</v>
      </c>
      <c r="C1093" s="1" t="n">
        <v>46165</v>
      </c>
      <c r="D1093" t="inlineStr">
        <is>
          <t>VÄSTERNORRLANDS LÄN</t>
        </is>
      </c>
      <c r="E1093" t="inlineStr">
        <is>
          <t>SUNDSVALL</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22890-2022</t>
        </is>
      </c>
      <c r="B1094" s="1" t="n">
        <v>44715</v>
      </c>
      <c r="C1094" s="1" t="n">
        <v>46165</v>
      </c>
      <c r="D1094" t="inlineStr">
        <is>
          <t>VÄSTERNORRLANDS LÄN</t>
        </is>
      </c>
      <c r="E1094" t="inlineStr">
        <is>
          <t>SUNDSVALL</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16249-2024</t>
        </is>
      </c>
      <c r="B1095" s="1" t="n">
        <v>45407</v>
      </c>
      <c r="C1095" s="1" t="n">
        <v>46165</v>
      </c>
      <c r="D1095" t="inlineStr">
        <is>
          <t>VÄSTERNORRLANDS LÄN</t>
        </is>
      </c>
      <c r="E1095" t="inlineStr">
        <is>
          <t>SUNDSVALL</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26337-2022</t>
        </is>
      </c>
      <c r="B1096" s="1" t="n">
        <v>44735</v>
      </c>
      <c r="C1096" s="1" t="n">
        <v>46165</v>
      </c>
      <c r="D1096" t="inlineStr">
        <is>
          <t>VÄSTERNORRLANDS LÄN</t>
        </is>
      </c>
      <c r="E1096" t="inlineStr">
        <is>
          <t>SUNDSVALL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50407-2025</t>
        </is>
      </c>
      <c r="B1097" s="1" t="n">
        <v>45944.63677083333</v>
      </c>
      <c r="C1097" s="1" t="n">
        <v>46165</v>
      </c>
      <c r="D1097" t="inlineStr">
        <is>
          <t>VÄSTERNORRLANDS LÄN</t>
        </is>
      </c>
      <c r="E1097" t="inlineStr">
        <is>
          <t>SUNDSVALL</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8518-2024</t>
        </is>
      </c>
      <c r="B1098" s="1" t="n">
        <v>45351</v>
      </c>
      <c r="C1098" s="1" t="n">
        <v>46165</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54580-2024</t>
        </is>
      </c>
      <c r="B1099" s="1" t="n">
        <v>45617.65657407408</v>
      </c>
      <c r="C1099" s="1" t="n">
        <v>46165</v>
      </c>
      <c r="D1099" t="inlineStr">
        <is>
          <t>VÄSTERNORRLANDS LÄN</t>
        </is>
      </c>
      <c r="E1099" t="inlineStr">
        <is>
          <t>SUNDSVALL</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50577-2025</t>
        </is>
      </c>
      <c r="B1100" s="1" t="n">
        <v>45945</v>
      </c>
      <c r="C1100" s="1" t="n">
        <v>46165</v>
      </c>
      <c r="D1100" t="inlineStr">
        <is>
          <t>VÄSTERNORRLANDS LÄN</t>
        </is>
      </c>
      <c r="E1100" t="inlineStr">
        <is>
          <t>SUNDSVALL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23558-2024</t>
        </is>
      </c>
      <c r="B1101" s="1" t="n">
        <v>45453.95451388889</v>
      </c>
      <c r="C1101" s="1" t="n">
        <v>46165</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50405-2025</t>
        </is>
      </c>
      <c r="B1102" s="1" t="n">
        <v>45944.63644675926</v>
      </c>
      <c r="C1102" s="1" t="n">
        <v>46165</v>
      </c>
      <c r="D1102" t="inlineStr">
        <is>
          <t>VÄSTERNORRLANDS LÄN</t>
        </is>
      </c>
      <c r="E1102" t="inlineStr">
        <is>
          <t>SUNDSVALL</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50567-2025</t>
        </is>
      </c>
      <c r="B1103" s="1" t="n">
        <v>45945.5684375</v>
      </c>
      <c r="C1103" s="1" t="n">
        <v>46165</v>
      </c>
      <c r="D1103" t="inlineStr">
        <is>
          <t>VÄSTERNORRLANDS LÄN</t>
        </is>
      </c>
      <c r="E1103" t="inlineStr">
        <is>
          <t>SUNDSVALL</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50569-2025</t>
        </is>
      </c>
      <c r="B1104" s="1" t="n">
        <v>45945.57335648148</v>
      </c>
      <c r="C1104" s="1" t="n">
        <v>46165</v>
      </c>
      <c r="D1104" t="inlineStr">
        <is>
          <t>VÄSTERNORRLANDS LÄN</t>
        </is>
      </c>
      <c r="E1104" t="inlineStr">
        <is>
          <t>SUNDSVALL</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50576-2025</t>
        </is>
      </c>
      <c r="B1105" s="1" t="n">
        <v>45945.58091435185</v>
      </c>
      <c r="C1105" s="1" t="n">
        <v>46165</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50265-2025</t>
        </is>
      </c>
      <c r="B1106" s="1" t="n">
        <v>45944.34559027778</v>
      </c>
      <c r="C1106" s="1" t="n">
        <v>46165</v>
      </c>
      <c r="D1106" t="inlineStr">
        <is>
          <t>VÄSTERNORRLANDS LÄN</t>
        </is>
      </c>
      <c r="E1106" t="inlineStr">
        <is>
          <t>SUNDSVALL</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50401-2025</t>
        </is>
      </c>
      <c r="B1107" s="1" t="n">
        <v>45944.63585648148</v>
      </c>
      <c r="C1107" s="1" t="n">
        <v>46165</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50294-2025</t>
        </is>
      </c>
      <c r="B1108" s="1" t="n">
        <v>45944.408125</v>
      </c>
      <c r="C1108" s="1" t="n">
        <v>46165</v>
      </c>
      <c r="D1108" t="inlineStr">
        <is>
          <t>VÄSTERNORRLANDS LÄN</t>
        </is>
      </c>
      <c r="E1108" t="inlineStr">
        <is>
          <t>SUNDSVALL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50512-2025</t>
        </is>
      </c>
      <c r="B1109" s="1" t="n">
        <v>45945.44846064815</v>
      </c>
      <c r="C1109" s="1" t="n">
        <v>46165</v>
      </c>
      <c r="D1109" t="inlineStr">
        <is>
          <t>VÄSTERNORRLANDS LÄN</t>
        </is>
      </c>
      <c r="E1109" t="inlineStr">
        <is>
          <t>SUNDSVALL</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20102-2025</t>
        </is>
      </c>
      <c r="B1110" s="1" t="n">
        <v>45772.46934027778</v>
      </c>
      <c r="C1110" s="1" t="n">
        <v>46165</v>
      </c>
      <c r="D1110" t="inlineStr">
        <is>
          <t>VÄSTERNORRLANDS LÄN</t>
        </is>
      </c>
      <c r="E1110" t="inlineStr">
        <is>
          <t>SUNDSVALL</t>
        </is>
      </c>
      <c r="F1110" t="inlineStr">
        <is>
          <t>Naturvårdsverket</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50457-2025</t>
        </is>
      </c>
      <c r="B1111" s="1" t="n">
        <v>45945</v>
      </c>
      <c r="C1111" s="1" t="n">
        <v>46165</v>
      </c>
      <c r="D1111" t="inlineStr">
        <is>
          <t>VÄSTERNORRLANDS LÄN</t>
        </is>
      </c>
      <c r="E1111" t="inlineStr">
        <is>
          <t>SUNDSVALL</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50575-2025</t>
        </is>
      </c>
      <c r="B1112" s="1" t="n">
        <v>45945.57913194445</v>
      </c>
      <c r="C1112" s="1" t="n">
        <v>46165</v>
      </c>
      <c r="D1112" t="inlineStr">
        <is>
          <t>VÄSTERNORRLANDS LÄN</t>
        </is>
      </c>
      <c r="E1112" t="inlineStr">
        <is>
          <t>SUNDSVALL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50293-2025</t>
        </is>
      </c>
      <c r="B1113" s="1" t="n">
        <v>45944.40810185186</v>
      </c>
      <c r="C1113" s="1" t="n">
        <v>46165</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13507-2023</t>
        </is>
      </c>
      <c r="B1114" s="1" t="n">
        <v>45006</v>
      </c>
      <c r="C1114" s="1" t="n">
        <v>46165</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52119-2023</t>
        </is>
      </c>
      <c r="B1115" s="1" t="n">
        <v>45223</v>
      </c>
      <c r="C1115" s="1" t="n">
        <v>46165</v>
      </c>
      <c r="D1115" t="inlineStr">
        <is>
          <t>VÄSTERNORRLANDS LÄN</t>
        </is>
      </c>
      <c r="E1115" t="inlineStr">
        <is>
          <t>SUNDSVALL</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13818-2024</t>
        </is>
      </c>
      <c r="B1116" s="1" t="n">
        <v>45391</v>
      </c>
      <c r="C1116" s="1" t="n">
        <v>46165</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13690-2023</t>
        </is>
      </c>
      <c r="B1117" s="1" t="n">
        <v>45006.94331018518</v>
      </c>
      <c r="C1117" s="1" t="n">
        <v>46165</v>
      </c>
      <c r="D1117" t="inlineStr">
        <is>
          <t>VÄSTERNORRLANDS LÄN</t>
        </is>
      </c>
      <c r="E1117" t="inlineStr">
        <is>
          <t>SUNDSVALL</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57519-2024</t>
        </is>
      </c>
      <c r="B1118" s="1" t="n">
        <v>45630.40659722222</v>
      </c>
      <c r="C1118" s="1" t="n">
        <v>46165</v>
      </c>
      <c r="D1118" t="inlineStr">
        <is>
          <t>VÄSTERNORRLANDS LÄN</t>
        </is>
      </c>
      <c r="E1118" t="inlineStr">
        <is>
          <t>SUNDSVALL</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7961-2025</t>
        </is>
      </c>
      <c r="B1119" s="1" t="n">
        <v>45707.44523148148</v>
      </c>
      <c r="C1119" s="1" t="n">
        <v>46165</v>
      </c>
      <c r="D1119" t="inlineStr">
        <is>
          <t>VÄSTERNORRLANDS LÄN</t>
        </is>
      </c>
      <c r="E1119" t="inlineStr">
        <is>
          <t>SUNDSVALL</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7970-2025</t>
        </is>
      </c>
      <c r="B1120" s="1" t="n">
        <v>45707.45626157407</v>
      </c>
      <c r="C1120" s="1" t="n">
        <v>46165</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50863-2025</t>
        </is>
      </c>
      <c r="B1121" s="1" t="n">
        <v>45946.59517361111</v>
      </c>
      <c r="C1121" s="1" t="n">
        <v>46165</v>
      </c>
      <c r="D1121" t="inlineStr">
        <is>
          <t>VÄSTERNORRLANDS LÄN</t>
        </is>
      </c>
      <c r="E1121" t="inlineStr">
        <is>
          <t>SUNDSVALL</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50743-2025</t>
        </is>
      </c>
      <c r="B1122" s="1" t="n">
        <v>45946.38587962963</v>
      </c>
      <c r="C1122" s="1" t="n">
        <v>46165</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50748-2025</t>
        </is>
      </c>
      <c r="B1123" s="1" t="n">
        <v>45946.38806712963</v>
      </c>
      <c r="C1123" s="1" t="n">
        <v>46165</v>
      </c>
      <c r="D1123" t="inlineStr">
        <is>
          <t>VÄSTERNORRLANDS LÄN</t>
        </is>
      </c>
      <c r="E1123" t="inlineStr">
        <is>
          <t>SUNDSVALL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51239-2025</t>
        </is>
      </c>
      <c r="B1124" s="1" t="n">
        <v>45947.69834490741</v>
      </c>
      <c r="C1124" s="1" t="n">
        <v>46165</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51112-2025</t>
        </is>
      </c>
      <c r="B1125" s="1" t="n">
        <v>45947.51068287037</v>
      </c>
      <c r="C1125" s="1" t="n">
        <v>46165</v>
      </c>
      <c r="D1125" t="inlineStr">
        <is>
          <t>VÄSTERNORRLANDS LÄN</t>
        </is>
      </c>
      <c r="E1125" t="inlineStr">
        <is>
          <t>SUNDSVALL</t>
        </is>
      </c>
      <c r="F1125" t="inlineStr">
        <is>
          <t>Holmen skog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50799-2025</t>
        </is>
      </c>
      <c r="B1126" s="1" t="n">
        <v>45946.49013888889</v>
      </c>
      <c r="C1126" s="1" t="n">
        <v>46165</v>
      </c>
      <c r="D1126" t="inlineStr">
        <is>
          <t>VÄSTERNORRLANDS LÄN</t>
        </is>
      </c>
      <c r="E1126" t="inlineStr">
        <is>
          <t>SUNDSVALL</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50800-2025</t>
        </is>
      </c>
      <c r="B1127" s="1" t="n">
        <v>45946.49042824074</v>
      </c>
      <c r="C1127" s="1" t="n">
        <v>46165</v>
      </c>
      <c r="D1127" t="inlineStr">
        <is>
          <t>VÄSTERNORRLANDS LÄN</t>
        </is>
      </c>
      <c r="E1127" t="inlineStr">
        <is>
          <t>SUNDSVALL</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28497-2024</t>
        </is>
      </c>
      <c r="B1128" s="1" t="n">
        <v>45477.9271875</v>
      </c>
      <c r="C1128" s="1" t="n">
        <v>46165</v>
      </c>
      <c r="D1128" t="inlineStr">
        <is>
          <t>VÄSTERNORRLANDS LÄN</t>
        </is>
      </c>
      <c r="E1128" t="inlineStr">
        <is>
          <t>SUNDSVALL</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50926-2025</t>
        </is>
      </c>
      <c r="B1129" s="1" t="n">
        <v>45946.67871527778</v>
      </c>
      <c r="C1129" s="1" t="n">
        <v>46165</v>
      </c>
      <c r="D1129" t="inlineStr">
        <is>
          <t>VÄSTERNORRLANDS LÄN</t>
        </is>
      </c>
      <c r="E1129" t="inlineStr">
        <is>
          <t>SUNDSVALL</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50935-2025</t>
        </is>
      </c>
      <c r="B1130" s="1" t="n">
        <v>45946.69409722222</v>
      </c>
      <c r="C1130" s="1" t="n">
        <v>46165</v>
      </c>
      <c r="D1130" t="inlineStr">
        <is>
          <t>VÄSTERNORRLANDS LÄN</t>
        </is>
      </c>
      <c r="E1130" t="inlineStr">
        <is>
          <t>SUNDSVALL</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50861-2025</t>
        </is>
      </c>
      <c r="B1131" s="1" t="n">
        <v>45946.59496527778</v>
      </c>
      <c r="C1131" s="1" t="n">
        <v>46165</v>
      </c>
      <c r="D1131" t="inlineStr">
        <is>
          <t>VÄSTERNORRLANDS LÄN</t>
        </is>
      </c>
      <c r="E1131" t="inlineStr">
        <is>
          <t>SUNDSVALL</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50809-2025</t>
        </is>
      </c>
      <c r="B1132" s="1" t="n">
        <v>45946.51101851852</v>
      </c>
      <c r="C1132" s="1" t="n">
        <v>46165</v>
      </c>
      <c r="D1132" t="inlineStr">
        <is>
          <t>VÄSTERNORRLANDS LÄN</t>
        </is>
      </c>
      <c r="E1132" t="inlineStr">
        <is>
          <t>SUNDSVALL</t>
        </is>
      </c>
      <c r="F1132" t="inlineStr">
        <is>
          <t>SCA</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50828-2025</t>
        </is>
      </c>
      <c r="B1133" s="1" t="n">
        <v>45946.55261574074</v>
      </c>
      <c r="C1133" s="1" t="n">
        <v>46165</v>
      </c>
      <c r="D1133" t="inlineStr">
        <is>
          <t>VÄSTERNORRLANDS LÄN</t>
        </is>
      </c>
      <c r="E1133" t="inlineStr">
        <is>
          <t>SUNDSVALL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50925-2025</t>
        </is>
      </c>
      <c r="B1134" s="1" t="n">
        <v>45946.67796296296</v>
      </c>
      <c r="C1134" s="1" t="n">
        <v>46165</v>
      </c>
      <c r="D1134" t="inlineStr">
        <is>
          <t>VÄSTERNORRLANDS LÄN</t>
        </is>
      </c>
      <c r="E1134" t="inlineStr">
        <is>
          <t>SUNDSVALL</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57830-2022</t>
        </is>
      </c>
      <c r="B1135" s="1" t="n">
        <v>44897</v>
      </c>
      <c r="C1135" s="1" t="n">
        <v>46165</v>
      </c>
      <c r="D1135" t="inlineStr">
        <is>
          <t>VÄSTERNORRLANDS LÄN</t>
        </is>
      </c>
      <c r="E1135" t="inlineStr">
        <is>
          <t>SUNDSVALL</t>
        </is>
      </c>
      <c r="F1135" t="inlineStr">
        <is>
          <t>SCA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51018-2025</t>
        </is>
      </c>
      <c r="B1136" s="1" t="n">
        <v>45947.38604166666</v>
      </c>
      <c r="C1136" s="1" t="n">
        <v>46165</v>
      </c>
      <c r="D1136" t="inlineStr">
        <is>
          <t>VÄSTERNORRLANDS LÄN</t>
        </is>
      </c>
      <c r="E1136" t="inlineStr">
        <is>
          <t>SUNDSVALL</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37962-2021</t>
        </is>
      </c>
      <c r="B1137" s="1" t="n">
        <v>44403.94012731482</v>
      </c>
      <c r="C1137" s="1" t="n">
        <v>46165</v>
      </c>
      <c r="D1137" t="inlineStr">
        <is>
          <t>VÄSTERNORRLANDS LÄN</t>
        </is>
      </c>
      <c r="E1137" t="inlineStr">
        <is>
          <t>SUNDSVALL</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51583-2025</t>
        </is>
      </c>
      <c r="B1138" s="1" t="n">
        <v>45951.34568287037</v>
      </c>
      <c r="C1138" s="1" t="n">
        <v>46165</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51714-2025</t>
        </is>
      </c>
      <c r="B1139" s="1" t="n">
        <v>45950</v>
      </c>
      <c r="C1139" s="1" t="n">
        <v>46165</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51731-2025</t>
        </is>
      </c>
      <c r="B1140" s="1" t="n">
        <v>45951.59444444445</v>
      </c>
      <c r="C1140" s="1" t="n">
        <v>46165</v>
      </c>
      <c r="D1140" t="inlineStr">
        <is>
          <t>VÄSTERNORRLANDS LÄN</t>
        </is>
      </c>
      <c r="E1140" t="inlineStr">
        <is>
          <t>SUNDSVALL</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51578-2025</t>
        </is>
      </c>
      <c r="B1141" s="1" t="n">
        <v>45951.34520833333</v>
      </c>
      <c r="C1141" s="1" t="n">
        <v>46165</v>
      </c>
      <c r="D1141" t="inlineStr">
        <is>
          <t>VÄSTERNORRLANDS LÄN</t>
        </is>
      </c>
      <c r="E1141" t="inlineStr">
        <is>
          <t>SUNDSVALL</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51581-2025</t>
        </is>
      </c>
      <c r="B1142" s="1" t="n">
        <v>45951.34552083333</v>
      </c>
      <c r="C1142" s="1" t="n">
        <v>46165</v>
      </c>
      <c r="D1142" t="inlineStr">
        <is>
          <t>VÄSTERNORRLANDS LÄN</t>
        </is>
      </c>
      <c r="E1142" t="inlineStr">
        <is>
          <t>SUNDSVALL</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51409-2025</t>
        </is>
      </c>
      <c r="B1143" s="1" t="n">
        <v>45950.49034722222</v>
      </c>
      <c r="C1143" s="1" t="n">
        <v>46165</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15734-2025</t>
        </is>
      </c>
      <c r="B1144" s="1" t="n">
        <v>45748.53966435185</v>
      </c>
      <c r="C1144" s="1" t="n">
        <v>46165</v>
      </c>
      <c r="D1144" t="inlineStr">
        <is>
          <t>VÄSTERNORRLANDS LÄN</t>
        </is>
      </c>
      <c r="E1144" t="inlineStr">
        <is>
          <t>SUNDSVALL</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51378-2025</t>
        </is>
      </c>
      <c r="B1145" s="1" t="n">
        <v>45950.45506944445</v>
      </c>
      <c r="C1145" s="1" t="n">
        <v>46165</v>
      </c>
      <c r="D1145" t="inlineStr">
        <is>
          <t>VÄSTERNORRLANDS LÄN</t>
        </is>
      </c>
      <c r="E1145" t="inlineStr">
        <is>
          <t>SUNDSVALL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53450-2023</t>
        </is>
      </c>
      <c r="B1146" s="1" t="n">
        <v>45229.96534722222</v>
      </c>
      <c r="C1146" s="1" t="n">
        <v>46165</v>
      </c>
      <c r="D1146" t="inlineStr">
        <is>
          <t>VÄSTERNORRLANDS LÄN</t>
        </is>
      </c>
      <c r="E1146" t="inlineStr">
        <is>
          <t>SUNDSVALL</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3772-2025</t>
        </is>
      </c>
      <c r="B1147" s="1" t="n">
        <v>45681</v>
      </c>
      <c r="C1147" s="1" t="n">
        <v>46165</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52282-2025</t>
        </is>
      </c>
      <c r="B1148" s="1" t="n">
        <v>45953.57335648148</v>
      </c>
      <c r="C1148" s="1" t="n">
        <v>46165</v>
      </c>
      <c r="D1148" t="inlineStr">
        <is>
          <t>VÄSTERNORRLANDS LÄN</t>
        </is>
      </c>
      <c r="E1148" t="inlineStr">
        <is>
          <t>SUNDSVALL</t>
        </is>
      </c>
      <c r="F1148" t="inlineStr">
        <is>
          <t>SCA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51846-2025</t>
        </is>
      </c>
      <c r="B1149" s="1" t="n">
        <v>45952.34964120371</v>
      </c>
      <c r="C1149" s="1" t="n">
        <v>46165</v>
      </c>
      <c r="D1149" t="inlineStr">
        <is>
          <t>VÄSTERNORRLANDS LÄN</t>
        </is>
      </c>
      <c r="E1149" t="inlineStr">
        <is>
          <t>SUNDSVALL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52149-2025</t>
        </is>
      </c>
      <c r="B1150" s="1" t="n">
        <v>45953.34471064815</v>
      </c>
      <c r="C1150" s="1" t="n">
        <v>46165</v>
      </c>
      <c r="D1150" t="inlineStr">
        <is>
          <t>VÄSTERNORRLANDS LÄN</t>
        </is>
      </c>
      <c r="E1150" t="inlineStr">
        <is>
          <t>SUNDSVALL</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27844-2023</t>
        </is>
      </c>
      <c r="B1151" s="1" t="n">
        <v>45098.55303240741</v>
      </c>
      <c r="C1151" s="1" t="n">
        <v>46165</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51861-2025</t>
        </is>
      </c>
      <c r="B1152" s="1" t="n">
        <v>45952.36784722222</v>
      </c>
      <c r="C1152" s="1" t="n">
        <v>46165</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58757-2024</t>
        </is>
      </c>
      <c r="B1153" s="1" t="n">
        <v>45635.71940972222</v>
      </c>
      <c r="C1153" s="1" t="n">
        <v>46165</v>
      </c>
      <c r="D1153" t="inlineStr">
        <is>
          <t>VÄSTERNORRLANDS LÄN</t>
        </is>
      </c>
      <c r="E1153" t="inlineStr">
        <is>
          <t>SUNDSVALL</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51814-2025</t>
        </is>
      </c>
      <c r="B1154" s="1" t="n">
        <v>45951.83572916667</v>
      </c>
      <c r="C1154" s="1" t="n">
        <v>46165</v>
      </c>
      <c r="D1154" t="inlineStr">
        <is>
          <t>VÄSTERNORRLANDS LÄN</t>
        </is>
      </c>
      <c r="E1154" t="inlineStr">
        <is>
          <t>SUNDSVALL</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13291-2022</t>
        </is>
      </c>
      <c r="B1155" s="1" t="n">
        <v>44644.92293981482</v>
      </c>
      <c r="C1155" s="1" t="n">
        <v>46165</v>
      </c>
      <c r="D1155" t="inlineStr">
        <is>
          <t>VÄSTERNORRLANDS LÄN</t>
        </is>
      </c>
      <c r="E1155" t="inlineStr">
        <is>
          <t>SUNDSVALL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52148-2025</t>
        </is>
      </c>
      <c r="B1156" s="1" t="n">
        <v>45953.34452546296</v>
      </c>
      <c r="C1156" s="1" t="n">
        <v>46165</v>
      </c>
      <c r="D1156" t="inlineStr">
        <is>
          <t>VÄSTERNORRLANDS LÄN</t>
        </is>
      </c>
      <c r="E1156" t="inlineStr">
        <is>
          <t>SUNDSVALL</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44966-2023</t>
        </is>
      </c>
      <c r="B1157" s="1" t="n">
        <v>45190.92496527778</v>
      </c>
      <c r="C1157" s="1" t="n">
        <v>46165</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45000-2023</t>
        </is>
      </c>
      <c r="B1158" s="1" t="n">
        <v>45190.95990740741</v>
      </c>
      <c r="C1158" s="1" t="n">
        <v>46165</v>
      </c>
      <c r="D1158" t="inlineStr">
        <is>
          <t>VÄSTERNORRLANDS LÄN</t>
        </is>
      </c>
      <c r="E1158" t="inlineStr">
        <is>
          <t>SUNDSVALL</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45001-2023</t>
        </is>
      </c>
      <c r="B1159" s="1" t="n">
        <v>45190.95998842592</v>
      </c>
      <c r="C1159" s="1" t="n">
        <v>46165</v>
      </c>
      <c r="D1159" t="inlineStr">
        <is>
          <t>VÄSTERNORRLANDS LÄN</t>
        </is>
      </c>
      <c r="E1159" t="inlineStr">
        <is>
          <t>SUNDSVALL</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51476-2024</t>
        </is>
      </c>
      <c r="B1160" s="1" t="n">
        <v>45604</v>
      </c>
      <c r="C1160" s="1" t="n">
        <v>46165</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34192-2023</t>
        </is>
      </c>
      <c r="B1161" s="1" t="n">
        <v>45138</v>
      </c>
      <c r="C1161" s="1" t="n">
        <v>46165</v>
      </c>
      <c r="D1161" t="inlineStr">
        <is>
          <t>VÄSTERNORRLANDS LÄN</t>
        </is>
      </c>
      <c r="E1161" t="inlineStr">
        <is>
          <t>SUNDSVALL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41028-2023</t>
        </is>
      </c>
      <c r="B1162" s="1" t="n">
        <v>45169</v>
      </c>
      <c r="C1162" s="1" t="n">
        <v>46165</v>
      </c>
      <c r="D1162" t="inlineStr">
        <is>
          <t>VÄSTERNORRLANDS LÄN</t>
        </is>
      </c>
      <c r="E1162" t="inlineStr">
        <is>
          <t>SUNDSVALL</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52636-2025</t>
        </is>
      </c>
      <c r="B1163" s="1" t="n">
        <v>45954.74804398148</v>
      </c>
      <c r="C1163" s="1" t="n">
        <v>46165</v>
      </c>
      <c r="D1163" t="inlineStr">
        <is>
          <t>VÄSTERNORRLANDS LÄN</t>
        </is>
      </c>
      <c r="E1163" t="inlineStr">
        <is>
          <t>SUNDSVALL</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28794-2024</t>
        </is>
      </c>
      <c r="B1164" s="1" t="n">
        <v>45478.61696759259</v>
      </c>
      <c r="C1164" s="1" t="n">
        <v>46165</v>
      </c>
      <c r="D1164" t="inlineStr">
        <is>
          <t>VÄSTERNORRLANDS LÄN</t>
        </is>
      </c>
      <c r="E1164" t="inlineStr">
        <is>
          <t>SUNDSVALL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52616-2025</t>
        </is>
      </c>
      <c r="B1165" s="1" t="n">
        <v>45954.67804398148</v>
      </c>
      <c r="C1165" s="1" t="n">
        <v>46165</v>
      </c>
      <c r="D1165" t="inlineStr">
        <is>
          <t>VÄSTERNORRLANDS LÄN</t>
        </is>
      </c>
      <c r="E1165" t="inlineStr">
        <is>
          <t>SUNDSVALL</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50205-2023</t>
        </is>
      </c>
      <c r="B1166" s="1" t="n">
        <v>45215.92600694444</v>
      </c>
      <c r="C1166" s="1" t="n">
        <v>46165</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52615-2025</t>
        </is>
      </c>
      <c r="B1167" s="1" t="n">
        <v>45954.6778125</v>
      </c>
      <c r="C1167" s="1" t="n">
        <v>46165</v>
      </c>
      <c r="D1167" t="inlineStr">
        <is>
          <t>VÄSTERNORRLANDS LÄN</t>
        </is>
      </c>
      <c r="E1167" t="inlineStr">
        <is>
          <t>SUNDSVALL</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59910-2023</t>
        </is>
      </c>
      <c r="B1168" s="1" t="n">
        <v>45257.63450231482</v>
      </c>
      <c r="C1168" s="1" t="n">
        <v>46165</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61409-2021</t>
        </is>
      </c>
      <c r="B1169" s="1" t="n">
        <v>44500.91974537037</v>
      </c>
      <c r="C1169" s="1" t="n">
        <v>46165</v>
      </c>
      <c r="D1169" t="inlineStr">
        <is>
          <t>VÄSTERNORRLANDS LÄN</t>
        </is>
      </c>
      <c r="E1169" t="inlineStr">
        <is>
          <t>SUNDSVALL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47030-2023</t>
        </is>
      </c>
      <c r="B1170" s="1" t="n">
        <v>45196</v>
      </c>
      <c r="C1170" s="1" t="n">
        <v>46165</v>
      </c>
      <c r="D1170" t="inlineStr">
        <is>
          <t>VÄSTERNORRLANDS LÄN</t>
        </is>
      </c>
      <c r="E1170" t="inlineStr">
        <is>
          <t>SUNDSVALL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52993-2025</t>
        </is>
      </c>
      <c r="B1171" s="1" t="n">
        <v>45957</v>
      </c>
      <c r="C1171" s="1" t="n">
        <v>46165</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52923-2025</t>
        </is>
      </c>
      <c r="B1172" s="1" t="n">
        <v>45957.61545138889</v>
      </c>
      <c r="C1172" s="1" t="n">
        <v>46165</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43571-2024</t>
        </is>
      </c>
      <c r="B1173" s="1" t="n">
        <v>45569</v>
      </c>
      <c r="C1173" s="1" t="n">
        <v>46165</v>
      </c>
      <c r="D1173" t="inlineStr">
        <is>
          <t>VÄSTERNORRLANDS LÄN</t>
        </is>
      </c>
      <c r="E1173" t="inlineStr">
        <is>
          <t>SUNDSVALL</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53254-2025</t>
        </is>
      </c>
      <c r="B1174" s="1" t="n">
        <v>45958.66876157407</v>
      </c>
      <c r="C1174" s="1" t="n">
        <v>46165</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59654-2022</t>
        </is>
      </c>
      <c r="B1175" s="1" t="n">
        <v>44907.96673611111</v>
      </c>
      <c r="C1175" s="1" t="n">
        <v>46165</v>
      </c>
      <c r="D1175" t="inlineStr">
        <is>
          <t>VÄSTERNORRLANDS LÄN</t>
        </is>
      </c>
      <c r="E1175" t="inlineStr">
        <is>
          <t>SUNDSVALL</t>
        </is>
      </c>
      <c r="F1175" t="inlineStr">
        <is>
          <t>Naturvårdsverket</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53313-2025</t>
        </is>
      </c>
      <c r="B1176" s="1" t="n">
        <v>45959.34465277778</v>
      </c>
      <c r="C1176" s="1" t="n">
        <v>46165</v>
      </c>
      <c r="D1176" t="inlineStr">
        <is>
          <t>VÄSTERNORRLANDS LÄN</t>
        </is>
      </c>
      <c r="E1176" t="inlineStr">
        <is>
          <t>SUNDSVALL</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60942-2023</t>
        </is>
      </c>
      <c r="B1177" s="1" t="n">
        <v>45259</v>
      </c>
      <c r="C1177" s="1" t="n">
        <v>46165</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53034-2025</t>
        </is>
      </c>
      <c r="B1178" s="1" t="n">
        <v>45958</v>
      </c>
      <c r="C1178" s="1" t="n">
        <v>46165</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64313-2023</t>
        </is>
      </c>
      <c r="B1179" s="1" t="n">
        <v>45279</v>
      </c>
      <c r="C1179" s="1" t="n">
        <v>46165</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54998-2022</t>
        </is>
      </c>
      <c r="B1180" s="1" t="n">
        <v>44881</v>
      </c>
      <c r="C1180" s="1" t="n">
        <v>46165</v>
      </c>
      <c r="D1180" t="inlineStr">
        <is>
          <t>VÄSTERNORRLANDS LÄN</t>
        </is>
      </c>
      <c r="E1180" t="inlineStr">
        <is>
          <t>SUNDSVALL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53105-2025</t>
        </is>
      </c>
      <c r="B1181" s="1" t="n">
        <v>45958.4336574074</v>
      </c>
      <c r="C1181" s="1" t="n">
        <v>46165</v>
      </c>
      <c r="D1181" t="inlineStr">
        <is>
          <t>VÄSTERNORRLANDS LÄN</t>
        </is>
      </c>
      <c r="E1181" t="inlineStr">
        <is>
          <t>SUNDSVALL</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53251-2025</t>
        </is>
      </c>
      <c r="B1182" s="1" t="n">
        <v>45958.66457175926</v>
      </c>
      <c r="C1182" s="1" t="n">
        <v>46165</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58129-2023</t>
        </is>
      </c>
      <c r="B1183" s="1" t="n">
        <v>45249</v>
      </c>
      <c r="C1183" s="1" t="n">
        <v>46165</v>
      </c>
      <c r="D1183" t="inlineStr">
        <is>
          <t>VÄSTERNORRLANDS LÄN</t>
        </is>
      </c>
      <c r="E1183" t="inlineStr">
        <is>
          <t>SUNDSVALL</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63048-2023</t>
        </is>
      </c>
      <c r="B1184" s="1" t="n">
        <v>45272</v>
      </c>
      <c r="C1184" s="1" t="n">
        <v>46165</v>
      </c>
      <c r="D1184" t="inlineStr">
        <is>
          <t>VÄSTERNORRLANDS LÄN</t>
        </is>
      </c>
      <c r="E1184" t="inlineStr">
        <is>
          <t>SUNDSVALL</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53916-2025</t>
        </is>
      </c>
      <c r="B1185" s="1" t="n">
        <v>45961.4484837963</v>
      </c>
      <c r="C1185" s="1" t="n">
        <v>46165</v>
      </c>
      <c r="D1185" t="inlineStr">
        <is>
          <t>VÄSTERNORRLANDS LÄN</t>
        </is>
      </c>
      <c r="E1185" t="inlineStr">
        <is>
          <t>SUNDSVALL</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13794-2025</t>
        </is>
      </c>
      <c r="B1186" s="1" t="n">
        <v>45737.46950231482</v>
      </c>
      <c r="C1186" s="1" t="n">
        <v>46165</v>
      </c>
      <c r="D1186" t="inlineStr">
        <is>
          <t>VÄSTERNORRLANDS LÄN</t>
        </is>
      </c>
      <c r="E1186" t="inlineStr">
        <is>
          <t>SUNDSVALL</t>
        </is>
      </c>
      <c r="F1186" t="inlineStr">
        <is>
          <t>Kommuner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3214-2025</t>
        </is>
      </c>
      <c r="B1187" s="1" t="n">
        <v>45679.46192129629</v>
      </c>
      <c r="C1187" s="1" t="n">
        <v>46165</v>
      </c>
      <c r="D1187" t="inlineStr">
        <is>
          <t>VÄSTERNORRLANDS LÄN</t>
        </is>
      </c>
      <c r="E1187" t="inlineStr">
        <is>
          <t>SUNDSVALL</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16251-2024</t>
        </is>
      </c>
      <c r="B1188" s="1" t="n">
        <v>45407</v>
      </c>
      <c r="C1188" s="1" t="n">
        <v>46165</v>
      </c>
      <c r="D1188" t="inlineStr">
        <is>
          <t>VÄSTERNORRLANDS LÄN</t>
        </is>
      </c>
      <c r="E1188" t="inlineStr">
        <is>
          <t>SUNDSVALL</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45150-2023</t>
        </is>
      </c>
      <c r="B1189" s="1" t="n">
        <v>45191</v>
      </c>
      <c r="C1189" s="1" t="n">
        <v>46165</v>
      </c>
      <c r="D1189" t="inlineStr">
        <is>
          <t>VÄSTERNORRLANDS LÄN</t>
        </is>
      </c>
      <c r="E1189" t="inlineStr">
        <is>
          <t>SUNDSVALL</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53463-2025</t>
        </is>
      </c>
      <c r="B1190" s="1" t="n">
        <v>45959.68188657407</v>
      </c>
      <c r="C1190" s="1" t="n">
        <v>46165</v>
      </c>
      <c r="D1190" t="inlineStr">
        <is>
          <t>VÄSTERNORRLANDS LÄN</t>
        </is>
      </c>
      <c r="E1190" t="inlineStr">
        <is>
          <t>SUNDSVALL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22759-2023</t>
        </is>
      </c>
      <c r="B1191" s="1" t="n">
        <v>45071.94153935185</v>
      </c>
      <c r="C1191" s="1" t="n">
        <v>46165</v>
      </c>
      <c r="D1191" t="inlineStr">
        <is>
          <t>VÄSTERNORRLANDS LÄN</t>
        </is>
      </c>
      <c r="E1191" t="inlineStr">
        <is>
          <t>SUNDSVALL</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53830-2025</t>
        </is>
      </c>
      <c r="B1192" s="1" t="n">
        <v>45961.34489583333</v>
      </c>
      <c r="C1192" s="1" t="n">
        <v>46165</v>
      </c>
      <c r="D1192" t="inlineStr">
        <is>
          <t>VÄSTERNORRLANDS LÄN</t>
        </is>
      </c>
      <c r="E1192" t="inlineStr">
        <is>
          <t>SUNDSVALL</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53611-2025</t>
        </is>
      </c>
      <c r="B1193" s="1" t="n">
        <v>45960.46984953704</v>
      </c>
      <c r="C1193" s="1" t="n">
        <v>46165</v>
      </c>
      <c r="D1193" t="inlineStr">
        <is>
          <t>VÄSTERNORRLANDS LÄN</t>
        </is>
      </c>
      <c r="E1193" t="inlineStr">
        <is>
          <t>SUNDSVALL</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11028-2025</t>
        </is>
      </c>
      <c r="B1194" s="1" t="n">
        <v>45723.46983796296</v>
      </c>
      <c r="C1194" s="1" t="n">
        <v>46165</v>
      </c>
      <c r="D1194" t="inlineStr">
        <is>
          <t>VÄSTERNORRLANDS LÄN</t>
        </is>
      </c>
      <c r="E1194" t="inlineStr">
        <is>
          <t>SUNDSVALL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53258-2025</t>
        </is>
      </c>
      <c r="B1195" s="1" t="n">
        <v>45958.6775</v>
      </c>
      <c r="C1195" s="1" t="n">
        <v>46165</v>
      </c>
      <c r="D1195" t="inlineStr">
        <is>
          <t>VÄSTERNORRLANDS LÄN</t>
        </is>
      </c>
      <c r="E1195" t="inlineStr">
        <is>
          <t>SUNDSVALL</t>
        </is>
      </c>
      <c r="F1195" t="inlineStr">
        <is>
          <t>SCA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3348-2024</t>
        </is>
      </c>
      <c r="B1196" s="1" t="n">
        <v>45317</v>
      </c>
      <c r="C1196" s="1" t="n">
        <v>46165</v>
      </c>
      <c r="D1196" t="inlineStr">
        <is>
          <t>VÄSTERNORRLANDS LÄN</t>
        </is>
      </c>
      <c r="E1196" t="inlineStr">
        <is>
          <t>SUNDSVALL</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53832-2025</t>
        </is>
      </c>
      <c r="B1197" s="1" t="n">
        <v>45961.34505787037</v>
      </c>
      <c r="C1197" s="1" t="n">
        <v>46165</v>
      </c>
      <c r="D1197" t="inlineStr">
        <is>
          <t>VÄSTERNORRLANDS LÄN</t>
        </is>
      </c>
      <c r="E1197" t="inlineStr">
        <is>
          <t>SUNDSVALL</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39506-2023</t>
        </is>
      </c>
      <c r="B1198" s="1" t="n">
        <v>45166.95797453704</v>
      </c>
      <c r="C1198" s="1" t="n">
        <v>46165</v>
      </c>
      <c r="D1198" t="inlineStr">
        <is>
          <t>VÄSTERNORRLANDS LÄN</t>
        </is>
      </c>
      <c r="E1198" t="inlineStr">
        <is>
          <t>SUNDSVALL</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25996-2023</t>
        </is>
      </c>
      <c r="B1199" s="1" t="n">
        <v>45090.92568287037</v>
      </c>
      <c r="C1199" s="1" t="n">
        <v>46165</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47248-2025</t>
        </is>
      </c>
      <c r="B1200" s="1" t="n">
        <v>45930</v>
      </c>
      <c r="C1200" s="1" t="n">
        <v>46165</v>
      </c>
      <c r="D1200" t="inlineStr">
        <is>
          <t>VÄSTERNORRLANDS LÄN</t>
        </is>
      </c>
      <c r="E1200" t="inlineStr">
        <is>
          <t>SUNDSVALL</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35500-2023</t>
        </is>
      </c>
      <c r="B1201" s="1" t="n">
        <v>45146.9228125</v>
      </c>
      <c r="C1201" s="1" t="n">
        <v>46165</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54490-2025</t>
        </is>
      </c>
      <c r="B1202" s="1" t="n">
        <v>45965.59504629629</v>
      </c>
      <c r="C1202" s="1" t="n">
        <v>46165</v>
      </c>
      <c r="D1202" t="inlineStr">
        <is>
          <t>VÄSTERNORRLANDS LÄN</t>
        </is>
      </c>
      <c r="E1202" t="inlineStr">
        <is>
          <t>SUNDSVALL</t>
        </is>
      </c>
      <c r="F1202" t="inlineStr">
        <is>
          <t>SCA</t>
        </is>
      </c>
      <c r="G1202" t="n">
        <v>29.4</v>
      </c>
      <c r="H1202" t="n">
        <v>0</v>
      </c>
      <c r="I1202" t="n">
        <v>0</v>
      </c>
      <c r="J1202" t="n">
        <v>0</v>
      </c>
      <c r="K1202" t="n">
        <v>0</v>
      </c>
      <c r="L1202" t="n">
        <v>0</v>
      </c>
      <c r="M1202" t="n">
        <v>0</v>
      </c>
      <c r="N1202" t="n">
        <v>0</v>
      </c>
      <c r="O1202" t="n">
        <v>0</v>
      </c>
      <c r="P1202" t="n">
        <v>0</v>
      </c>
      <c r="Q1202" t="n">
        <v>0</v>
      </c>
      <c r="R1202" s="2" t="inlineStr"/>
    </row>
    <row r="1203" ht="15" customHeight="1">
      <c r="A1203" t="inlineStr">
        <is>
          <t>A 34423-2023</t>
        </is>
      </c>
      <c r="B1203" s="1" t="n">
        <v>45139.60361111111</v>
      </c>
      <c r="C1203" s="1" t="n">
        <v>46165</v>
      </c>
      <c r="D1203" t="inlineStr">
        <is>
          <t>VÄSTERNORRLANDS LÄN</t>
        </is>
      </c>
      <c r="E1203" t="inlineStr">
        <is>
          <t>SUNDSVALL</t>
        </is>
      </c>
      <c r="F1203" t="inlineStr">
        <is>
          <t>Holmen skog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62184-2021</t>
        </is>
      </c>
      <c r="B1204" s="1" t="n">
        <v>44502</v>
      </c>
      <c r="C1204" s="1" t="n">
        <v>46165</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54977-2023</t>
        </is>
      </c>
      <c r="B1205" s="1" t="n">
        <v>45236</v>
      </c>
      <c r="C1205" s="1" t="n">
        <v>46165</v>
      </c>
      <c r="D1205" t="inlineStr">
        <is>
          <t>VÄSTERNORRLANDS LÄN</t>
        </is>
      </c>
      <c r="E1205" t="inlineStr">
        <is>
          <t>SUNDSVALL</t>
        </is>
      </c>
      <c r="F1205" t="inlineStr">
        <is>
          <t>Kyrkan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3293-2025</t>
        </is>
      </c>
      <c r="B1206" s="1" t="n">
        <v>45679</v>
      </c>
      <c r="C1206" s="1" t="n">
        <v>46165</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3326-2025</t>
        </is>
      </c>
      <c r="B1207" s="1" t="n">
        <v>45679.69952546297</v>
      </c>
      <c r="C1207" s="1" t="n">
        <v>46165</v>
      </c>
      <c r="D1207" t="inlineStr">
        <is>
          <t>VÄSTERNORRLANDS LÄN</t>
        </is>
      </c>
      <c r="E1207" t="inlineStr">
        <is>
          <t>SUNDSVALL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55152-2024</t>
        </is>
      </c>
      <c r="B1208" s="1" t="n">
        <v>45621.49590277778</v>
      </c>
      <c r="C1208" s="1" t="n">
        <v>46165</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55009-2025</t>
        </is>
      </c>
      <c r="B1209" s="1" t="n">
        <v>45967.61523148148</v>
      </c>
      <c r="C1209" s="1" t="n">
        <v>46165</v>
      </c>
      <c r="D1209" t="inlineStr">
        <is>
          <t>VÄSTERNORRLANDS LÄN</t>
        </is>
      </c>
      <c r="E1209" t="inlineStr">
        <is>
          <t>SUNDSVALL</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4635-2024</t>
        </is>
      </c>
      <c r="B1210" s="1" t="n">
        <v>45328</v>
      </c>
      <c r="C1210" s="1" t="n">
        <v>46165</v>
      </c>
      <c r="D1210" t="inlineStr">
        <is>
          <t>VÄSTERNORRLANDS LÄN</t>
        </is>
      </c>
      <c r="E1210" t="inlineStr">
        <is>
          <t>SUNDSVALL</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10200-2024</t>
        </is>
      </c>
      <c r="B1211" s="1" t="n">
        <v>45364.92836805555</v>
      </c>
      <c r="C1211" s="1" t="n">
        <v>46165</v>
      </c>
      <c r="D1211" t="inlineStr">
        <is>
          <t>VÄSTERNORRLANDS LÄN</t>
        </is>
      </c>
      <c r="E1211" t="inlineStr">
        <is>
          <t>SUNDSVALL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45024-2023</t>
        </is>
      </c>
      <c r="B1212" s="1" t="n">
        <v>45190.96283564815</v>
      </c>
      <c r="C1212" s="1" t="n">
        <v>46165</v>
      </c>
      <c r="D1212" t="inlineStr">
        <is>
          <t>VÄSTERNORRLANDS LÄN</t>
        </is>
      </c>
      <c r="E1212" t="inlineStr">
        <is>
          <t>SUNDSVALL</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54854-2025</t>
        </is>
      </c>
      <c r="B1213" s="1" t="n">
        <v>45966</v>
      </c>
      <c r="C1213" s="1" t="n">
        <v>46165</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54719-2025</t>
        </is>
      </c>
      <c r="B1214" s="1" t="n">
        <v>45966.53165509259</v>
      </c>
      <c r="C1214" s="1" t="n">
        <v>46165</v>
      </c>
      <c r="D1214" t="inlineStr">
        <is>
          <t>VÄSTERNORRLANDS LÄN</t>
        </is>
      </c>
      <c r="E1214" t="inlineStr">
        <is>
          <t>SUNDSVALL</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54754-2025</t>
        </is>
      </c>
      <c r="B1215" s="1" t="n">
        <v>45966.59429398148</v>
      </c>
      <c r="C1215" s="1" t="n">
        <v>46165</v>
      </c>
      <c r="D1215" t="inlineStr">
        <is>
          <t>VÄSTERNORRLANDS LÄN</t>
        </is>
      </c>
      <c r="E1215" t="inlineStr">
        <is>
          <t>SUNDSVALL</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54313-2024</t>
        </is>
      </c>
      <c r="B1216" s="1" t="n">
        <v>45617.34414351852</v>
      </c>
      <c r="C1216" s="1" t="n">
        <v>46165</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28961-2022</t>
        </is>
      </c>
      <c r="B1217" s="1" t="n">
        <v>44749</v>
      </c>
      <c r="C1217" s="1" t="n">
        <v>46165</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4346-2024</t>
        </is>
      </c>
      <c r="B1218" s="1" t="n">
        <v>45324</v>
      </c>
      <c r="C1218" s="1" t="n">
        <v>46165</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17821-2023</t>
        </is>
      </c>
      <c r="B1219" s="1" t="n">
        <v>45037</v>
      </c>
      <c r="C1219" s="1" t="n">
        <v>46165</v>
      </c>
      <c r="D1219" t="inlineStr">
        <is>
          <t>VÄSTERNORRLANDS LÄN</t>
        </is>
      </c>
      <c r="E1219" t="inlineStr">
        <is>
          <t>SUNDSVALL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54818-2025</t>
        </is>
      </c>
      <c r="B1220" s="1" t="n">
        <v>45966.656875</v>
      </c>
      <c r="C1220" s="1" t="n">
        <v>46165</v>
      </c>
      <c r="D1220" t="inlineStr">
        <is>
          <t>VÄSTERNORRLANDS LÄN</t>
        </is>
      </c>
      <c r="E1220" t="inlineStr">
        <is>
          <t>SUNDSVALL</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55026-2025</t>
        </is>
      </c>
      <c r="B1221" s="1" t="n">
        <v>45967</v>
      </c>
      <c r="C1221" s="1" t="n">
        <v>46165</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9113-2024</t>
        </is>
      </c>
      <c r="B1222" s="1" t="n">
        <v>45357</v>
      </c>
      <c r="C1222" s="1" t="n">
        <v>46165</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55565-2025</t>
        </is>
      </c>
      <c r="B1223" s="1" t="n">
        <v>45971.65561342592</v>
      </c>
      <c r="C1223" s="1" t="n">
        <v>46165</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55365-2025</t>
        </is>
      </c>
      <c r="B1224" s="1" t="n">
        <v>45971.40697916667</v>
      </c>
      <c r="C1224" s="1" t="n">
        <v>46165</v>
      </c>
      <c r="D1224" t="inlineStr">
        <is>
          <t>VÄSTERNORRLANDS LÄN</t>
        </is>
      </c>
      <c r="E1224" t="inlineStr">
        <is>
          <t>SUNDSVALL</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55376-2025</t>
        </is>
      </c>
      <c r="B1225" s="1" t="n">
        <v>45971.42753472222</v>
      </c>
      <c r="C1225" s="1" t="n">
        <v>46165</v>
      </c>
      <c r="D1225" t="inlineStr">
        <is>
          <t>VÄSTERNORRLANDS LÄN</t>
        </is>
      </c>
      <c r="E1225" t="inlineStr">
        <is>
          <t>SUNDSVALL</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55101-2025</t>
        </is>
      </c>
      <c r="B1226" s="1" t="n">
        <v>45968.35240740741</v>
      </c>
      <c r="C1226" s="1" t="n">
        <v>46165</v>
      </c>
      <c r="D1226" t="inlineStr">
        <is>
          <t>VÄSTERNORRLANDS LÄN</t>
        </is>
      </c>
      <c r="E1226" t="inlineStr">
        <is>
          <t>SUNDSVALL</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55133-2025</t>
        </is>
      </c>
      <c r="B1227" s="1" t="n">
        <v>45968.41929398148</v>
      </c>
      <c r="C1227" s="1" t="n">
        <v>46165</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25988-2023</t>
        </is>
      </c>
      <c r="B1228" s="1" t="n">
        <v>45090.9250462963</v>
      </c>
      <c r="C1228" s="1" t="n">
        <v>46165</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55563-2025</t>
        </is>
      </c>
      <c r="B1229" s="1" t="n">
        <v>45971.65373842593</v>
      </c>
      <c r="C1229" s="1" t="n">
        <v>46165</v>
      </c>
      <c r="D1229" t="inlineStr">
        <is>
          <t>VÄSTERNORRLANDS LÄN</t>
        </is>
      </c>
      <c r="E1229" t="inlineStr">
        <is>
          <t>SUNDSVALL</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46552-2023</t>
        </is>
      </c>
      <c r="B1230" s="1" t="n">
        <v>45197</v>
      </c>
      <c r="C1230" s="1" t="n">
        <v>46165</v>
      </c>
      <c r="D1230" t="inlineStr">
        <is>
          <t>VÄSTERNORRLANDS LÄN</t>
        </is>
      </c>
      <c r="E1230" t="inlineStr">
        <is>
          <t>SUNDSVALL</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55188-2024</t>
        </is>
      </c>
      <c r="B1231" s="1" t="n">
        <v>45621.5429050926</v>
      </c>
      <c r="C1231" s="1" t="n">
        <v>46165</v>
      </c>
      <c r="D1231" t="inlineStr">
        <is>
          <t>VÄSTERNORRLANDS LÄN</t>
        </is>
      </c>
      <c r="E1231" t="inlineStr">
        <is>
          <t>SUNDSVALL</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55134-2025</t>
        </is>
      </c>
      <c r="B1232" s="1" t="n">
        <v>45968.42226851852</v>
      </c>
      <c r="C1232" s="1" t="n">
        <v>46165</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55803-2025</t>
        </is>
      </c>
      <c r="B1233" s="1" t="n">
        <v>45972.67751157407</v>
      </c>
      <c r="C1233" s="1" t="n">
        <v>46165</v>
      </c>
      <c r="D1233" t="inlineStr">
        <is>
          <t>VÄSTERNORRLANDS LÄN</t>
        </is>
      </c>
      <c r="E1233" t="inlineStr">
        <is>
          <t>SUNDSVALL</t>
        </is>
      </c>
      <c r="F1233" t="inlineStr">
        <is>
          <t>Naturvårdsverket</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55645-2025</t>
        </is>
      </c>
      <c r="B1234" s="1" t="n">
        <v>45972.36501157407</v>
      </c>
      <c r="C1234" s="1" t="n">
        <v>46165</v>
      </c>
      <c r="D1234" t="inlineStr">
        <is>
          <t>VÄSTERNORRLANDS LÄN</t>
        </is>
      </c>
      <c r="E1234" t="inlineStr">
        <is>
          <t>SUNDSVALL</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55771-2025</t>
        </is>
      </c>
      <c r="B1235" s="1" t="n">
        <v>45972.61542824074</v>
      </c>
      <c r="C1235" s="1" t="n">
        <v>46165</v>
      </c>
      <c r="D1235" t="inlineStr">
        <is>
          <t>VÄSTERNORRLANDS LÄN</t>
        </is>
      </c>
      <c r="E1235" t="inlineStr">
        <is>
          <t>SUNDSVALL</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55898-2025</t>
        </is>
      </c>
      <c r="B1236" s="1" t="n">
        <v>45973.38623842593</v>
      </c>
      <c r="C1236" s="1" t="n">
        <v>46165</v>
      </c>
      <c r="D1236" t="inlineStr">
        <is>
          <t>VÄSTERNORRLANDS LÄN</t>
        </is>
      </c>
      <c r="E1236" t="inlineStr">
        <is>
          <t>SUNDSVALL</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47718-2024</t>
        </is>
      </c>
      <c r="B1237" s="1" t="n">
        <v>45588.48990740741</v>
      </c>
      <c r="C1237" s="1" t="n">
        <v>46165</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56019-2025</t>
        </is>
      </c>
      <c r="B1238" s="1" t="n">
        <v>45973.594375</v>
      </c>
      <c r="C1238" s="1" t="n">
        <v>46165</v>
      </c>
      <c r="D1238" t="inlineStr">
        <is>
          <t>VÄSTERNORRLANDS LÄN</t>
        </is>
      </c>
      <c r="E1238" t="inlineStr">
        <is>
          <t>SUNDSVALL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39913-2022</t>
        </is>
      </c>
      <c r="B1239" s="1" t="n">
        <v>44819</v>
      </c>
      <c r="C1239" s="1" t="n">
        <v>46165</v>
      </c>
      <c r="D1239" t="inlineStr">
        <is>
          <t>VÄSTERNORRLANDS LÄN</t>
        </is>
      </c>
      <c r="E1239" t="inlineStr">
        <is>
          <t>SUNDSVALL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55691-2025</t>
        </is>
      </c>
      <c r="B1240" s="1" t="n">
        <v>45972.4365625</v>
      </c>
      <c r="C1240" s="1" t="n">
        <v>46165</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55881-2025</t>
        </is>
      </c>
      <c r="B1241" s="1" t="n">
        <v>45973.36530092593</v>
      </c>
      <c r="C1241" s="1" t="n">
        <v>46165</v>
      </c>
      <c r="D1241" t="inlineStr">
        <is>
          <t>VÄSTERNORRLANDS LÄN</t>
        </is>
      </c>
      <c r="E1241" t="inlineStr">
        <is>
          <t>SUNDSVALL</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8850-2025</t>
        </is>
      </c>
      <c r="B1242" s="1" t="n">
        <v>45713</v>
      </c>
      <c r="C1242" s="1" t="n">
        <v>46165</v>
      </c>
      <c r="D1242" t="inlineStr">
        <is>
          <t>VÄSTERNORRLANDS LÄN</t>
        </is>
      </c>
      <c r="E1242" t="inlineStr">
        <is>
          <t>SUNDSVALL</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56020-2025</t>
        </is>
      </c>
      <c r="B1243" s="1" t="n">
        <v>45973.59460648148</v>
      </c>
      <c r="C1243" s="1" t="n">
        <v>46165</v>
      </c>
      <c r="D1243" t="inlineStr">
        <is>
          <t>VÄSTERNORRLANDS LÄN</t>
        </is>
      </c>
      <c r="E1243" t="inlineStr">
        <is>
          <t>SUNDSVALL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55808-2025</t>
        </is>
      </c>
      <c r="B1244" s="1" t="n">
        <v>45972.67839120371</v>
      </c>
      <c r="C1244" s="1" t="n">
        <v>46165</v>
      </c>
      <c r="D1244" t="inlineStr">
        <is>
          <t>VÄSTERNORRLANDS LÄN</t>
        </is>
      </c>
      <c r="E1244" t="inlineStr">
        <is>
          <t>SUNDSVALL</t>
        </is>
      </c>
      <c r="F1244" t="inlineStr">
        <is>
          <t>Naturvårdsverket</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55746-2025</t>
        </is>
      </c>
      <c r="B1245" s="1" t="n">
        <v>45972.57427083333</v>
      </c>
      <c r="C1245" s="1" t="n">
        <v>46165</v>
      </c>
      <c r="D1245" t="inlineStr">
        <is>
          <t>VÄSTERNORRLANDS LÄN</t>
        </is>
      </c>
      <c r="E1245" t="inlineStr">
        <is>
          <t>SUNDSVALL</t>
        </is>
      </c>
      <c r="F1245" t="inlineStr">
        <is>
          <t>SCA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18874-2024</t>
        </is>
      </c>
      <c r="B1246" s="1" t="n">
        <v>45426.98122685185</v>
      </c>
      <c r="C1246" s="1" t="n">
        <v>46165</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55769-2025</t>
        </is>
      </c>
      <c r="B1247" s="1" t="n">
        <v>45972</v>
      </c>
      <c r="C1247" s="1" t="n">
        <v>46165</v>
      </c>
      <c r="D1247" t="inlineStr">
        <is>
          <t>VÄSTERNORRLANDS LÄN</t>
        </is>
      </c>
      <c r="E1247" t="inlineStr">
        <is>
          <t>SUNDSVALL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56559-2025</t>
        </is>
      </c>
      <c r="B1248" s="1" t="n">
        <v>45975.49059027778</v>
      </c>
      <c r="C1248" s="1" t="n">
        <v>46165</v>
      </c>
      <c r="D1248" t="inlineStr">
        <is>
          <t>VÄSTERNORRLANDS LÄN</t>
        </is>
      </c>
      <c r="E1248" t="inlineStr">
        <is>
          <t>SUNDSVALL</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56441-2025</t>
        </is>
      </c>
      <c r="B1249" s="1" t="n">
        <v>45975.34765046297</v>
      </c>
      <c r="C1249" s="1" t="n">
        <v>46165</v>
      </c>
      <c r="D1249" t="inlineStr">
        <is>
          <t>VÄSTERNORRLANDS LÄN</t>
        </is>
      </c>
      <c r="E1249" t="inlineStr">
        <is>
          <t>SUNDSVALL</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12310-2024</t>
        </is>
      </c>
      <c r="B1250" s="1" t="n">
        <v>45377</v>
      </c>
      <c r="C1250" s="1" t="n">
        <v>46165</v>
      </c>
      <c r="D1250" t="inlineStr">
        <is>
          <t>VÄSTERNORRLANDS LÄN</t>
        </is>
      </c>
      <c r="E1250" t="inlineStr">
        <is>
          <t>SUNDSVALL</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56195-2025</t>
        </is>
      </c>
      <c r="B1251" s="1" t="n">
        <v>45974.44819444444</v>
      </c>
      <c r="C1251" s="1" t="n">
        <v>46165</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27895-2024</t>
        </is>
      </c>
      <c r="B1252" s="1" t="n">
        <v>45475.92822916667</v>
      </c>
      <c r="C1252" s="1" t="n">
        <v>46165</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56533-2025</t>
        </is>
      </c>
      <c r="B1253" s="1" t="n">
        <v>45975.46969907408</v>
      </c>
      <c r="C1253" s="1" t="n">
        <v>46165</v>
      </c>
      <c r="D1253" t="inlineStr">
        <is>
          <t>VÄSTERNORRLANDS LÄN</t>
        </is>
      </c>
      <c r="E1253" t="inlineStr">
        <is>
          <t>SUNDSVALL</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45739-2021</t>
        </is>
      </c>
      <c r="B1254" s="1" t="n">
        <v>44441</v>
      </c>
      <c r="C1254" s="1" t="n">
        <v>46165</v>
      </c>
      <c r="D1254" t="inlineStr">
        <is>
          <t>VÄSTERNORRLANDS LÄN</t>
        </is>
      </c>
      <c r="E1254" t="inlineStr">
        <is>
          <t>SUNDSVALL</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57051-2025</t>
        </is>
      </c>
      <c r="B1255" s="1" t="n">
        <v>45979.34736111111</v>
      </c>
      <c r="C1255" s="1" t="n">
        <v>46165</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22249-2022</t>
        </is>
      </c>
      <c r="B1256" s="1" t="n">
        <v>44712.60636574074</v>
      </c>
      <c r="C1256" s="1" t="n">
        <v>46165</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57144-2025</t>
        </is>
      </c>
      <c r="B1257" s="1" t="n">
        <v>45979.49015046296</v>
      </c>
      <c r="C1257" s="1" t="n">
        <v>46165</v>
      </c>
      <c r="D1257" t="inlineStr">
        <is>
          <t>VÄSTERNORRLANDS LÄN</t>
        </is>
      </c>
      <c r="E1257" t="inlineStr">
        <is>
          <t>SUNDSVALL</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57092-2025</t>
        </is>
      </c>
      <c r="B1258" s="1" t="n">
        <v>45979.42767361111</v>
      </c>
      <c r="C1258" s="1" t="n">
        <v>46165</v>
      </c>
      <c r="D1258" t="inlineStr">
        <is>
          <t>VÄSTERNORRLANDS LÄN</t>
        </is>
      </c>
      <c r="E1258" t="inlineStr">
        <is>
          <t>SUNDSVALL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57052-2025</t>
        </is>
      </c>
      <c r="B1259" s="1" t="n">
        <v>45979.34738425926</v>
      </c>
      <c r="C1259" s="1" t="n">
        <v>46165</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56752-2025</t>
        </is>
      </c>
      <c r="B1260" s="1" t="n">
        <v>45978.36547453704</v>
      </c>
      <c r="C1260" s="1" t="n">
        <v>46165</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57145-2025</t>
        </is>
      </c>
      <c r="B1261" s="1" t="n">
        <v>45979.4903587963</v>
      </c>
      <c r="C1261" s="1" t="n">
        <v>46165</v>
      </c>
      <c r="D1261" t="inlineStr">
        <is>
          <t>VÄSTERNORRLANDS LÄN</t>
        </is>
      </c>
      <c r="E1261" t="inlineStr">
        <is>
          <t>SUNDSVALL</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56815-2025</t>
        </is>
      </c>
      <c r="B1262" s="1" t="n">
        <v>45978.45726851852</v>
      </c>
      <c r="C1262" s="1" t="n">
        <v>46165</v>
      </c>
      <c r="D1262" t="inlineStr">
        <is>
          <t>VÄSTERNORRLANDS LÄN</t>
        </is>
      </c>
      <c r="E1262" t="inlineStr">
        <is>
          <t>SUNDSVALL</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57122-2025</t>
        </is>
      </c>
      <c r="B1263" s="1" t="n">
        <v>45979.4693287037</v>
      </c>
      <c r="C1263" s="1" t="n">
        <v>46165</v>
      </c>
      <c r="D1263" t="inlineStr">
        <is>
          <t>VÄSTERNORRLANDS LÄN</t>
        </is>
      </c>
      <c r="E1263" t="inlineStr">
        <is>
          <t>SUNDSVALL</t>
        </is>
      </c>
      <c r="F1263" t="inlineStr">
        <is>
          <t>SCA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56884-2025</t>
        </is>
      </c>
      <c r="B1264" s="1" t="n">
        <v>45978.55746527778</v>
      </c>
      <c r="C1264" s="1" t="n">
        <v>46165</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14398-2025</t>
        </is>
      </c>
      <c r="B1265" s="1" t="n">
        <v>45741</v>
      </c>
      <c r="C1265" s="1" t="n">
        <v>46165</v>
      </c>
      <c r="D1265" t="inlineStr">
        <is>
          <t>VÄSTERNORRLANDS LÄN</t>
        </is>
      </c>
      <c r="E1265" t="inlineStr">
        <is>
          <t>SUNDSVALL</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57384-2025</t>
        </is>
      </c>
      <c r="B1266" s="1" t="n">
        <v>45980.41163194444</v>
      </c>
      <c r="C1266" s="1" t="n">
        <v>46165</v>
      </c>
      <c r="D1266" t="inlineStr">
        <is>
          <t>VÄSTERNORRLANDS LÄN</t>
        </is>
      </c>
      <c r="E1266" t="inlineStr">
        <is>
          <t>SUNDSVALL</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57396-2025</t>
        </is>
      </c>
      <c r="B1267" s="1" t="n">
        <v>45980.42802083334</v>
      </c>
      <c r="C1267" s="1" t="n">
        <v>46165</v>
      </c>
      <c r="D1267" t="inlineStr">
        <is>
          <t>VÄSTERNORRLANDS LÄN</t>
        </is>
      </c>
      <c r="E1267" t="inlineStr">
        <is>
          <t>SUNDSVALL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15609-2025</t>
        </is>
      </c>
      <c r="B1268" s="1" t="n">
        <v>45748.34819444444</v>
      </c>
      <c r="C1268" s="1" t="n">
        <v>46165</v>
      </c>
      <c r="D1268" t="inlineStr">
        <is>
          <t>VÄSTERNORRLANDS LÄN</t>
        </is>
      </c>
      <c r="E1268" t="inlineStr">
        <is>
          <t>SUNDSVALL</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43128-2024</t>
        </is>
      </c>
      <c r="B1269" s="1" t="n">
        <v>45567</v>
      </c>
      <c r="C1269" s="1" t="n">
        <v>46165</v>
      </c>
      <c r="D1269" t="inlineStr">
        <is>
          <t>VÄSTERNORRLANDS LÄN</t>
        </is>
      </c>
      <c r="E1269" t="inlineStr">
        <is>
          <t>SUNDSVALL</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57724-2025</t>
        </is>
      </c>
      <c r="B1270" s="1" t="n">
        <v>45981.49041666667</v>
      </c>
      <c r="C1270" s="1" t="n">
        <v>46165</v>
      </c>
      <c r="D1270" t="inlineStr">
        <is>
          <t>VÄSTERNORRLANDS LÄN</t>
        </is>
      </c>
      <c r="E1270" t="inlineStr">
        <is>
          <t>SUNDSVALL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49789-2024</t>
        </is>
      </c>
      <c r="B1271" s="1" t="n">
        <v>45597.36646990741</v>
      </c>
      <c r="C1271" s="1" t="n">
        <v>46165</v>
      </c>
      <c r="D1271" t="inlineStr">
        <is>
          <t>VÄSTERNORRLANDS LÄN</t>
        </is>
      </c>
      <c r="E1271" t="inlineStr">
        <is>
          <t>SUNDSVALL</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58089-2025</t>
        </is>
      </c>
      <c r="B1272" s="1" t="n">
        <v>45982.57334490741</v>
      </c>
      <c r="C1272" s="1" t="n">
        <v>46165</v>
      </c>
      <c r="D1272" t="inlineStr">
        <is>
          <t>VÄSTERNORRLANDS LÄN</t>
        </is>
      </c>
      <c r="E1272" t="inlineStr">
        <is>
          <t>SUNDSVALL</t>
        </is>
      </c>
      <c r="F1272" t="inlineStr">
        <is>
          <t>SCA</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58090-2025</t>
        </is>
      </c>
      <c r="B1273" s="1" t="n">
        <v>45982.57361111111</v>
      </c>
      <c r="C1273" s="1" t="n">
        <v>46165</v>
      </c>
      <c r="D1273" t="inlineStr">
        <is>
          <t>VÄSTERNORRLANDS LÄN</t>
        </is>
      </c>
      <c r="E1273" t="inlineStr">
        <is>
          <t>SUNDSVALL</t>
        </is>
      </c>
      <c r="F1273" t="inlineStr">
        <is>
          <t>SCA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58164-2025</t>
        </is>
      </c>
      <c r="B1274" s="1" t="n">
        <v>45982</v>
      </c>
      <c r="C1274" s="1" t="n">
        <v>46165</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58507-2025</t>
        </is>
      </c>
      <c r="B1275" s="1" t="n">
        <v>45985.69873842593</v>
      </c>
      <c r="C1275" s="1" t="n">
        <v>46165</v>
      </c>
      <c r="D1275" t="inlineStr">
        <is>
          <t>VÄSTERNORRLANDS LÄN</t>
        </is>
      </c>
      <c r="E1275" t="inlineStr">
        <is>
          <t>SUNDSVALL</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58429-2025</t>
        </is>
      </c>
      <c r="B1276" s="1" t="n">
        <v>45985.60277777778</v>
      </c>
      <c r="C1276" s="1" t="n">
        <v>46165</v>
      </c>
      <c r="D1276" t="inlineStr">
        <is>
          <t>VÄSTERNORRLANDS LÄN</t>
        </is>
      </c>
      <c r="E1276" t="inlineStr">
        <is>
          <t>SUNDSVALL</t>
        </is>
      </c>
      <c r="F1276" t="inlineStr">
        <is>
          <t>Kommuner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19184-2025</t>
        </is>
      </c>
      <c r="B1277" s="1" t="n">
        <v>45769</v>
      </c>
      <c r="C1277" s="1" t="n">
        <v>46165</v>
      </c>
      <c r="D1277" t="inlineStr">
        <is>
          <t>VÄSTERNORRLANDS LÄN</t>
        </is>
      </c>
      <c r="E1277" t="inlineStr">
        <is>
          <t>SUNDSVALL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42728-2021</t>
        </is>
      </c>
      <c r="B1278" s="1" t="n">
        <v>44428.59997685185</v>
      </c>
      <c r="C1278" s="1" t="n">
        <v>46165</v>
      </c>
      <c r="D1278" t="inlineStr">
        <is>
          <t>VÄSTERNORRLANDS LÄN</t>
        </is>
      </c>
      <c r="E1278" t="inlineStr">
        <is>
          <t>SUNDSVALL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4784-2025</t>
        </is>
      </c>
      <c r="B1279" s="1" t="n">
        <v>45688.53841435185</v>
      </c>
      <c r="C1279" s="1" t="n">
        <v>46165</v>
      </c>
      <c r="D1279" t="inlineStr">
        <is>
          <t>VÄSTERNORRLANDS LÄN</t>
        </is>
      </c>
      <c r="E1279" t="inlineStr">
        <is>
          <t>SUNDSVALL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58525-2025</t>
        </is>
      </c>
      <c r="B1280" s="1" t="n">
        <v>45985.71924768519</v>
      </c>
      <c r="C1280" s="1" t="n">
        <v>46165</v>
      </c>
      <c r="D1280" t="inlineStr">
        <is>
          <t>VÄSTERNORRLANDS LÄN</t>
        </is>
      </c>
      <c r="E1280" t="inlineStr">
        <is>
          <t>SUNDSVALL</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58831-2025</t>
        </is>
      </c>
      <c r="B1281" s="1" t="n">
        <v>45987.35292824074</v>
      </c>
      <c r="C1281" s="1" t="n">
        <v>46165</v>
      </c>
      <c r="D1281" t="inlineStr">
        <is>
          <t>VÄSTERNORRLANDS LÄN</t>
        </is>
      </c>
      <c r="E1281" t="inlineStr">
        <is>
          <t>SUNDSVALL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58612-2025</t>
        </is>
      </c>
      <c r="B1282" s="1" t="n">
        <v>45986.45421296296</v>
      </c>
      <c r="C1282" s="1" t="n">
        <v>46165</v>
      </c>
      <c r="D1282" t="inlineStr">
        <is>
          <t>VÄSTERNORRLANDS LÄN</t>
        </is>
      </c>
      <c r="E1282" t="inlineStr">
        <is>
          <t>SUNDSVALL</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30084-2022</t>
        </is>
      </c>
      <c r="B1283" s="1" t="n">
        <v>44757.3788425926</v>
      </c>
      <c r="C1283" s="1" t="n">
        <v>46165</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58859-2025</t>
        </is>
      </c>
      <c r="B1284" s="1" t="n">
        <v>45987.42791666667</v>
      </c>
      <c r="C1284" s="1" t="n">
        <v>46165</v>
      </c>
      <c r="D1284" t="inlineStr">
        <is>
          <t>VÄSTERNORRLANDS LÄN</t>
        </is>
      </c>
      <c r="E1284" t="inlineStr">
        <is>
          <t>SUNDSVALL</t>
        </is>
      </c>
      <c r="F1284" t="inlineStr">
        <is>
          <t>SCA</t>
        </is>
      </c>
      <c r="G1284" t="n">
        <v>13.4</v>
      </c>
      <c r="H1284" t="n">
        <v>0</v>
      </c>
      <c r="I1284" t="n">
        <v>0</v>
      </c>
      <c r="J1284" t="n">
        <v>0</v>
      </c>
      <c r="K1284" t="n">
        <v>0</v>
      </c>
      <c r="L1284" t="n">
        <v>0</v>
      </c>
      <c r="M1284" t="n">
        <v>0</v>
      </c>
      <c r="N1284" t="n">
        <v>0</v>
      </c>
      <c r="O1284" t="n">
        <v>0</v>
      </c>
      <c r="P1284" t="n">
        <v>0</v>
      </c>
      <c r="Q1284" t="n">
        <v>0</v>
      </c>
      <c r="R1284" s="2" t="inlineStr"/>
    </row>
    <row r="1285" ht="15" customHeight="1">
      <c r="A1285" t="inlineStr">
        <is>
          <t>A 58552-2025</t>
        </is>
      </c>
      <c r="B1285" s="1" t="n">
        <v>45986.33105324074</v>
      </c>
      <c r="C1285" s="1" t="n">
        <v>46165</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58551-2025</t>
        </is>
      </c>
      <c r="B1286" s="1" t="n">
        <v>45986.32783564815</v>
      </c>
      <c r="C1286" s="1" t="n">
        <v>46165</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58615-2025</t>
        </is>
      </c>
      <c r="B1287" s="1" t="n">
        <v>45986.46577546297</v>
      </c>
      <c r="C1287" s="1" t="n">
        <v>46165</v>
      </c>
      <c r="D1287" t="inlineStr">
        <is>
          <t>VÄSTERNORRLANDS LÄN</t>
        </is>
      </c>
      <c r="E1287" t="inlineStr">
        <is>
          <t>SUNDSVALL</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58825-2025</t>
        </is>
      </c>
      <c r="B1288" s="1" t="n">
        <v>45987.34678240741</v>
      </c>
      <c r="C1288" s="1" t="n">
        <v>46165</v>
      </c>
      <c r="D1288" t="inlineStr">
        <is>
          <t>VÄSTERNORRLANDS LÄN</t>
        </is>
      </c>
      <c r="E1288" t="inlineStr">
        <is>
          <t>SUNDSVALL</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59006-2025</t>
        </is>
      </c>
      <c r="B1289" s="1" t="n">
        <v>45987</v>
      </c>
      <c r="C1289" s="1" t="n">
        <v>46165</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45333-2023</t>
        </is>
      </c>
      <c r="B1290" s="1" t="n">
        <v>45191</v>
      </c>
      <c r="C1290" s="1" t="n">
        <v>46165</v>
      </c>
      <c r="D1290" t="inlineStr">
        <is>
          <t>VÄSTERNORRLANDS LÄN</t>
        </is>
      </c>
      <c r="E1290" t="inlineStr">
        <is>
          <t>SUNDSVALL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59228-2025</t>
        </is>
      </c>
      <c r="B1291" s="1" t="n">
        <v>45988.62262731481</v>
      </c>
      <c r="C1291" s="1" t="n">
        <v>46165</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59092-2025</t>
        </is>
      </c>
      <c r="B1292" s="1" t="n">
        <v>45988.44736111111</v>
      </c>
      <c r="C1292" s="1" t="n">
        <v>46165</v>
      </c>
      <c r="D1292" t="inlineStr">
        <is>
          <t>VÄSTERNORRLANDS LÄN</t>
        </is>
      </c>
      <c r="E1292" t="inlineStr">
        <is>
          <t>SUNDSVALL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18352-2023</t>
        </is>
      </c>
      <c r="B1293" s="1" t="n">
        <v>45040</v>
      </c>
      <c r="C1293" s="1" t="n">
        <v>46165</v>
      </c>
      <c r="D1293" t="inlineStr">
        <is>
          <t>VÄSTERNORRLANDS LÄN</t>
        </is>
      </c>
      <c r="E1293" t="inlineStr">
        <is>
          <t>SUNDSVALL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59055-2025</t>
        </is>
      </c>
      <c r="B1294" s="1" t="n">
        <v>45988.38670138889</v>
      </c>
      <c r="C1294" s="1" t="n">
        <v>46165</v>
      </c>
      <c r="D1294" t="inlineStr">
        <is>
          <t>VÄSTERNORRLANDS LÄN</t>
        </is>
      </c>
      <c r="E1294" t="inlineStr">
        <is>
          <t>SUNDSVALL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55916-2023</t>
        </is>
      </c>
      <c r="B1295" s="1" t="n">
        <v>45239.9684375</v>
      </c>
      <c r="C1295" s="1" t="n">
        <v>46165</v>
      </c>
      <c r="D1295" t="inlineStr">
        <is>
          <t>VÄSTERNORRLANDS LÄN</t>
        </is>
      </c>
      <c r="E1295" t="inlineStr">
        <is>
          <t>SUNDSVALL</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59212-2025</t>
        </is>
      </c>
      <c r="B1296" s="1" t="n">
        <v>45988.61541666667</v>
      </c>
      <c r="C1296" s="1" t="n">
        <v>46165</v>
      </c>
      <c r="D1296" t="inlineStr">
        <is>
          <t>VÄSTERNORRLANDS LÄN</t>
        </is>
      </c>
      <c r="E1296" t="inlineStr">
        <is>
          <t>SUNDSVALL</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10986-2022</t>
        </is>
      </c>
      <c r="B1297" s="1" t="n">
        <v>44628</v>
      </c>
      <c r="C1297" s="1" t="n">
        <v>46165</v>
      </c>
      <c r="D1297" t="inlineStr">
        <is>
          <t>VÄSTERNORRLANDS LÄN</t>
        </is>
      </c>
      <c r="E1297" t="inlineStr">
        <is>
          <t>SUNDSVALL</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35504-2023</t>
        </is>
      </c>
      <c r="B1298" s="1" t="n">
        <v>45146.94744212963</v>
      </c>
      <c r="C1298" s="1" t="n">
        <v>46165</v>
      </c>
      <c r="D1298" t="inlineStr">
        <is>
          <t>VÄSTERNORRLANDS LÄN</t>
        </is>
      </c>
      <c r="E1298" t="inlineStr">
        <is>
          <t>SUNDSVALL</t>
        </is>
      </c>
      <c r="F1298" t="inlineStr">
        <is>
          <t>Naturvårdsverket</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59275-2025</t>
        </is>
      </c>
      <c r="B1299" s="1" t="n">
        <v>45988.69864583333</v>
      </c>
      <c r="C1299" s="1" t="n">
        <v>46165</v>
      </c>
      <c r="D1299" t="inlineStr">
        <is>
          <t>VÄSTERNORRLANDS LÄN</t>
        </is>
      </c>
      <c r="E1299" t="inlineStr">
        <is>
          <t>SUNDSVALL</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59180-2025</t>
        </is>
      </c>
      <c r="B1300" s="1" t="n">
        <v>45988.57369212963</v>
      </c>
      <c r="C1300" s="1" t="n">
        <v>46165</v>
      </c>
      <c r="D1300" t="inlineStr">
        <is>
          <t>VÄSTERNORRLANDS LÄN</t>
        </is>
      </c>
      <c r="E1300" t="inlineStr">
        <is>
          <t>SUNDSVALL</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14732-2025</t>
        </is>
      </c>
      <c r="B1301" s="1" t="n">
        <v>45742.63611111111</v>
      </c>
      <c r="C1301" s="1" t="n">
        <v>46165</v>
      </c>
      <c r="D1301" t="inlineStr">
        <is>
          <t>VÄSTERNORRLANDS LÄN</t>
        </is>
      </c>
      <c r="E1301" t="inlineStr">
        <is>
          <t>SUNDSVALL</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59098-2025</t>
        </is>
      </c>
      <c r="B1302" s="1" t="n">
        <v>45988.45479166666</v>
      </c>
      <c r="C1302" s="1" t="n">
        <v>46165</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40763-2023</t>
        </is>
      </c>
      <c r="B1303" s="1" t="n">
        <v>45170</v>
      </c>
      <c r="C1303" s="1" t="n">
        <v>46165</v>
      </c>
      <c r="D1303" t="inlineStr">
        <is>
          <t>VÄSTERNORRLANDS LÄN</t>
        </is>
      </c>
      <c r="E1303" t="inlineStr">
        <is>
          <t>SUNDSVALL</t>
        </is>
      </c>
      <c r="F1303" t="inlineStr">
        <is>
          <t>SCA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59164-2025</t>
        </is>
      </c>
      <c r="B1304" s="1" t="n">
        <v>45988.55570601852</v>
      </c>
      <c r="C1304" s="1" t="n">
        <v>46165</v>
      </c>
      <c r="D1304" t="inlineStr">
        <is>
          <t>VÄSTERNORRLANDS LÄN</t>
        </is>
      </c>
      <c r="E1304" t="inlineStr">
        <is>
          <t>SUNDSVALL</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9393-2022</t>
        </is>
      </c>
      <c r="B1305" s="1" t="n">
        <v>44616.64576388889</v>
      </c>
      <c r="C1305" s="1" t="n">
        <v>46165</v>
      </c>
      <c r="D1305" t="inlineStr">
        <is>
          <t>VÄSTERNORRLANDS LÄN</t>
        </is>
      </c>
      <c r="E1305" t="inlineStr">
        <is>
          <t>SUNDSVALL</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10716-2023</t>
        </is>
      </c>
      <c r="B1306" s="1" t="n">
        <v>44988.64170138889</v>
      </c>
      <c r="C1306" s="1" t="n">
        <v>46165</v>
      </c>
      <c r="D1306" t="inlineStr">
        <is>
          <t>VÄSTERNORRLANDS LÄN</t>
        </is>
      </c>
      <c r="E1306" t="inlineStr">
        <is>
          <t>SUNDSVALL</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59973-2025</t>
        </is>
      </c>
      <c r="B1307" s="1" t="n">
        <v>45993</v>
      </c>
      <c r="C1307" s="1" t="n">
        <v>46165</v>
      </c>
      <c r="D1307" t="inlineStr">
        <is>
          <t>VÄSTERNORRLANDS LÄN</t>
        </is>
      </c>
      <c r="E1307" t="inlineStr">
        <is>
          <t>SUNDSVALL</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59020-2025</t>
        </is>
      </c>
      <c r="B1308" s="1" t="n">
        <v>45988.34434027778</v>
      </c>
      <c r="C1308" s="1" t="n">
        <v>46165</v>
      </c>
      <c r="D1308" t="inlineStr">
        <is>
          <t>VÄSTERNORRLANDS LÄN</t>
        </is>
      </c>
      <c r="E1308" t="inlineStr">
        <is>
          <t>SUNDSVALL</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59898-2025</t>
        </is>
      </c>
      <c r="B1309" s="1" t="n">
        <v>45992</v>
      </c>
      <c r="C1309" s="1" t="n">
        <v>46165</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59621-2025</t>
        </is>
      </c>
      <c r="B1310" s="1" t="n">
        <v>45992.38445601852</v>
      </c>
      <c r="C1310" s="1" t="n">
        <v>46165</v>
      </c>
      <c r="D1310" t="inlineStr">
        <is>
          <t>VÄSTERNORRLANDS LÄN</t>
        </is>
      </c>
      <c r="E1310" t="inlineStr">
        <is>
          <t>SUNDSVALL</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28244-2024</t>
        </is>
      </c>
      <c r="B1311" s="1" t="n">
        <v>45477.40596064815</v>
      </c>
      <c r="C1311" s="1" t="n">
        <v>46165</v>
      </c>
      <c r="D1311" t="inlineStr">
        <is>
          <t>VÄSTERNORRLANDS LÄN</t>
        </is>
      </c>
      <c r="E1311" t="inlineStr">
        <is>
          <t>SUNDSVALL</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59021-2025</t>
        </is>
      </c>
      <c r="B1312" s="1" t="n">
        <v>45988.34453703704</v>
      </c>
      <c r="C1312" s="1" t="n">
        <v>46165</v>
      </c>
      <c r="D1312" t="inlineStr">
        <is>
          <t>VÄSTERNORRLANDS LÄN</t>
        </is>
      </c>
      <c r="E1312" t="inlineStr">
        <is>
          <t>SUNDSVALL</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59720-2025</t>
        </is>
      </c>
      <c r="B1313" s="1" t="n">
        <v>45992.54521990741</v>
      </c>
      <c r="C1313" s="1" t="n">
        <v>46165</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59892-2025</t>
        </is>
      </c>
      <c r="B1314" s="1" t="n">
        <v>45993.33709490741</v>
      </c>
      <c r="C1314" s="1" t="n">
        <v>46165</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59904-2025</t>
        </is>
      </c>
      <c r="B1315" s="1" t="n">
        <v>45992</v>
      </c>
      <c r="C1315" s="1" t="n">
        <v>46165</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59957-2025</t>
        </is>
      </c>
      <c r="B1316" s="1" t="n">
        <v>45993.46804398148</v>
      </c>
      <c r="C1316" s="1" t="n">
        <v>46165</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50405-2022</t>
        </is>
      </c>
      <c r="B1317" s="1" t="n">
        <v>44861</v>
      </c>
      <c r="C1317" s="1" t="n">
        <v>46165</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59625-2025</t>
        </is>
      </c>
      <c r="B1318" s="1" t="n">
        <v>45992.38886574074</v>
      </c>
      <c r="C1318" s="1" t="n">
        <v>46165</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59647-2025</t>
        </is>
      </c>
      <c r="B1319" s="1" t="n">
        <v>45992.42819444444</v>
      </c>
      <c r="C1319" s="1" t="n">
        <v>46165</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59610-2025</t>
        </is>
      </c>
      <c r="B1320" s="1" t="n">
        <v>45992.36791666667</v>
      </c>
      <c r="C1320" s="1" t="n">
        <v>46165</v>
      </c>
      <c r="D1320" t="inlineStr">
        <is>
          <t>VÄSTERNORRLANDS LÄN</t>
        </is>
      </c>
      <c r="E1320" t="inlineStr">
        <is>
          <t>SUNDSVALL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29465-2024</t>
        </is>
      </c>
      <c r="B1321" s="1" t="n">
        <v>45483.97027777778</v>
      </c>
      <c r="C1321" s="1" t="n">
        <v>46165</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59636-2025</t>
        </is>
      </c>
      <c r="B1322" s="1" t="n">
        <v>45992.40660879629</v>
      </c>
      <c r="C1322" s="1" t="n">
        <v>46165</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60316-2025</t>
        </is>
      </c>
      <c r="B1323" s="1" t="n">
        <v>45993</v>
      </c>
      <c r="C1323" s="1" t="n">
        <v>46165</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3197-2024</t>
        </is>
      </c>
      <c r="B1324" s="1" t="n">
        <v>45316</v>
      </c>
      <c r="C1324" s="1" t="n">
        <v>46165</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59908-2025</t>
        </is>
      </c>
      <c r="B1325" s="1" t="n">
        <v>45993</v>
      </c>
      <c r="C1325" s="1" t="n">
        <v>46165</v>
      </c>
      <c r="D1325" t="inlineStr">
        <is>
          <t>VÄSTERNORRLANDS LÄN</t>
        </is>
      </c>
      <c r="E1325" t="inlineStr">
        <is>
          <t>SUNDSVALL</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59911-2025</t>
        </is>
      </c>
      <c r="B1326" s="1" t="n">
        <v>45993.36211805556</v>
      </c>
      <c r="C1326" s="1" t="n">
        <v>46165</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39796-2023</t>
        </is>
      </c>
      <c r="B1327" s="1" t="n">
        <v>45167</v>
      </c>
      <c r="C1327" s="1" t="n">
        <v>46165</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60911-2021</t>
        </is>
      </c>
      <c r="B1328" s="1" t="n">
        <v>44497</v>
      </c>
      <c r="C1328" s="1" t="n">
        <v>46165</v>
      </c>
      <c r="D1328" t="inlineStr">
        <is>
          <t>VÄSTERNORRLANDS LÄN</t>
        </is>
      </c>
      <c r="E1328" t="inlineStr">
        <is>
          <t>SUNDSVALL</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60267-2025</t>
        </is>
      </c>
      <c r="B1329" s="1" t="n">
        <v>45994.61858796296</v>
      </c>
      <c r="C1329" s="1" t="n">
        <v>46165</v>
      </c>
      <c r="D1329" t="inlineStr">
        <is>
          <t>VÄSTERNORRLANDS LÄN</t>
        </is>
      </c>
      <c r="E1329" t="inlineStr">
        <is>
          <t>SUNDSVALL</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60277-2025</t>
        </is>
      </c>
      <c r="B1330" s="1" t="n">
        <v>45994.63581018519</v>
      </c>
      <c r="C1330" s="1" t="n">
        <v>46165</v>
      </c>
      <c r="D1330" t="inlineStr">
        <is>
          <t>VÄSTERNORRLANDS LÄN</t>
        </is>
      </c>
      <c r="E1330" t="inlineStr">
        <is>
          <t>SUNDSVALL</t>
        </is>
      </c>
      <c r="F1330" t="inlineStr">
        <is>
          <t>SCA</t>
        </is>
      </c>
      <c r="G1330" t="n">
        <v>13.2</v>
      </c>
      <c r="H1330" t="n">
        <v>0</v>
      </c>
      <c r="I1330" t="n">
        <v>0</v>
      </c>
      <c r="J1330" t="n">
        <v>0</v>
      </c>
      <c r="K1330" t="n">
        <v>0</v>
      </c>
      <c r="L1330" t="n">
        <v>0</v>
      </c>
      <c r="M1330" t="n">
        <v>0</v>
      </c>
      <c r="N1330" t="n">
        <v>0</v>
      </c>
      <c r="O1330" t="n">
        <v>0</v>
      </c>
      <c r="P1330" t="n">
        <v>0</v>
      </c>
      <c r="Q1330" t="n">
        <v>0</v>
      </c>
      <c r="R1330" s="2" t="inlineStr"/>
    </row>
    <row r="1331" ht="15" customHeight="1">
      <c r="A1331" t="inlineStr">
        <is>
          <t>A 60250-2025</t>
        </is>
      </c>
      <c r="B1331" s="1" t="n">
        <v>45994.59465277778</v>
      </c>
      <c r="C1331" s="1" t="n">
        <v>46165</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8423-2024</t>
        </is>
      </c>
      <c r="B1332" s="1" t="n">
        <v>45352.98938657407</v>
      </c>
      <c r="C1332" s="1" t="n">
        <v>46165</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51431-2024</t>
        </is>
      </c>
      <c r="B1333" s="1" t="n">
        <v>45604</v>
      </c>
      <c r="C1333" s="1" t="n">
        <v>46165</v>
      </c>
      <c r="D1333" t="inlineStr">
        <is>
          <t>VÄSTERNORRLANDS LÄN</t>
        </is>
      </c>
      <c r="E1333" t="inlineStr">
        <is>
          <t>SUNDSVALL</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51433-2024</t>
        </is>
      </c>
      <c r="B1334" s="1" t="n">
        <v>45604</v>
      </c>
      <c r="C1334" s="1" t="n">
        <v>46165</v>
      </c>
      <c r="D1334" t="inlineStr">
        <is>
          <t>VÄSTERNORRLANDS LÄN</t>
        </is>
      </c>
      <c r="E1334" t="inlineStr">
        <is>
          <t>SUNDSVALL</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60458-2025</t>
        </is>
      </c>
      <c r="B1335" s="1" t="n">
        <v>45995.53168981482</v>
      </c>
      <c r="C1335" s="1" t="n">
        <v>46165</v>
      </c>
      <c r="D1335" t="inlineStr">
        <is>
          <t>VÄSTERNORRLANDS LÄN</t>
        </is>
      </c>
      <c r="E1335" t="inlineStr">
        <is>
          <t>SUNDSVALL</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60519-2025</t>
        </is>
      </c>
      <c r="B1336" s="1" t="n">
        <v>45995.6367824074</v>
      </c>
      <c r="C1336" s="1" t="n">
        <v>46165</v>
      </c>
      <c r="D1336" t="inlineStr">
        <is>
          <t>VÄSTERNORRLANDS LÄN</t>
        </is>
      </c>
      <c r="E1336" t="inlineStr">
        <is>
          <t>SUNDSVALL</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60213-2025</t>
        </is>
      </c>
      <c r="B1337" s="1" t="n">
        <v>45994.53517361111</v>
      </c>
      <c r="C1337" s="1" t="n">
        <v>46165</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60303-2025</t>
        </is>
      </c>
      <c r="B1338" s="1" t="n">
        <v>45994.67751157407</v>
      </c>
      <c r="C1338" s="1" t="n">
        <v>46165</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60497-2025</t>
        </is>
      </c>
      <c r="B1339" s="1" t="n">
        <v>45995.61512731481</v>
      </c>
      <c r="C1339" s="1" t="n">
        <v>46165</v>
      </c>
      <c r="D1339" t="inlineStr">
        <is>
          <t>VÄSTERNORRLANDS LÄN</t>
        </is>
      </c>
      <c r="E1339" t="inlineStr">
        <is>
          <t>SUNDSVALL</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60598-2025</t>
        </is>
      </c>
      <c r="B1340" s="1" t="n">
        <v>45996.34484953704</v>
      </c>
      <c r="C1340" s="1" t="n">
        <v>46165</v>
      </c>
      <c r="D1340" t="inlineStr">
        <is>
          <t>VÄSTERNORRLANDS LÄN</t>
        </is>
      </c>
      <c r="E1340" t="inlineStr">
        <is>
          <t>SUNDSVALL</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50651-2022</t>
        </is>
      </c>
      <c r="B1341" s="1" t="n">
        <v>44866</v>
      </c>
      <c r="C1341" s="1" t="n">
        <v>46165</v>
      </c>
      <c r="D1341" t="inlineStr">
        <is>
          <t>VÄSTERNORRLANDS LÄN</t>
        </is>
      </c>
      <c r="E1341" t="inlineStr">
        <is>
          <t>SUNDSVALL</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7384-2024</t>
        </is>
      </c>
      <c r="B1342" s="1" t="n">
        <v>45345</v>
      </c>
      <c r="C1342" s="1" t="n">
        <v>46165</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38131-2023</t>
        </is>
      </c>
      <c r="B1343" s="1" t="n">
        <v>45160</v>
      </c>
      <c r="C1343" s="1" t="n">
        <v>46165</v>
      </c>
      <c r="D1343" t="inlineStr">
        <is>
          <t>VÄSTERNORRLANDS LÄN</t>
        </is>
      </c>
      <c r="E1343" t="inlineStr">
        <is>
          <t>SUNDSVALL</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60612-2025</t>
        </is>
      </c>
      <c r="B1344" s="1" t="n">
        <v>45996.36546296296</v>
      </c>
      <c r="C1344" s="1" t="n">
        <v>46165</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32204-2023</t>
        </is>
      </c>
      <c r="B1345" s="1" t="n">
        <v>45119.92628472222</v>
      </c>
      <c r="C1345" s="1" t="n">
        <v>46165</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60770-2025</t>
        </is>
      </c>
      <c r="B1346" s="1" t="n">
        <v>45999.38707175926</v>
      </c>
      <c r="C1346" s="1" t="n">
        <v>46165</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60908-2025</t>
        </is>
      </c>
      <c r="B1347" s="1" t="n">
        <v>45999.59487268519</v>
      </c>
      <c r="C1347" s="1" t="n">
        <v>46165</v>
      </c>
      <c r="D1347" t="inlineStr">
        <is>
          <t>VÄSTERNORRLANDS LÄN</t>
        </is>
      </c>
      <c r="E1347" t="inlineStr">
        <is>
          <t>SUNDSVALL</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60651-2025</t>
        </is>
      </c>
      <c r="B1348" s="1" t="n">
        <v>45996.4615625</v>
      </c>
      <c r="C1348" s="1" t="n">
        <v>46165</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26661-2024</t>
        </is>
      </c>
      <c r="B1349" s="1" t="n">
        <v>45469</v>
      </c>
      <c r="C1349" s="1" t="n">
        <v>46165</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19586-2024</t>
        </is>
      </c>
      <c r="B1350" s="1" t="n">
        <v>45429</v>
      </c>
      <c r="C1350" s="1" t="n">
        <v>46165</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61530-2025</t>
        </is>
      </c>
      <c r="B1351" s="1" t="n">
        <v>46001</v>
      </c>
      <c r="C1351" s="1" t="n">
        <v>46165</v>
      </c>
      <c r="D1351" t="inlineStr">
        <is>
          <t>VÄSTERNORRLANDS LÄN</t>
        </is>
      </c>
      <c r="E1351" t="inlineStr">
        <is>
          <t>SUNDSVALL</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32380-2023</t>
        </is>
      </c>
      <c r="B1352" s="1" t="n">
        <v>45120.58898148148</v>
      </c>
      <c r="C1352" s="1" t="n">
        <v>46165</v>
      </c>
      <c r="D1352" t="inlineStr">
        <is>
          <t>VÄSTERNORRLANDS LÄN</t>
        </is>
      </c>
      <c r="E1352" t="inlineStr">
        <is>
          <t>SUNDSVALL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61373-2025</t>
        </is>
      </c>
      <c r="B1353" s="1" t="n">
        <v>46001.44010416666</v>
      </c>
      <c r="C1353" s="1" t="n">
        <v>46165</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61386-2025</t>
        </is>
      </c>
      <c r="B1354" s="1" t="n">
        <v>46001.45239583333</v>
      </c>
      <c r="C1354" s="1" t="n">
        <v>46165</v>
      </c>
      <c r="D1354" t="inlineStr">
        <is>
          <t>VÄSTERNORRLANDS LÄN</t>
        </is>
      </c>
      <c r="E1354" t="inlineStr">
        <is>
          <t>SUNDSVALL</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16568-2023</t>
        </is>
      </c>
      <c r="B1355" s="1" t="n">
        <v>45029.94200231481</v>
      </c>
      <c r="C1355" s="1" t="n">
        <v>46165</v>
      </c>
      <c r="D1355" t="inlineStr">
        <is>
          <t>VÄSTERNORRLANDS LÄN</t>
        </is>
      </c>
      <c r="E1355" t="inlineStr">
        <is>
          <t>SUNDSVALL</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61381-2025</t>
        </is>
      </c>
      <c r="B1356" s="1" t="n">
        <v>46001.4452662037</v>
      </c>
      <c r="C1356" s="1" t="n">
        <v>46165</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32203-2023</t>
        </is>
      </c>
      <c r="B1357" s="1" t="n">
        <v>45119.92622685185</v>
      </c>
      <c r="C1357" s="1" t="n">
        <v>46165</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43190-2023</t>
        </is>
      </c>
      <c r="B1358" s="1" t="n">
        <v>45180</v>
      </c>
      <c r="C1358" s="1" t="n">
        <v>46165</v>
      </c>
      <c r="D1358" t="inlineStr">
        <is>
          <t>VÄSTERNORRLANDS LÄN</t>
        </is>
      </c>
      <c r="E1358" t="inlineStr">
        <is>
          <t>SUNDSVALL</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200-2023</t>
        </is>
      </c>
      <c r="B1359" s="1" t="n">
        <v>44928</v>
      </c>
      <c r="C1359" s="1" t="n">
        <v>46165</v>
      </c>
      <c r="D1359" t="inlineStr">
        <is>
          <t>VÄSTERNORRLANDS LÄN</t>
        </is>
      </c>
      <c r="E1359" t="inlineStr">
        <is>
          <t>SUNDSVALL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61376-2025</t>
        </is>
      </c>
      <c r="B1360" s="1" t="n">
        <v>46001.44199074074</v>
      </c>
      <c r="C1360" s="1" t="n">
        <v>46165</v>
      </c>
      <c r="D1360" t="inlineStr">
        <is>
          <t>VÄSTERNORRLANDS LÄN</t>
        </is>
      </c>
      <c r="E1360" t="inlineStr">
        <is>
          <t>SUNDSVALL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61379-2025</t>
        </is>
      </c>
      <c r="B1361" s="1" t="n">
        <v>46001.44366898148</v>
      </c>
      <c r="C1361" s="1" t="n">
        <v>46165</v>
      </c>
      <c r="D1361" t="inlineStr">
        <is>
          <t>VÄSTERNORRLANDS LÄN</t>
        </is>
      </c>
      <c r="E1361" t="inlineStr">
        <is>
          <t>SUNDSVALL</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61383-2025</t>
        </is>
      </c>
      <c r="B1362" s="1" t="n">
        <v>46001.44770833333</v>
      </c>
      <c r="C1362" s="1" t="n">
        <v>46165</v>
      </c>
      <c r="D1362" t="inlineStr">
        <is>
          <t>VÄSTERNORRLANDS LÄN</t>
        </is>
      </c>
      <c r="E1362" t="inlineStr">
        <is>
          <t>SUNDSVALL</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61508-2025</t>
        </is>
      </c>
      <c r="B1363" s="1" t="n">
        <v>46001.68148148148</v>
      </c>
      <c r="C1363" s="1" t="n">
        <v>46165</v>
      </c>
      <c r="D1363" t="inlineStr">
        <is>
          <t>VÄSTERNORRLANDS LÄN</t>
        </is>
      </c>
      <c r="E1363" t="inlineStr">
        <is>
          <t>SUNDSVALL</t>
        </is>
      </c>
      <c r="F1363" t="inlineStr">
        <is>
          <t>Naturvårdsverket</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51547-2022</t>
        </is>
      </c>
      <c r="B1364" s="1" t="n">
        <v>44869</v>
      </c>
      <c r="C1364" s="1" t="n">
        <v>46165</v>
      </c>
      <c r="D1364" t="inlineStr">
        <is>
          <t>VÄSTERNORRLANDS LÄN</t>
        </is>
      </c>
      <c r="E1364" t="inlineStr">
        <is>
          <t>SUNDSVALL</t>
        </is>
      </c>
      <c r="F1364" t="inlineStr">
        <is>
          <t>SCA</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61828-2025</t>
        </is>
      </c>
      <c r="B1365" s="1" t="n">
        <v>46003.34099537037</v>
      </c>
      <c r="C1365" s="1" t="n">
        <v>46165</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61784-2025</t>
        </is>
      </c>
      <c r="B1366" s="1" t="n">
        <v>46002</v>
      </c>
      <c r="C1366" s="1" t="n">
        <v>46165</v>
      </c>
      <c r="D1366" t="inlineStr">
        <is>
          <t>VÄSTERNORRLANDS LÄN</t>
        </is>
      </c>
      <c r="E1366" t="inlineStr">
        <is>
          <t>SUNDSVALL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61829-2025</t>
        </is>
      </c>
      <c r="B1367" s="1" t="n">
        <v>46003.34233796296</v>
      </c>
      <c r="C1367" s="1" t="n">
        <v>46165</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46542-2023</t>
        </is>
      </c>
      <c r="B1368" s="1" t="n">
        <v>45197.92253472222</v>
      </c>
      <c r="C1368" s="1" t="n">
        <v>46165</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61922-2025</t>
        </is>
      </c>
      <c r="B1369" s="1" t="n">
        <v>46003.51127314815</v>
      </c>
      <c r="C1369" s="1" t="n">
        <v>46165</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18245-2024</t>
        </is>
      </c>
      <c r="B1370" s="1" t="n">
        <v>45421</v>
      </c>
      <c r="C1370" s="1" t="n">
        <v>46165</v>
      </c>
      <c r="D1370" t="inlineStr">
        <is>
          <t>VÄSTERNORRLANDS LÄN</t>
        </is>
      </c>
      <c r="E1370" t="inlineStr">
        <is>
          <t>SUNDSVALL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57404-2023</t>
        </is>
      </c>
      <c r="B1371" s="1" t="n">
        <v>45245.96857638889</v>
      </c>
      <c r="C1371" s="1" t="n">
        <v>46165</v>
      </c>
      <c r="D1371" t="inlineStr">
        <is>
          <t>VÄSTERNORRLANDS LÄN</t>
        </is>
      </c>
      <c r="E1371" t="inlineStr">
        <is>
          <t>SUNDSVALL</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28917-2024</t>
        </is>
      </c>
      <c r="B1372" s="1" t="n">
        <v>45480</v>
      </c>
      <c r="C1372" s="1" t="n">
        <v>46165</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30066-2024</t>
        </is>
      </c>
      <c r="B1373" s="1" t="n">
        <v>45488.94865740741</v>
      </c>
      <c r="C1373" s="1" t="n">
        <v>46165</v>
      </c>
      <c r="D1373" t="inlineStr">
        <is>
          <t>VÄSTERNORRLANDS LÄN</t>
        </is>
      </c>
      <c r="E1373" t="inlineStr">
        <is>
          <t>SUNDSVALL</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36844-2023</t>
        </is>
      </c>
      <c r="B1374" s="1" t="n">
        <v>45154</v>
      </c>
      <c r="C1374" s="1" t="n">
        <v>46165</v>
      </c>
      <c r="D1374" t="inlineStr">
        <is>
          <t>VÄSTERNORRLANDS LÄN</t>
        </is>
      </c>
      <c r="E1374" t="inlineStr">
        <is>
          <t>SUNDSVALL</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61887-2025</t>
        </is>
      </c>
      <c r="B1375" s="1" t="n">
        <v>46003.43712962963</v>
      </c>
      <c r="C1375" s="1" t="n">
        <v>46165</v>
      </c>
      <c r="D1375" t="inlineStr">
        <is>
          <t>VÄSTERNORRLANDS LÄN</t>
        </is>
      </c>
      <c r="E1375" t="inlineStr">
        <is>
          <t>SUNDSVALL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23514-2023</t>
        </is>
      </c>
      <c r="B1376" s="1" t="n">
        <v>45076</v>
      </c>
      <c r="C1376" s="1" t="n">
        <v>46165</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24152-2023</t>
        </is>
      </c>
      <c r="B1377" s="1" t="n">
        <v>45076</v>
      </c>
      <c r="C1377" s="1" t="n">
        <v>46165</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61983-2025</t>
        </is>
      </c>
      <c r="B1378" s="1" t="n">
        <v>46003</v>
      </c>
      <c r="C1378" s="1" t="n">
        <v>46165</v>
      </c>
      <c r="D1378" t="inlineStr">
        <is>
          <t>VÄSTERNORRLANDS LÄN</t>
        </is>
      </c>
      <c r="E1378" t="inlineStr">
        <is>
          <t>SUNDSVALL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7463-2025</t>
        </is>
      </c>
      <c r="B1379" s="1" t="n">
        <v>45705.44458333333</v>
      </c>
      <c r="C1379" s="1" t="n">
        <v>46165</v>
      </c>
      <c r="D1379" t="inlineStr">
        <is>
          <t>VÄSTERNORRLANDS LÄN</t>
        </is>
      </c>
      <c r="E1379" t="inlineStr">
        <is>
          <t>SUNDSVALL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61969-2025</t>
        </is>
      </c>
      <c r="B1380" s="1" t="n">
        <v>46003.59466435185</v>
      </c>
      <c r="C1380" s="1" t="n">
        <v>46165</v>
      </c>
      <c r="D1380" t="inlineStr">
        <is>
          <t>VÄSTERNORRLANDS LÄN</t>
        </is>
      </c>
      <c r="E1380" t="inlineStr">
        <is>
          <t>SUNDSVALL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61780-2025</t>
        </is>
      </c>
      <c r="B1381" s="1" t="n">
        <v>46002</v>
      </c>
      <c r="C1381" s="1" t="n">
        <v>46165</v>
      </c>
      <c r="D1381" t="inlineStr">
        <is>
          <t>VÄSTERNORRLANDS LÄN</t>
        </is>
      </c>
      <c r="E1381" t="inlineStr">
        <is>
          <t>SUNDSVALL</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62421-2025</t>
        </is>
      </c>
      <c r="B1382" s="1" t="n">
        <v>46007.44850694444</v>
      </c>
      <c r="C1382" s="1" t="n">
        <v>46165</v>
      </c>
      <c r="D1382" t="inlineStr">
        <is>
          <t>VÄSTERNORRLANDS LÄN</t>
        </is>
      </c>
      <c r="E1382" t="inlineStr">
        <is>
          <t>SUNDSVALL</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49539-2022</t>
        </is>
      </c>
      <c r="B1383" s="1" t="n">
        <v>44861.95814814815</v>
      </c>
      <c r="C1383" s="1" t="n">
        <v>46165</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62529-2025</t>
        </is>
      </c>
      <c r="B1384" s="1" t="n">
        <v>46007.63611111111</v>
      </c>
      <c r="C1384" s="1" t="n">
        <v>46165</v>
      </c>
      <c r="D1384" t="inlineStr">
        <is>
          <t>VÄSTERNORRLANDS LÄN</t>
        </is>
      </c>
      <c r="E1384" t="inlineStr">
        <is>
          <t>SUNDSVALL</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32904-2023</t>
        </is>
      </c>
      <c r="B1385" s="1" t="n">
        <v>45124.95121527778</v>
      </c>
      <c r="C1385" s="1" t="n">
        <v>46165</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62282-2025</t>
        </is>
      </c>
      <c r="B1386" s="1" t="n">
        <v>46006.6366087963</v>
      </c>
      <c r="C1386" s="1" t="n">
        <v>46165</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62379-2025</t>
        </is>
      </c>
      <c r="B1387" s="1" t="n">
        <v>46007.36493055556</v>
      </c>
      <c r="C1387" s="1" t="n">
        <v>46165</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62174-2025</t>
        </is>
      </c>
      <c r="B1388" s="1" t="n">
        <v>46006.51144675926</v>
      </c>
      <c r="C1388" s="1" t="n">
        <v>46165</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62258-2025</t>
        </is>
      </c>
      <c r="B1389" s="1" t="n">
        <v>46006.61533564814</v>
      </c>
      <c r="C1389" s="1" t="n">
        <v>46165</v>
      </c>
      <c r="D1389" t="inlineStr">
        <is>
          <t>VÄSTERNORRLANDS LÄN</t>
        </is>
      </c>
      <c r="E1389" t="inlineStr">
        <is>
          <t>SUNDSVALL</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53403-2024</t>
        </is>
      </c>
      <c r="B1390" s="1" t="n">
        <v>45614.49353009259</v>
      </c>
      <c r="C1390" s="1" t="n">
        <v>46165</v>
      </c>
      <c r="D1390" t="inlineStr">
        <is>
          <t>VÄSTERNORRLANDS LÄN</t>
        </is>
      </c>
      <c r="E1390" t="inlineStr">
        <is>
          <t>SUNDSVALL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62251-2025</t>
        </is>
      </c>
      <c r="B1391" s="1" t="n">
        <v>46006.60891203704</v>
      </c>
      <c r="C1391" s="1" t="n">
        <v>46165</v>
      </c>
      <c r="D1391" t="inlineStr">
        <is>
          <t>VÄSTERNORRLANDS LÄN</t>
        </is>
      </c>
      <c r="E1391" t="inlineStr">
        <is>
          <t>SUNDSVALL</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62320-2025</t>
        </is>
      </c>
      <c r="B1392" s="1" t="n">
        <v>46006.69832175926</v>
      </c>
      <c r="C1392" s="1" t="n">
        <v>46165</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48778-2023</t>
        </is>
      </c>
      <c r="B1393" s="1" t="n">
        <v>45208</v>
      </c>
      <c r="C1393" s="1" t="n">
        <v>46165</v>
      </c>
      <c r="D1393" t="inlineStr">
        <is>
          <t>VÄSTERNORRLANDS LÄN</t>
        </is>
      </c>
      <c r="E1393" t="inlineStr">
        <is>
          <t>SUNDSVALL</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17767-2025</t>
        </is>
      </c>
      <c r="B1394" s="1" t="n">
        <v>45758</v>
      </c>
      <c r="C1394" s="1" t="n">
        <v>46165</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62059-2025</t>
        </is>
      </c>
      <c r="B1395" s="1" t="n">
        <v>46006.34295138889</v>
      </c>
      <c r="C1395" s="1" t="n">
        <v>46165</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62527-2025</t>
        </is>
      </c>
      <c r="B1396" s="1" t="n">
        <v>46007.63597222222</v>
      </c>
      <c r="C1396" s="1" t="n">
        <v>46165</v>
      </c>
      <c r="D1396" t="inlineStr">
        <is>
          <t>VÄSTERNORRLANDS LÄN</t>
        </is>
      </c>
      <c r="E1396" t="inlineStr">
        <is>
          <t>SUNDSVALL</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63978-2023</t>
        </is>
      </c>
      <c r="B1397" s="1" t="n">
        <v>45278</v>
      </c>
      <c r="C1397" s="1" t="n">
        <v>46165</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39276-2023</t>
        </is>
      </c>
      <c r="B1398" s="1" t="n">
        <v>45166.50868055555</v>
      </c>
      <c r="C1398" s="1" t="n">
        <v>46165</v>
      </c>
      <c r="D1398" t="inlineStr">
        <is>
          <t>VÄSTERNORRLANDS LÄN</t>
        </is>
      </c>
      <c r="E1398" t="inlineStr">
        <is>
          <t>SUNDSVALL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18563-2023</t>
        </is>
      </c>
      <c r="B1399" s="1" t="n">
        <v>45042</v>
      </c>
      <c r="C1399" s="1" t="n">
        <v>46165</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62255-2025</t>
        </is>
      </c>
      <c r="B1400" s="1" t="n">
        <v>46006.61098379629</v>
      </c>
      <c r="C1400" s="1" t="n">
        <v>46165</v>
      </c>
      <c r="D1400" t="inlineStr">
        <is>
          <t>VÄSTERNORRLANDS LÄN</t>
        </is>
      </c>
      <c r="E1400" t="inlineStr">
        <is>
          <t>SUNDSVALL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7939-2025</t>
        </is>
      </c>
      <c r="B1401" s="1" t="n">
        <v>45707.40217592593</v>
      </c>
      <c r="C1401" s="1" t="n">
        <v>46165</v>
      </c>
      <c r="D1401" t="inlineStr">
        <is>
          <t>VÄSTERNORRLANDS LÄN</t>
        </is>
      </c>
      <c r="E1401" t="inlineStr">
        <is>
          <t>SUNDSVALL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7960-2025</t>
        </is>
      </c>
      <c r="B1402" s="1" t="n">
        <v>45707.44020833333</v>
      </c>
      <c r="C1402" s="1" t="n">
        <v>46165</v>
      </c>
      <c r="D1402" t="inlineStr">
        <is>
          <t>VÄSTERNORRLANDS LÄN</t>
        </is>
      </c>
      <c r="E1402" t="inlineStr">
        <is>
          <t>SUNDSVALL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7962-2025</t>
        </is>
      </c>
      <c r="B1403" s="1" t="n">
        <v>45707.44831018519</v>
      </c>
      <c r="C1403" s="1" t="n">
        <v>46165</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7967-2025</t>
        </is>
      </c>
      <c r="B1404" s="1" t="n">
        <v>45707.45425925926</v>
      </c>
      <c r="C1404" s="1" t="n">
        <v>46165</v>
      </c>
      <c r="D1404" t="inlineStr">
        <is>
          <t>VÄSTERNORRLANDS LÄN</t>
        </is>
      </c>
      <c r="E1404" t="inlineStr">
        <is>
          <t>SUNDSVALL</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62657-2025</t>
        </is>
      </c>
      <c r="B1405" s="1" t="n">
        <v>46008</v>
      </c>
      <c r="C1405" s="1" t="n">
        <v>46165</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7245-2024</t>
        </is>
      </c>
      <c r="B1406" s="1" t="n">
        <v>45344</v>
      </c>
      <c r="C1406" s="1" t="n">
        <v>46165</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20134-2025</t>
        </is>
      </c>
      <c r="B1407" s="1" t="n">
        <v>45772.51105324074</v>
      </c>
      <c r="C1407" s="1" t="n">
        <v>46165</v>
      </c>
      <c r="D1407" t="inlineStr">
        <is>
          <t>VÄSTERNORRLANDS LÄN</t>
        </is>
      </c>
      <c r="E1407" t="inlineStr">
        <is>
          <t>SUNDSVALL</t>
        </is>
      </c>
      <c r="F1407" t="inlineStr">
        <is>
          <t>Naturvårdsverket</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62937-2025</t>
        </is>
      </c>
      <c r="B1408" s="1" t="n">
        <v>46009.41844907407</v>
      </c>
      <c r="C1408" s="1" t="n">
        <v>46165</v>
      </c>
      <c r="D1408" t="inlineStr">
        <is>
          <t>VÄSTERNORRLANDS LÄN</t>
        </is>
      </c>
      <c r="E1408" t="inlineStr">
        <is>
          <t>SUNDSVALL</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59928-2023</t>
        </is>
      </c>
      <c r="B1409" s="1" t="n">
        <v>45254</v>
      </c>
      <c r="C1409" s="1" t="n">
        <v>46165</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12743-2023</t>
        </is>
      </c>
      <c r="B1410" s="1" t="n">
        <v>45000.94775462963</v>
      </c>
      <c r="C1410" s="1" t="n">
        <v>46165</v>
      </c>
      <c r="D1410" t="inlineStr">
        <is>
          <t>VÄSTERNORRLANDS LÄN</t>
        </is>
      </c>
      <c r="E1410" t="inlineStr">
        <is>
          <t>SUNDSVALL</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62637-2025</t>
        </is>
      </c>
      <c r="B1411" s="1" t="n">
        <v>46008.36550925926</v>
      </c>
      <c r="C1411" s="1" t="n">
        <v>46165</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62972-2025</t>
        </is>
      </c>
      <c r="B1412" s="1" t="n">
        <v>46009.46590277777</v>
      </c>
      <c r="C1412" s="1" t="n">
        <v>46165</v>
      </c>
      <c r="D1412" t="inlineStr">
        <is>
          <t>VÄSTERNORRLANDS LÄN</t>
        </is>
      </c>
      <c r="E1412" t="inlineStr">
        <is>
          <t>SUNDSVALL</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21181-2023</t>
        </is>
      </c>
      <c r="B1413" s="1" t="n">
        <v>45062.45761574074</v>
      </c>
      <c r="C1413" s="1" t="n">
        <v>46165</v>
      </c>
      <c r="D1413" t="inlineStr">
        <is>
          <t>VÄSTERNORRLANDS LÄN</t>
        </is>
      </c>
      <c r="E1413" t="inlineStr">
        <is>
          <t>SUNDSVALL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63176-2025</t>
        </is>
      </c>
      <c r="B1414" s="1" t="n">
        <v>46010.41207175926</v>
      </c>
      <c r="C1414" s="1" t="n">
        <v>46165</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63328-2025</t>
        </is>
      </c>
      <c r="B1415" s="1" t="n">
        <v>46010.63916666667</v>
      </c>
      <c r="C1415" s="1" t="n">
        <v>46165</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63594-2025</t>
        </is>
      </c>
      <c r="B1416" s="1" t="n">
        <v>46013</v>
      </c>
      <c r="C1416" s="1" t="n">
        <v>46165</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63581-2025</t>
        </is>
      </c>
      <c r="B1417" s="1" t="n">
        <v>46013.74611111111</v>
      </c>
      <c r="C1417" s="1" t="n">
        <v>46165</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14804-2024</t>
        </is>
      </c>
      <c r="B1418" s="1" t="n">
        <v>45397</v>
      </c>
      <c r="C1418" s="1" t="n">
        <v>46165</v>
      </c>
      <c r="D1418" t="inlineStr">
        <is>
          <t>VÄSTERNORRLANDS LÄN</t>
        </is>
      </c>
      <c r="E1418" t="inlineStr">
        <is>
          <t>SUNDSVALL</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53949-2022</t>
        </is>
      </c>
      <c r="B1419" s="1" t="n">
        <v>44880</v>
      </c>
      <c r="C1419" s="1" t="n">
        <v>46165</v>
      </c>
      <c r="D1419" t="inlineStr">
        <is>
          <t>VÄSTERNORRLANDS LÄN</t>
        </is>
      </c>
      <c r="E1419" t="inlineStr">
        <is>
          <t>SUNDSVALL</t>
        </is>
      </c>
      <c r="F1419" t="inlineStr">
        <is>
          <t>SCA</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63316-2025</t>
        </is>
      </c>
      <c r="B1420" s="1" t="n">
        <v>46010.63252314815</v>
      </c>
      <c r="C1420" s="1" t="n">
        <v>46165</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63112-2025</t>
        </is>
      </c>
      <c r="B1421" s="1" t="n">
        <v>46009</v>
      </c>
      <c r="C1421" s="1" t="n">
        <v>46165</v>
      </c>
      <c r="D1421" t="inlineStr">
        <is>
          <t>VÄSTERNORRLANDS LÄN</t>
        </is>
      </c>
      <c r="E1421" t="inlineStr">
        <is>
          <t>SUNDSVALL</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63485-2025</t>
        </is>
      </c>
      <c r="B1422" s="1" t="n">
        <v>46013.46825231481</v>
      </c>
      <c r="C1422" s="1" t="n">
        <v>46165</v>
      </c>
      <c r="D1422" t="inlineStr">
        <is>
          <t>VÄSTERNORRLANDS LÄN</t>
        </is>
      </c>
      <c r="E1422" t="inlineStr">
        <is>
          <t>SUNDSVALL</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5296-2025</t>
        </is>
      </c>
      <c r="B1423" s="1" t="n">
        <v>45692.45554398148</v>
      </c>
      <c r="C1423" s="1" t="n">
        <v>46165</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42507-2023</t>
        </is>
      </c>
      <c r="B1424" s="1" t="n">
        <v>45180.95899305555</v>
      </c>
      <c r="C1424" s="1" t="n">
        <v>46165</v>
      </c>
      <c r="D1424" t="inlineStr">
        <is>
          <t>VÄSTERNORRLANDS LÄN</t>
        </is>
      </c>
      <c r="E1424" t="inlineStr">
        <is>
          <t>SUNDSVALL</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63580-2025</t>
        </is>
      </c>
      <c r="B1425" s="1" t="n">
        <v>46013.69832175926</v>
      </c>
      <c r="C1425" s="1" t="n">
        <v>46165</v>
      </c>
      <c r="D1425" t="inlineStr">
        <is>
          <t>VÄSTERNORRLANDS LÄN</t>
        </is>
      </c>
      <c r="E1425" t="inlineStr">
        <is>
          <t>SUNDSVALL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63491-2025</t>
        </is>
      </c>
      <c r="B1426" s="1" t="n">
        <v>46013.47121527778</v>
      </c>
      <c r="C1426" s="1" t="n">
        <v>46165</v>
      </c>
      <c r="D1426" t="inlineStr">
        <is>
          <t>VÄSTERNORRLANDS LÄN</t>
        </is>
      </c>
      <c r="E1426" t="inlineStr">
        <is>
          <t>SUNDSVALL</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63489-2025</t>
        </is>
      </c>
      <c r="B1427" s="1" t="n">
        <v>46013.469375</v>
      </c>
      <c r="C1427" s="1" t="n">
        <v>46165</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63385-2025</t>
        </is>
      </c>
      <c r="B1428" s="1" t="n">
        <v>46011.5733912037</v>
      </c>
      <c r="C1428" s="1" t="n">
        <v>46165</v>
      </c>
      <c r="D1428" t="inlineStr">
        <is>
          <t>VÄSTERNORRLANDS LÄN</t>
        </is>
      </c>
      <c r="E1428" t="inlineStr">
        <is>
          <t>SUNDSVALL</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63446-2025</t>
        </is>
      </c>
      <c r="B1429" s="1" t="n">
        <v>46013.40040509259</v>
      </c>
      <c r="C1429" s="1" t="n">
        <v>46165</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38357-2023</t>
        </is>
      </c>
      <c r="B1430" s="1" t="n">
        <v>45161</v>
      </c>
      <c r="C1430" s="1" t="n">
        <v>46165</v>
      </c>
      <c r="D1430" t="inlineStr">
        <is>
          <t>VÄSTERNORRLANDS LÄN</t>
        </is>
      </c>
      <c r="E1430" t="inlineStr">
        <is>
          <t>SUNDSVALL</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44578-2024</t>
        </is>
      </c>
      <c r="B1431" s="1" t="n">
        <v>45574.48479166667</v>
      </c>
      <c r="C1431" s="1" t="n">
        <v>46165</v>
      </c>
      <c r="D1431" t="inlineStr">
        <is>
          <t>VÄSTERNORRLANDS LÄN</t>
        </is>
      </c>
      <c r="E1431" t="inlineStr">
        <is>
          <t>SUNDSVALL</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17902-2024</t>
        </is>
      </c>
      <c r="B1432" s="1" t="n">
        <v>45419</v>
      </c>
      <c r="C1432" s="1" t="n">
        <v>46165</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58583-2024</t>
        </is>
      </c>
      <c r="B1433" s="1" t="n">
        <v>45635</v>
      </c>
      <c r="C1433" s="1" t="n">
        <v>46165</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63582-2025</t>
        </is>
      </c>
      <c r="B1434" s="1" t="n">
        <v>46013.75100694445</v>
      </c>
      <c r="C1434" s="1" t="n">
        <v>46165</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48411-2023</t>
        </is>
      </c>
      <c r="B1435" s="1" t="n">
        <v>45205.92331018519</v>
      </c>
      <c r="C1435" s="1" t="n">
        <v>46165</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15633-2025</t>
        </is>
      </c>
      <c r="B1436" s="1" t="n">
        <v>45748.37162037037</v>
      </c>
      <c r="C1436" s="1" t="n">
        <v>46165</v>
      </c>
      <c r="D1436" t="inlineStr">
        <is>
          <t>VÄSTERNORRLANDS LÄN</t>
        </is>
      </c>
      <c r="E1436" t="inlineStr">
        <is>
          <t>SUNDSVALL</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63681-2025</t>
        </is>
      </c>
      <c r="B1437" s="1" t="n">
        <v>46014.51079861111</v>
      </c>
      <c r="C1437" s="1" t="n">
        <v>46165</v>
      </c>
      <c r="D1437" t="inlineStr">
        <is>
          <t>VÄSTERNORRLANDS LÄN</t>
        </is>
      </c>
      <c r="E1437" t="inlineStr">
        <is>
          <t>SUNDSVALL</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63680-2025</t>
        </is>
      </c>
      <c r="B1438" s="1" t="n">
        <v>46014.51070601852</v>
      </c>
      <c r="C1438" s="1" t="n">
        <v>46165</v>
      </c>
      <c r="D1438" t="inlineStr">
        <is>
          <t>VÄSTERNORRLANDS LÄN</t>
        </is>
      </c>
      <c r="E1438" t="inlineStr">
        <is>
          <t>SUNDSVALL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63682-2025</t>
        </is>
      </c>
      <c r="B1439" s="1" t="n">
        <v>46014.51082175926</v>
      </c>
      <c r="C1439" s="1" t="n">
        <v>46165</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51754-2023</t>
        </is>
      </c>
      <c r="B1440" s="1" t="n">
        <v>45222</v>
      </c>
      <c r="C1440" s="1" t="n">
        <v>46165</v>
      </c>
      <c r="D1440" t="inlineStr">
        <is>
          <t>VÄSTERNORRLANDS LÄN</t>
        </is>
      </c>
      <c r="E1440" t="inlineStr">
        <is>
          <t>SUNDSVALL</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27690-2025</t>
        </is>
      </c>
      <c r="B1441" s="1" t="n">
        <v>45813.65657407408</v>
      </c>
      <c r="C1441" s="1" t="n">
        <v>46165</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44278-2025</t>
        </is>
      </c>
      <c r="B1442" s="1" t="n">
        <v>45916.34482638889</v>
      </c>
      <c r="C1442" s="1" t="n">
        <v>46165</v>
      </c>
      <c r="D1442" t="inlineStr">
        <is>
          <t>VÄSTERNORRLANDS LÄN</t>
        </is>
      </c>
      <c r="E1442" t="inlineStr">
        <is>
          <t>SUNDSVALL</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52035-2024</t>
        </is>
      </c>
      <c r="B1443" s="1" t="n">
        <v>45608.30585648148</v>
      </c>
      <c r="C1443" s="1" t="n">
        <v>46165</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152-2026</t>
        </is>
      </c>
      <c r="B1444" s="1" t="n">
        <v>46021</v>
      </c>
      <c r="C1444" s="1" t="n">
        <v>46165</v>
      </c>
      <c r="D1444" t="inlineStr">
        <is>
          <t>VÄSTERNORRLANDS LÄN</t>
        </is>
      </c>
      <c r="E1444" t="inlineStr">
        <is>
          <t>SUNDSVALL</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9102-2025</t>
        </is>
      </c>
      <c r="B1445" s="1" t="n">
        <v>45713.6914699074</v>
      </c>
      <c r="C1445" s="1" t="n">
        <v>46165</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41658-2025</t>
        </is>
      </c>
      <c r="B1446" s="1" t="n">
        <v>45902.34451388889</v>
      </c>
      <c r="C1446" s="1" t="n">
        <v>46165</v>
      </c>
      <c r="D1446" t="inlineStr">
        <is>
          <t>VÄSTERNORRLANDS LÄN</t>
        </is>
      </c>
      <c r="E1446" t="inlineStr">
        <is>
          <t>SUNDSVALL</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55011-2025</t>
        </is>
      </c>
      <c r="B1447" s="1" t="n">
        <v>45967.61542824074</v>
      </c>
      <c r="C1447" s="1" t="n">
        <v>46165</v>
      </c>
      <c r="D1447" t="inlineStr">
        <is>
          <t>VÄSTERNORRLANDS LÄN</t>
        </is>
      </c>
      <c r="E1447" t="inlineStr">
        <is>
          <t>SUNDSVALL</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18582-2024</t>
        </is>
      </c>
      <c r="B1448" s="1" t="n">
        <v>45425</v>
      </c>
      <c r="C1448" s="1" t="n">
        <v>46165</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57163-2024</t>
        </is>
      </c>
      <c r="B1449" s="1" t="n">
        <v>45629.41179398148</v>
      </c>
      <c r="C1449" s="1" t="n">
        <v>46165</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33433-2025</t>
        </is>
      </c>
      <c r="B1450" s="1" t="n">
        <v>45841.4485300926</v>
      </c>
      <c r="C1450" s="1" t="n">
        <v>46165</v>
      </c>
      <c r="D1450" t="inlineStr">
        <is>
          <t>VÄSTERNORRLANDS LÄN</t>
        </is>
      </c>
      <c r="E1450" t="inlineStr">
        <is>
          <t>SUNDSVALL</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41660-2025</t>
        </is>
      </c>
      <c r="B1451" s="1" t="n">
        <v>45902.34475694445</v>
      </c>
      <c r="C1451" s="1" t="n">
        <v>46165</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13937-2024</t>
        </is>
      </c>
      <c r="B1452" s="1" t="n">
        <v>45391</v>
      </c>
      <c r="C1452" s="1" t="n">
        <v>46165</v>
      </c>
      <c r="D1452" t="inlineStr">
        <is>
          <t>VÄSTERNORRLANDS LÄN</t>
        </is>
      </c>
      <c r="E1452" t="inlineStr">
        <is>
          <t>SUNDSVALL</t>
        </is>
      </c>
      <c r="F1452" t="inlineStr">
        <is>
          <t>SCA</t>
        </is>
      </c>
      <c r="G1452" t="n">
        <v>13.5</v>
      </c>
      <c r="H1452" t="n">
        <v>0</v>
      </c>
      <c r="I1452" t="n">
        <v>0</v>
      </c>
      <c r="J1452" t="n">
        <v>0</v>
      </c>
      <c r="K1452" t="n">
        <v>0</v>
      </c>
      <c r="L1452" t="n">
        <v>0</v>
      </c>
      <c r="M1452" t="n">
        <v>0</v>
      </c>
      <c r="N1452" t="n">
        <v>0</v>
      </c>
      <c r="O1452" t="n">
        <v>0</v>
      </c>
      <c r="P1452" t="n">
        <v>0</v>
      </c>
      <c r="Q1452" t="n">
        <v>0</v>
      </c>
      <c r="R1452" s="2" t="inlineStr"/>
    </row>
    <row r="1453" ht="15" customHeight="1">
      <c r="A1453" t="inlineStr">
        <is>
          <t>A 3188-2025</t>
        </is>
      </c>
      <c r="B1453" s="1" t="n">
        <v>45679.40740740741</v>
      </c>
      <c r="C1453" s="1" t="n">
        <v>46165</v>
      </c>
      <c r="D1453" t="inlineStr">
        <is>
          <t>VÄSTERNORRLANDS LÄN</t>
        </is>
      </c>
      <c r="E1453" t="inlineStr">
        <is>
          <t>SUNDSVALL</t>
        </is>
      </c>
      <c r="F1453" t="inlineStr">
        <is>
          <t>SCA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3215-2025</t>
        </is>
      </c>
      <c r="B1454" s="1" t="n">
        <v>45679</v>
      </c>
      <c r="C1454" s="1" t="n">
        <v>46165</v>
      </c>
      <c r="D1454" t="inlineStr">
        <is>
          <t>VÄSTERNORRLANDS LÄN</t>
        </is>
      </c>
      <c r="E1454" t="inlineStr">
        <is>
          <t>SUNDSVALL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64046-2025</t>
        </is>
      </c>
      <c r="B1455" s="1" t="n">
        <v>46021.57615740741</v>
      </c>
      <c r="C1455" s="1" t="n">
        <v>46165</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30213-2025</t>
        </is>
      </c>
      <c r="B1456" s="1" t="n">
        <v>45827</v>
      </c>
      <c r="C1456" s="1" t="n">
        <v>46165</v>
      </c>
      <c r="D1456" t="inlineStr">
        <is>
          <t>VÄSTERNORRLANDS LÄN</t>
        </is>
      </c>
      <c r="E1456" t="inlineStr">
        <is>
          <t>SUNDSVALL</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44283-2025</t>
        </is>
      </c>
      <c r="B1457" s="1" t="n">
        <v>45916.34541666666</v>
      </c>
      <c r="C1457" s="1" t="n">
        <v>46165</v>
      </c>
      <c r="D1457" t="inlineStr">
        <is>
          <t>VÄSTERNORRLANDS LÄN</t>
        </is>
      </c>
      <c r="E1457" t="inlineStr">
        <is>
          <t>SUNDSVALL</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40769-2025</t>
        </is>
      </c>
      <c r="B1458" s="1" t="n">
        <v>45897.40708333333</v>
      </c>
      <c r="C1458" s="1" t="n">
        <v>46165</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57185-2025</t>
        </is>
      </c>
      <c r="B1459" s="1" t="n">
        <v>45979.57387731481</v>
      </c>
      <c r="C1459" s="1" t="n">
        <v>46165</v>
      </c>
      <c r="D1459" t="inlineStr">
        <is>
          <t>VÄSTERNORRLANDS LÄN</t>
        </is>
      </c>
      <c r="E1459" t="inlineStr">
        <is>
          <t>SUNDSVALL</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63799-2025</t>
        </is>
      </c>
      <c r="B1460" s="1" t="n">
        <v>46019</v>
      </c>
      <c r="C1460" s="1" t="n">
        <v>46165</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43728-2025</t>
        </is>
      </c>
      <c r="B1461" s="1" t="n">
        <v>45912</v>
      </c>
      <c r="C1461" s="1" t="n">
        <v>46165</v>
      </c>
      <c r="D1461" t="inlineStr">
        <is>
          <t>VÄSTERNORRLANDS LÄN</t>
        </is>
      </c>
      <c r="E1461" t="inlineStr">
        <is>
          <t>SUNDSVALL</t>
        </is>
      </c>
      <c r="G1461" t="n">
        <v>24.2</v>
      </c>
      <c r="H1461" t="n">
        <v>0</v>
      </c>
      <c r="I1461" t="n">
        <v>0</v>
      </c>
      <c r="J1461" t="n">
        <v>0</v>
      </c>
      <c r="K1461" t="n">
        <v>0</v>
      </c>
      <c r="L1461" t="n">
        <v>0</v>
      </c>
      <c r="M1461" t="n">
        <v>0</v>
      </c>
      <c r="N1461" t="n">
        <v>0</v>
      </c>
      <c r="O1461" t="n">
        <v>0</v>
      </c>
      <c r="P1461" t="n">
        <v>0</v>
      </c>
      <c r="Q1461" t="n">
        <v>0</v>
      </c>
      <c r="R1461" s="2" t="inlineStr"/>
    </row>
    <row r="1462" ht="15" customHeight="1">
      <c r="A1462" t="inlineStr">
        <is>
          <t>A 15617-2025</t>
        </is>
      </c>
      <c r="B1462" s="1" t="n">
        <v>45748.35231481482</v>
      </c>
      <c r="C1462" s="1" t="n">
        <v>46165</v>
      </c>
      <c r="D1462" t="inlineStr">
        <is>
          <t>VÄSTERNORRLANDS LÄN</t>
        </is>
      </c>
      <c r="E1462" t="inlineStr">
        <is>
          <t>SUNDSVALL</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64140-2025</t>
        </is>
      </c>
      <c r="B1463" s="1" t="n">
        <v>46022.40658564815</v>
      </c>
      <c r="C1463" s="1" t="n">
        <v>46165</v>
      </c>
      <c r="D1463" t="inlineStr">
        <is>
          <t>VÄSTERNORRLANDS LÄN</t>
        </is>
      </c>
      <c r="E1463" t="inlineStr">
        <is>
          <t>SUNDSVALL</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8232-2022</t>
        </is>
      </c>
      <c r="B1464" s="1" t="n">
        <v>44609.94840277778</v>
      </c>
      <c r="C1464" s="1" t="n">
        <v>46165</v>
      </c>
      <c r="D1464" t="inlineStr">
        <is>
          <t>VÄSTERNORRLANDS LÄN</t>
        </is>
      </c>
      <c r="E1464" t="inlineStr">
        <is>
          <t>SUNDSVALL</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249-2026</t>
        </is>
      </c>
      <c r="B1465" s="1" t="n">
        <v>46027</v>
      </c>
      <c r="C1465" s="1" t="n">
        <v>46165</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272-2026</t>
        </is>
      </c>
      <c r="B1466" s="1" t="n">
        <v>46027.46248842592</v>
      </c>
      <c r="C1466" s="1" t="n">
        <v>46165</v>
      </c>
      <c r="D1466" t="inlineStr">
        <is>
          <t>VÄSTERNORRLANDS LÄN</t>
        </is>
      </c>
      <c r="E1466" t="inlineStr">
        <is>
          <t>SUNDSVALL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10890-2022</t>
        </is>
      </c>
      <c r="B1467" s="1" t="n">
        <v>44627</v>
      </c>
      <c r="C1467" s="1" t="n">
        <v>46165</v>
      </c>
      <c r="D1467" t="inlineStr">
        <is>
          <t>VÄSTERNORRLANDS LÄN</t>
        </is>
      </c>
      <c r="E1467" t="inlineStr">
        <is>
          <t>SUNDSVALL</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172-2026</t>
        </is>
      </c>
      <c r="B1468" s="1" t="n">
        <v>46025.37100694444</v>
      </c>
      <c r="C1468" s="1" t="n">
        <v>46165</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174-2026</t>
        </is>
      </c>
      <c r="B1469" s="1" t="n">
        <v>46025.37271990741</v>
      </c>
      <c r="C1469" s="1" t="n">
        <v>46165</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176-2026</t>
        </is>
      </c>
      <c r="B1470" s="1" t="n">
        <v>46025.37502314815</v>
      </c>
      <c r="C1470" s="1" t="n">
        <v>46165</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34706-2024</t>
        </is>
      </c>
      <c r="B1471" s="1" t="n">
        <v>45526</v>
      </c>
      <c r="C1471" s="1" t="n">
        <v>46165</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173-2026</t>
        </is>
      </c>
      <c r="B1472" s="1" t="n">
        <v>46025.37215277777</v>
      </c>
      <c r="C1472" s="1" t="n">
        <v>46165</v>
      </c>
      <c r="D1472" t="inlineStr">
        <is>
          <t>VÄSTERNORRLANDS LÄN</t>
        </is>
      </c>
      <c r="E1472" t="inlineStr">
        <is>
          <t>SUNDSVALL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309-2026</t>
        </is>
      </c>
      <c r="B1473" s="1" t="n">
        <v>46027</v>
      </c>
      <c r="C1473" s="1" t="n">
        <v>46165</v>
      </c>
      <c r="D1473" t="inlineStr">
        <is>
          <t>VÄSTERNORRLANDS LÄN</t>
        </is>
      </c>
      <c r="E1473" t="inlineStr">
        <is>
          <t>SUNDSVALL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177-2026</t>
        </is>
      </c>
      <c r="B1474" s="1" t="n">
        <v>46025.37813657407</v>
      </c>
      <c r="C1474" s="1" t="n">
        <v>46165</v>
      </c>
      <c r="D1474" t="inlineStr">
        <is>
          <t>VÄSTERNORRLANDS LÄN</t>
        </is>
      </c>
      <c r="E1474" t="inlineStr">
        <is>
          <t>SUNDSVALL</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254-2026</t>
        </is>
      </c>
      <c r="B1475" s="1" t="n">
        <v>46027.43121527778</v>
      </c>
      <c r="C1475" s="1" t="n">
        <v>46165</v>
      </c>
      <c r="D1475" t="inlineStr">
        <is>
          <t>VÄSTERNORRLANDS LÄN</t>
        </is>
      </c>
      <c r="E1475" t="inlineStr">
        <is>
          <t>SUNDSVALL</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138-2026</t>
        </is>
      </c>
      <c r="B1476" s="1" t="n">
        <v>46024</v>
      </c>
      <c r="C1476" s="1" t="n">
        <v>46165</v>
      </c>
      <c r="D1476" t="inlineStr">
        <is>
          <t>VÄSTERNORRLANDS LÄN</t>
        </is>
      </c>
      <c r="E1476" t="inlineStr">
        <is>
          <t>SUNDSVALL</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175-2026</t>
        </is>
      </c>
      <c r="B1477" s="1" t="n">
        <v>46025.37434027778</v>
      </c>
      <c r="C1477" s="1" t="n">
        <v>46165</v>
      </c>
      <c r="D1477" t="inlineStr">
        <is>
          <t>VÄSTERNORRLANDS LÄN</t>
        </is>
      </c>
      <c r="E1477" t="inlineStr">
        <is>
          <t>SUNDSVALL</t>
        </is>
      </c>
      <c r="G1477" t="n">
        <v>17.3</v>
      </c>
      <c r="H1477" t="n">
        <v>0</v>
      </c>
      <c r="I1477" t="n">
        <v>0</v>
      </c>
      <c r="J1477" t="n">
        <v>0</v>
      </c>
      <c r="K1477" t="n">
        <v>0</v>
      </c>
      <c r="L1477" t="n">
        <v>0</v>
      </c>
      <c r="M1477" t="n">
        <v>0</v>
      </c>
      <c r="N1477" t="n">
        <v>0</v>
      </c>
      <c r="O1477" t="n">
        <v>0</v>
      </c>
      <c r="P1477" t="n">
        <v>0</v>
      </c>
      <c r="Q1477" t="n">
        <v>0</v>
      </c>
      <c r="R1477" s="2" t="inlineStr"/>
    </row>
    <row r="1478" ht="15" customHeight="1">
      <c r="A1478" t="inlineStr">
        <is>
          <t>A 266-2026</t>
        </is>
      </c>
      <c r="B1478" s="1" t="n">
        <v>46027.45084490741</v>
      </c>
      <c r="C1478" s="1" t="n">
        <v>46165</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269-2026</t>
        </is>
      </c>
      <c r="B1479" s="1" t="n">
        <v>46027.45719907407</v>
      </c>
      <c r="C1479" s="1" t="n">
        <v>46165</v>
      </c>
      <c r="D1479" t="inlineStr">
        <is>
          <t>VÄSTERNORRLANDS LÄN</t>
        </is>
      </c>
      <c r="E1479" t="inlineStr">
        <is>
          <t>SUNDSVALL</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3546-2022</t>
        </is>
      </c>
      <c r="B1480" s="1" t="n">
        <v>44585</v>
      </c>
      <c r="C1480" s="1" t="n">
        <v>46165</v>
      </c>
      <c r="D1480" t="inlineStr">
        <is>
          <t>VÄSTERNORRLANDS LÄN</t>
        </is>
      </c>
      <c r="E1480" t="inlineStr">
        <is>
          <t>SUNDSVALL</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47172-2024</t>
        </is>
      </c>
      <c r="B1481" s="1" t="n">
        <v>45586.61501157407</v>
      </c>
      <c r="C1481" s="1" t="n">
        <v>46165</v>
      </c>
      <c r="D1481" t="inlineStr">
        <is>
          <t>VÄSTERNORRLANDS LÄN</t>
        </is>
      </c>
      <c r="E1481" t="inlineStr">
        <is>
          <t>SUNDSVALL</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726-2026</t>
        </is>
      </c>
      <c r="B1482" s="1" t="n">
        <v>46029</v>
      </c>
      <c r="C1482" s="1" t="n">
        <v>46165</v>
      </c>
      <c r="D1482" t="inlineStr">
        <is>
          <t>VÄSTERNORRLANDS LÄN</t>
        </is>
      </c>
      <c r="E1482" t="inlineStr">
        <is>
          <t>SUNDSVALL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416-2026</t>
        </is>
      </c>
      <c r="B1483" s="1" t="n">
        <v>46028</v>
      </c>
      <c r="C1483" s="1" t="n">
        <v>46165</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783-2026</t>
        </is>
      </c>
      <c r="B1484" s="1" t="n">
        <v>46029</v>
      </c>
      <c r="C1484" s="1" t="n">
        <v>46165</v>
      </c>
      <c r="D1484" t="inlineStr">
        <is>
          <t>VÄSTERNORRLANDS LÄN</t>
        </is>
      </c>
      <c r="E1484" t="inlineStr">
        <is>
          <t>SUNDSVALL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790-2026</t>
        </is>
      </c>
      <c r="B1485" s="1" t="n">
        <v>46029</v>
      </c>
      <c r="C1485" s="1" t="n">
        <v>46165</v>
      </c>
      <c r="D1485" t="inlineStr">
        <is>
          <t>VÄSTERNORRLANDS LÄN</t>
        </is>
      </c>
      <c r="E1485" t="inlineStr">
        <is>
          <t>SUNDSVALL</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45959-2021</t>
        </is>
      </c>
      <c r="B1486" s="1" t="n">
        <v>44441</v>
      </c>
      <c r="C1486" s="1" t="n">
        <v>46165</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29535-2021</t>
        </is>
      </c>
      <c r="B1487" s="1" t="n">
        <v>44361</v>
      </c>
      <c r="C1487" s="1" t="n">
        <v>46165</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702-2026</t>
        </is>
      </c>
      <c r="B1488" s="1" t="n">
        <v>46029.61589120371</v>
      </c>
      <c r="C1488" s="1" t="n">
        <v>46165</v>
      </c>
      <c r="D1488" t="inlineStr">
        <is>
          <t>VÄSTERNORRLANDS LÄN</t>
        </is>
      </c>
      <c r="E1488" t="inlineStr">
        <is>
          <t>SUNDSVALL</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476-2026</t>
        </is>
      </c>
      <c r="B1489" s="1" t="n">
        <v>46029.39678240741</v>
      </c>
      <c r="C1489" s="1" t="n">
        <v>46165</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44758-2024</t>
        </is>
      </c>
      <c r="B1490" s="1" t="n">
        <v>45574.61493055556</v>
      </c>
      <c r="C1490" s="1" t="n">
        <v>46165</v>
      </c>
      <c r="D1490" t="inlineStr">
        <is>
          <t>VÄSTERNORRLANDS LÄN</t>
        </is>
      </c>
      <c r="E1490" t="inlineStr">
        <is>
          <t>SUNDSVALL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62083-2025</t>
        </is>
      </c>
      <c r="B1491" s="1" t="n">
        <v>46006.37369212963</v>
      </c>
      <c r="C1491" s="1" t="n">
        <v>46165</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6882-2025</t>
        </is>
      </c>
      <c r="B1492" s="1" t="n">
        <v>45701.34545138889</v>
      </c>
      <c r="C1492" s="1" t="n">
        <v>46165</v>
      </c>
      <c r="D1492" t="inlineStr">
        <is>
          <t>VÄSTERNORRLANDS LÄN</t>
        </is>
      </c>
      <c r="E1492" t="inlineStr">
        <is>
          <t>SUNDSVALL</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8440-2025</t>
        </is>
      </c>
      <c r="B1493" s="1" t="n">
        <v>45709.44836805556</v>
      </c>
      <c r="C1493" s="1" t="n">
        <v>46165</v>
      </c>
      <c r="D1493" t="inlineStr">
        <is>
          <t>VÄSTERNORRLANDS LÄN</t>
        </is>
      </c>
      <c r="E1493" t="inlineStr">
        <is>
          <t>SUNDSVALL</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999-2026</t>
        </is>
      </c>
      <c r="B1494" s="1" t="n">
        <v>46030.59460648148</v>
      </c>
      <c r="C1494" s="1" t="n">
        <v>46165</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1035-2026</t>
        </is>
      </c>
      <c r="B1495" s="1" t="n">
        <v>46030.61703703704</v>
      </c>
      <c r="C1495" s="1" t="n">
        <v>46165</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46497-2023</t>
        </is>
      </c>
      <c r="B1496" s="1" t="n">
        <v>45197.65950231482</v>
      </c>
      <c r="C1496" s="1" t="n">
        <v>46165</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984-2026</t>
        </is>
      </c>
      <c r="B1497" s="1" t="n">
        <v>46030</v>
      </c>
      <c r="C1497" s="1" t="n">
        <v>46165</v>
      </c>
      <c r="D1497" t="inlineStr">
        <is>
          <t>VÄSTERNORRLANDS LÄN</t>
        </is>
      </c>
      <c r="E1497" t="inlineStr">
        <is>
          <t>SUNDSVALL</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1009-2026</t>
        </is>
      </c>
      <c r="B1498" s="1" t="n">
        <v>46030.60008101852</v>
      </c>
      <c r="C1498" s="1" t="n">
        <v>46165</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63275-2025</t>
        </is>
      </c>
      <c r="B1499" s="1" t="n">
        <v>46010.57359953703</v>
      </c>
      <c r="C1499" s="1" t="n">
        <v>46165</v>
      </c>
      <c r="D1499" t="inlineStr">
        <is>
          <t>VÄSTERNORRLANDS LÄN</t>
        </is>
      </c>
      <c r="E1499" t="inlineStr">
        <is>
          <t>SUNDSVALL</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58453-2023</t>
        </is>
      </c>
      <c r="B1500" s="1" t="n">
        <v>45250.93866898148</v>
      </c>
      <c r="C1500" s="1" t="n">
        <v>46165</v>
      </c>
      <c r="D1500" t="inlineStr">
        <is>
          <t>VÄSTERNORRLANDS LÄN</t>
        </is>
      </c>
      <c r="E1500" t="inlineStr">
        <is>
          <t>SUNDSVALL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1274-2026</t>
        </is>
      </c>
      <c r="B1501" s="1" t="n">
        <v>46031.47092592593</v>
      </c>
      <c r="C1501" s="1" t="n">
        <v>46165</v>
      </c>
      <c r="D1501" t="inlineStr">
        <is>
          <t>VÄSTERNORRLANDS LÄN</t>
        </is>
      </c>
      <c r="E1501" t="inlineStr">
        <is>
          <t>SUNDSVALL</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847-2026</t>
        </is>
      </c>
      <c r="B1502" s="1" t="n">
        <v>46030.38679398148</v>
      </c>
      <c r="C1502" s="1" t="n">
        <v>46165</v>
      </c>
      <c r="D1502" t="inlineStr">
        <is>
          <t>VÄSTERNORRLANDS LÄN</t>
        </is>
      </c>
      <c r="E1502" t="inlineStr">
        <is>
          <t>SUNDSVALL</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112-2025</t>
        </is>
      </c>
      <c r="B1503" s="1" t="n">
        <v>45659</v>
      </c>
      <c r="C1503" s="1" t="n">
        <v>46165</v>
      </c>
      <c r="D1503" t="inlineStr">
        <is>
          <t>VÄSTERNORRLANDS LÄN</t>
        </is>
      </c>
      <c r="E1503" t="inlineStr">
        <is>
          <t>SUNDSVALL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39037-2024</t>
        </is>
      </c>
      <c r="B1504" s="1" t="n">
        <v>45548.47015046296</v>
      </c>
      <c r="C1504" s="1" t="n">
        <v>46165</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1294-2026</t>
        </is>
      </c>
      <c r="B1505" s="1" t="n">
        <v>46031.51074074074</v>
      </c>
      <c r="C1505" s="1" t="n">
        <v>46165</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1055-2026</t>
        </is>
      </c>
      <c r="B1506" s="1" t="n">
        <v>46030.63422453704</v>
      </c>
      <c r="C1506" s="1" t="n">
        <v>46165</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1341-2026</t>
        </is>
      </c>
      <c r="B1507" s="1" t="n">
        <v>46031.57703703704</v>
      </c>
      <c r="C1507" s="1" t="n">
        <v>46165</v>
      </c>
      <c r="D1507" t="inlineStr">
        <is>
          <t>VÄSTERNORRLANDS LÄN</t>
        </is>
      </c>
      <c r="E1507" t="inlineStr">
        <is>
          <t>SUNDSVALL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21182-2022</t>
        </is>
      </c>
      <c r="B1508" s="1" t="n">
        <v>44704</v>
      </c>
      <c r="C1508" s="1" t="n">
        <v>46165</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1049-2026</t>
        </is>
      </c>
      <c r="B1509" s="1" t="n">
        <v>46030</v>
      </c>
      <c r="C1509" s="1" t="n">
        <v>46165</v>
      </c>
      <c r="D1509" t="inlineStr">
        <is>
          <t>VÄSTERNORRLANDS LÄN</t>
        </is>
      </c>
      <c r="E1509" t="inlineStr">
        <is>
          <t>SUNDSVALL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1008-2026</t>
        </is>
      </c>
      <c r="B1510" s="1" t="n">
        <v>46030.59880787037</v>
      </c>
      <c r="C1510" s="1" t="n">
        <v>46165</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1648-2026</t>
        </is>
      </c>
      <c r="B1511" s="1" t="n">
        <v>46034.52064814815</v>
      </c>
      <c r="C1511" s="1" t="n">
        <v>46165</v>
      </c>
      <c r="D1511" t="inlineStr">
        <is>
          <t>VÄSTERNORRLANDS LÄN</t>
        </is>
      </c>
      <c r="E1511" t="inlineStr">
        <is>
          <t>SUNDSVALL</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1510-2026</t>
        </is>
      </c>
      <c r="B1512" s="1" t="n">
        <v>46034.34427083333</v>
      </c>
      <c r="C1512" s="1" t="n">
        <v>46165</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2277-2026</t>
        </is>
      </c>
      <c r="B1513" s="1" t="n">
        <v>46034</v>
      </c>
      <c r="C1513" s="1" t="n">
        <v>46165</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2283-2026</t>
        </is>
      </c>
      <c r="B1514" s="1" t="n">
        <v>46034</v>
      </c>
      <c r="C1514" s="1" t="n">
        <v>46165</v>
      </c>
      <c r="D1514" t="inlineStr">
        <is>
          <t>VÄSTERNORRLANDS LÄN</t>
        </is>
      </c>
      <c r="E1514" t="inlineStr">
        <is>
          <t>SUNDSVALL</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2613-2026</t>
        </is>
      </c>
      <c r="B1515" s="1" t="n">
        <v>46035</v>
      </c>
      <c r="C1515" s="1" t="n">
        <v>46165</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46165</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7090-2025</t>
        </is>
      </c>
      <c r="B1517" s="1" t="n">
        <v>45701.75070601852</v>
      </c>
      <c r="C1517" s="1" t="n">
        <v>46165</v>
      </c>
      <c r="D1517" t="inlineStr">
        <is>
          <t>VÄSTERNORRLANDS LÄN</t>
        </is>
      </c>
      <c r="E1517" t="inlineStr">
        <is>
          <t>SUNDSVALL</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21010-2023</t>
        </is>
      </c>
      <c r="B1518" s="1" t="n">
        <v>45061</v>
      </c>
      <c r="C1518" s="1" t="n">
        <v>46165</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18467-2025</t>
        </is>
      </c>
      <c r="B1519" s="1" t="n">
        <v>45762.70768518518</v>
      </c>
      <c r="C1519" s="1" t="n">
        <v>46165</v>
      </c>
      <c r="D1519" t="inlineStr">
        <is>
          <t>VÄSTERNORRLANDS LÄN</t>
        </is>
      </c>
      <c r="E1519" t="inlineStr">
        <is>
          <t>SUNDSVALL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1815-2026</t>
        </is>
      </c>
      <c r="B1520" s="1" t="n">
        <v>46035.34446759259</v>
      </c>
      <c r="C1520" s="1" t="n">
        <v>46165</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2576-2026</t>
        </is>
      </c>
      <c r="B1521" s="1" t="n">
        <v>46037.51560185185</v>
      </c>
      <c r="C1521" s="1" t="n">
        <v>46165</v>
      </c>
      <c r="D1521" t="inlineStr">
        <is>
          <t>VÄSTERNORRLANDS LÄN</t>
        </is>
      </c>
      <c r="E1521" t="inlineStr">
        <is>
          <t>SUNDSVALL</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2586-2026</t>
        </is>
      </c>
      <c r="B1522" s="1" t="n">
        <v>46037.54326388889</v>
      </c>
      <c r="C1522" s="1" t="n">
        <v>46165</v>
      </c>
      <c r="D1522" t="inlineStr">
        <is>
          <t>VÄSTERNORRLANDS LÄN</t>
        </is>
      </c>
      <c r="E1522" t="inlineStr">
        <is>
          <t>SUNDSVALL</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2610-2026</t>
        </is>
      </c>
      <c r="B1523" s="1" t="n">
        <v>46037.58217592593</v>
      </c>
      <c r="C1523" s="1" t="n">
        <v>46165</v>
      </c>
      <c r="D1523" t="inlineStr">
        <is>
          <t>VÄSTERNORRLANDS LÄN</t>
        </is>
      </c>
      <c r="E1523" t="inlineStr">
        <is>
          <t>SUNDSVALL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2417-2026</t>
        </is>
      </c>
      <c r="B1524" s="1" t="n">
        <v>46036.76967592593</v>
      </c>
      <c r="C1524" s="1" t="n">
        <v>46165</v>
      </c>
      <c r="D1524" t="inlineStr">
        <is>
          <t>VÄSTERNORRLANDS LÄN</t>
        </is>
      </c>
      <c r="E1524" t="inlineStr">
        <is>
          <t>SUNDSVALL</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14464-2022</t>
        </is>
      </c>
      <c r="B1525" s="1" t="n">
        <v>44654</v>
      </c>
      <c r="C1525" s="1" t="n">
        <v>46165</v>
      </c>
      <c r="D1525" t="inlineStr">
        <is>
          <t>VÄSTERNORRLANDS LÄN</t>
        </is>
      </c>
      <c r="E1525" t="inlineStr">
        <is>
          <t>SUNDSVALL</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14466-2022</t>
        </is>
      </c>
      <c r="B1526" s="1" t="n">
        <v>44654</v>
      </c>
      <c r="C1526" s="1" t="n">
        <v>46165</v>
      </c>
      <c r="D1526" t="inlineStr">
        <is>
          <t>VÄSTERNORRLANDS LÄN</t>
        </is>
      </c>
      <c r="E1526" t="inlineStr">
        <is>
          <t>SUNDSVALL</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2534-2026</t>
        </is>
      </c>
      <c r="B1527" s="1" t="n">
        <v>46037.44837962963</v>
      </c>
      <c r="C1527" s="1" t="n">
        <v>46165</v>
      </c>
      <c r="D1527" t="inlineStr">
        <is>
          <t>VÄSTERNORRLANDS LÄN</t>
        </is>
      </c>
      <c r="E1527" t="inlineStr">
        <is>
          <t>SUNDSVALL</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2329-2026</t>
        </is>
      </c>
      <c r="B1528" s="1" t="n">
        <v>46036.60694444444</v>
      </c>
      <c r="C1528" s="1" t="n">
        <v>46165</v>
      </c>
      <c r="D1528" t="inlineStr">
        <is>
          <t>VÄSTERNORRLANDS LÄN</t>
        </is>
      </c>
      <c r="E1528" t="inlineStr">
        <is>
          <t>SUNDSVALL</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23284-2023</t>
        </is>
      </c>
      <c r="B1529" s="1" t="n">
        <v>45075</v>
      </c>
      <c r="C1529" s="1" t="n">
        <v>46165</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712-2023</t>
        </is>
      </c>
      <c r="B1530" s="1" t="n">
        <v>44930.92733796296</v>
      </c>
      <c r="C1530" s="1" t="n">
        <v>46165</v>
      </c>
      <c r="D1530" t="inlineStr">
        <is>
          <t>VÄSTERNORRLANDS LÄN</t>
        </is>
      </c>
      <c r="E1530" t="inlineStr">
        <is>
          <t>SUNDSVALL</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2475-2026</t>
        </is>
      </c>
      <c r="B1531" s="1" t="n">
        <v>46037.37815972222</v>
      </c>
      <c r="C1531" s="1" t="n">
        <v>46165</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2245-2026</t>
        </is>
      </c>
      <c r="B1532" s="1" t="n">
        <v>46036.54114583333</v>
      </c>
      <c r="C1532" s="1" t="n">
        <v>46165</v>
      </c>
      <c r="D1532" t="inlineStr">
        <is>
          <t>VÄSTERNORRLANDS LÄN</t>
        </is>
      </c>
      <c r="E1532" t="inlineStr">
        <is>
          <t>SUNDSVALL</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2548-2026</t>
        </is>
      </c>
      <c r="B1533" s="1" t="n">
        <v>46037.46987268519</v>
      </c>
      <c r="C1533" s="1" t="n">
        <v>46165</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2467-2026</t>
        </is>
      </c>
      <c r="B1534" s="1" t="n">
        <v>46037.36523148148</v>
      </c>
      <c r="C1534" s="1" t="n">
        <v>46165</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2183-2026</t>
        </is>
      </c>
      <c r="B1535" s="1" t="n">
        <v>46036.46157407408</v>
      </c>
      <c r="C1535" s="1" t="n">
        <v>46165</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24514-2022</t>
        </is>
      </c>
      <c r="B1536" s="1" t="n">
        <v>44726</v>
      </c>
      <c r="C1536" s="1" t="n">
        <v>46165</v>
      </c>
      <c r="D1536" t="inlineStr">
        <is>
          <t>VÄSTERNORRLANDS LÄN</t>
        </is>
      </c>
      <c r="E1536" t="inlineStr">
        <is>
          <t>SUNDSVALL</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39710-2024</t>
        </is>
      </c>
      <c r="B1537" s="1" t="n">
        <v>45552</v>
      </c>
      <c r="C1537" s="1" t="n">
        <v>46165</v>
      </c>
      <c r="D1537" t="inlineStr">
        <is>
          <t>VÄSTERNORRLANDS LÄN</t>
        </is>
      </c>
      <c r="E1537" t="inlineStr">
        <is>
          <t>SUNDSVALL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19713-2025</t>
        </is>
      </c>
      <c r="B1538" s="1" t="n">
        <v>45771.34842592593</v>
      </c>
      <c r="C1538" s="1" t="n">
        <v>46165</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19724-2025</t>
        </is>
      </c>
      <c r="B1539" s="1" t="n">
        <v>45771.3650462963</v>
      </c>
      <c r="C1539" s="1" t="n">
        <v>46165</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3287-2026</t>
        </is>
      </c>
      <c r="B1540" s="1" t="n">
        <v>46041</v>
      </c>
      <c r="C1540" s="1" t="n">
        <v>46165</v>
      </c>
      <c r="D1540" t="inlineStr">
        <is>
          <t>VÄSTERNORRLANDS LÄN</t>
        </is>
      </c>
      <c r="E1540" t="inlineStr">
        <is>
          <t>SUNDSVALL</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31436-2024</t>
        </is>
      </c>
      <c r="B1541" s="1" t="n">
        <v>45505</v>
      </c>
      <c r="C1541" s="1" t="n">
        <v>46165</v>
      </c>
      <c r="D1541" t="inlineStr">
        <is>
          <t>VÄSTERNORRLANDS LÄN</t>
        </is>
      </c>
      <c r="E1541" t="inlineStr">
        <is>
          <t>SUNDSVALL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2990-2026</t>
        </is>
      </c>
      <c r="B1542" s="1" t="n">
        <v>46038.63623842593</v>
      </c>
      <c r="C1542" s="1" t="n">
        <v>46165</v>
      </c>
      <c r="D1542" t="inlineStr">
        <is>
          <t>VÄSTERNORRLANDS LÄN</t>
        </is>
      </c>
      <c r="E1542" t="inlineStr">
        <is>
          <t>SUNDSVALL</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52758-2023</t>
        </is>
      </c>
      <c r="B1543" s="1" t="n">
        <v>45225</v>
      </c>
      <c r="C1543" s="1" t="n">
        <v>46165</v>
      </c>
      <c r="D1543" t="inlineStr">
        <is>
          <t>VÄSTERNORRLANDS LÄN</t>
        </is>
      </c>
      <c r="E1543" t="inlineStr">
        <is>
          <t>SUNDSVALL</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19036-2025</t>
        </is>
      </c>
      <c r="B1544" s="1" t="n">
        <v>45764.67304398148</v>
      </c>
      <c r="C1544" s="1" t="n">
        <v>46165</v>
      </c>
      <c r="D1544" t="inlineStr">
        <is>
          <t>VÄSTERNORRLANDS LÄN</t>
        </is>
      </c>
      <c r="E1544" t="inlineStr">
        <is>
          <t>SUNDSVALL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3877-2026</t>
        </is>
      </c>
      <c r="B1545" s="1" t="n">
        <v>46043</v>
      </c>
      <c r="C1545" s="1" t="n">
        <v>46165</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3822-2026</t>
        </is>
      </c>
      <c r="B1546" s="1" t="n">
        <v>46043</v>
      </c>
      <c r="C1546" s="1" t="n">
        <v>46165</v>
      </c>
      <c r="D1546" t="inlineStr">
        <is>
          <t>VÄSTERNORRLANDS LÄN</t>
        </is>
      </c>
      <c r="E1546" t="inlineStr">
        <is>
          <t>SUNDSVALL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49319-2023</t>
        </is>
      </c>
      <c r="B1547" s="1" t="n">
        <v>45210.94841435185</v>
      </c>
      <c r="C1547" s="1" t="n">
        <v>46165</v>
      </c>
      <c r="D1547" t="inlineStr">
        <is>
          <t>VÄSTERNORRLANDS LÄN</t>
        </is>
      </c>
      <c r="E1547" t="inlineStr">
        <is>
          <t>SUNDSVALL</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43138-2023</t>
        </is>
      </c>
      <c r="B1548" s="1" t="n">
        <v>45180</v>
      </c>
      <c r="C1548" s="1" t="n">
        <v>46165</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54053-2023</t>
        </is>
      </c>
      <c r="B1549" s="1" t="n">
        <v>45231.96831018518</v>
      </c>
      <c r="C1549" s="1" t="n">
        <v>46165</v>
      </c>
      <c r="D1549" t="inlineStr">
        <is>
          <t>VÄSTERNORRLANDS LÄN</t>
        </is>
      </c>
      <c r="E1549" t="inlineStr">
        <is>
          <t>SUNDSVALL</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3341-2026</t>
        </is>
      </c>
      <c r="B1550" s="1" t="n">
        <v>46041.85348379629</v>
      </c>
      <c r="C1550" s="1" t="n">
        <v>46165</v>
      </c>
      <c r="D1550" t="inlineStr">
        <is>
          <t>VÄSTERNORRLANDS LÄN</t>
        </is>
      </c>
      <c r="E1550" t="inlineStr">
        <is>
          <t>SUNDSVALL</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3629-2026</t>
        </is>
      </c>
      <c r="B1551" s="1" t="n">
        <v>46043</v>
      </c>
      <c r="C1551" s="1" t="n">
        <v>46165</v>
      </c>
      <c r="D1551" t="inlineStr">
        <is>
          <t>VÄSTERNORRLANDS LÄN</t>
        </is>
      </c>
      <c r="E1551" t="inlineStr">
        <is>
          <t>SUNDSVALL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3536-2026</t>
        </is>
      </c>
      <c r="B1552" s="1" t="n">
        <v>46042.62841435185</v>
      </c>
      <c r="C1552" s="1" t="n">
        <v>46165</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3744-2026</t>
        </is>
      </c>
      <c r="B1553" s="1" t="n">
        <v>46043</v>
      </c>
      <c r="C1553" s="1" t="n">
        <v>46165</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3376-2026</t>
        </is>
      </c>
      <c r="B1554" s="1" t="n">
        <v>46042</v>
      </c>
      <c r="C1554" s="1" t="n">
        <v>46165</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4800-2023</t>
        </is>
      </c>
      <c r="B1555" s="1" t="n">
        <v>44952</v>
      </c>
      <c r="C1555" s="1" t="n">
        <v>46165</v>
      </c>
      <c r="D1555" t="inlineStr">
        <is>
          <t>VÄSTERNORRLANDS LÄN</t>
        </is>
      </c>
      <c r="E1555" t="inlineStr">
        <is>
          <t>SUNDSVALL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3826-2026</t>
        </is>
      </c>
      <c r="B1556" s="1" t="n">
        <v>46043</v>
      </c>
      <c r="C1556" s="1" t="n">
        <v>46165</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4293-2026</t>
        </is>
      </c>
      <c r="B1557" s="1" t="n">
        <v>46045.41609953704</v>
      </c>
      <c r="C1557" s="1" t="n">
        <v>46165</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26408-2025</t>
        </is>
      </c>
      <c r="B1558" s="1" t="n">
        <v>45807.34425925926</v>
      </c>
      <c r="C1558" s="1" t="n">
        <v>46165</v>
      </c>
      <c r="D1558" t="inlineStr">
        <is>
          <t>VÄSTERNORRLANDS LÄN</t>
        </is>
      </c>
      <c r="E1558" t="inlineStr">
        <is>
          <t>SUNDSVALL</t>
        </is>
      </c>
      <c r="F1558" t="inlineStr">
        <is>
          <t>Naturvårdsverket</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30180-2024</t>
        </is>
      </c>
      <c r="B1559" s="1" t="n">
        <v>45489.92724537037</v>
      </c>
      <c r="C1559" s="1" t="n">
        <v>46165</v>
      </c>
      <c r="D1559" t="inlineStr">
        <is>
          <t>VÄSTERNORRLANDS LÄN</t>
        </is>
      </c>
      <c r="E1559" t="inlineStr">
        <is>
          <t>SUNDSVALL</t>
        </is>
      </c>
      <c r="F1559" t="inlineStr">
        <is>
          <t>Kyrkan</t>
        </is>
      </c>
      <c r="G1559" t="n">
        <v>52.1</v>
      </c>
      <c r="H1559" t="n">
        <v>0</v>
      </c>
      <c r="I1559" t="n">
        <v>0</v>
      </c>
      <c r="J1559" t="n">
        <v>0</v>
      </c>
      <c r="K1559" t="n">
        <v>0</v>
      </c>
      <c r="L1559" t="n">
        <v>0</v>
      </c>
      <c r="M1559" t="n">
        <v>0</v>
      </c>
      <c r="N1559" t="n">
        <v>0</v>
      </c>
      <c r="O1559" t="n">
        <v>0</v>
      </c>
      <c r="P1559" t="n">
        <v>0</v>
      </c>
      <c r="Q1559" t="n">
        <v>0</v>
      </c>
      <c r="R1559" s="2" t="inlineStr"/>
    </row>
    <row r="1560" ht="15" customHeight="1">
      <c r="A1560" t="inlineStr">
        <is>
          <t>A 4479-2026</t>
        </is>
      </c>
      <c r="B1560" s="1" t="n">
        <v>46045</v>
      </c>
      <c r="C1560" s="1" t="n">
        <v>46165</v>
      </c>
      <c r="D1560" t="inlineStr">
        <is>
          <t>VÄSTERNORRLANDS LÄN</t>
        </is>
      </c>
      <c r="E1560" t="inlineStr">
        <is>
          <t>SUNDSVALL</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27673-2024</t>
        </is>
      </c>
      <c r="B1561" s="1" t="n">
        <v>45474.9560300926</v>
      </c>
      <c r="C1561" s="1" t="n">
        <v>46165</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4297-2026</t>
        </is>
      </c>
      <c r="B1562" s="1" t="n">
        <v>46045.41980324074</v>
      </c>
      <c r="C1562" s="1" t="n">
        <v>46165</v>
      </c>
      <c r="D1562" t="inlineStr">
        <is>
          <t>VÄSTERNORRLANDS LÄN</t>
        </is>
      </c>
      <c r="E1562" t="inlineStr">
        <is>
          <t>SUNDSVALL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3990-2026</t>
        </is>
      </c>
      <c r="B1563" s="1" t="n">
        <v>46044</v>
      </c>
      <c r="C1563" s="1" t="n">
        <v>46165</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4467-2026</t>
        </is>
      </c>
      <c r="B1564" s="1" t="n">
        <v>46044</v>
      </c>
      <c r="C1564" s="1" t="n">
        <v>46165</v>
      </c>
      <c r="D1564" t="inlineStr">
        <is>
          <t>VÄSTERNORRLANDS LÄN</t>
        </is>
      </c>
      <c r="E1564" t="inlineStr">
        <is>
          <t>SUNDSVALL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2625-2026</t>
        </is>
      </c>
      <c r="B1565" s="1" t="n">
        <v>46037</v>
      </c>
      <c r="C1565" s="1" t="n">
        <v>46165</v>
      </c>
      <c r="D1565" t="inlineStr">
        <is>
          <t>VÄSTERNORRLANDS LÄN</t>
        </is>
      </c>
      <c r="E1565" t="inlineStr">
        <is>
          <t>SUNDSVALL</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4437-2026</t>
        </is>
      </c>
      <c r="B1566" s="1" t="n">
        <v>46045.63258101852</v>
      </c>
      <c r="C1566" s="1" t="n">
        <v>46165</v>
      </c>
      <c r="D1566" t="inlineStr">
        <is>
          <t>VÄSTERNORRLANDS LÄN</t>
        </is>
      </c>
      <c r="E1566" t="inlineStr">
        <is>
          <t>SUNDSVALL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4484-2026</t>
        </is>
      </c>
      <c r="B1567" s="1" t="n">
        <v>46045</v>
      </c>
      <c r="C1567" s="1" t="n">
        <v>46165</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14462-2022</t>
        </is>
      </c>
      <c r="B1568" s="1" t="n">
        <v>44654.62800925926</v>
      </c>
      <c r="C1568" s="1" t="n">
        <v>46165</v>
      </c>
      <c r="D1568" t="inlineStr">
        <is>
          <t>VÄSTERNORRLANDS LÄN</t>
        </is>
      </c>
      <c r="E1568" t="inlineStr">
        <is>
          <t>SUNDSVALL</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2330-2022</t>
        </is>
      </c>
      <c r="B1569" s="1" t="n">
        <v>44578</v>
      </c>
      <c r="C1569" s="1" t="n">
        <v>46165</v>
      </c>
      <c r="D1569" t="inlineStr">
        <is>
          <t>VÄSTERNORRLANDS LÄN</t>
        </is>
      </c>
      <c r="E1569" t="inlineStr">
        <is>
          <t>SUNDSVALL</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19011-2025</t>
        </is>
      </c>
      <c r="B1570" s="1" t="n">
        <v>45764.59440972222</v>
      </c>
      <c r="C1570" s="1" t="n">
        <v>46165</v>
      </c>
      <c r="D1570" t="inlineStr">
        <is>
          <t>VÄSTERNORRLANDS LÄN</t>
        </is>
      </c>
      <c r="E1570" t="inlineStr">
        <is>
          <t>SUNDSVALL</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46902-2023</t>
        </is>
      </c>
      <c r="B1571" s="1" t="n">
        <v>45201</v>
      </c>
      <c r="C1571" s="1" t="n">
        <v>46165</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21088-2024</t>
        </is>
      </c>
      <c r="B1572" s="1" t="n">
        <v>45439</v>
      </c>
      <c r="C1572" s="1" t="n">
        <v>46165</v>
      </c>
      <c r="D1572" t="inlineStr">
        <is>
          <t>VÄSTERNORRLANDS LÄN</t>
        </is>
      </c>
      <c r="E1572" t="inlineStr">
        <is>
          <t>SUNDSVALL</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4589-2026</t>
        </is>
      </c>
      <c r="B1573" s="1" t="n">
        <v>46048.34230324074</v>
      </c>
      <c r="C1573" s="1" t="n">
        <v>46165</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100-2024</t>
        </is>
      </c>
      <c r="B1574" s="1" t="n">
        <v>45293.92984953704</v>
      </c>
      <c r="C1574" s="1" t="n">
        <v>46165</v>
      </c>
      <c r="D1574" t="inlineStr">
        <is>
          <t>VÄSTERNORRLANDS LÄN</t>
        </is>
      </c>
      <c r="E1574" t="inlineStr">
        <is>
          <t>SUNDSVALL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44272-2023</t>
        </is>
      </c>
      <c r="B1575" s="1" t="n">
        <v>45188</v>
      </c>
      <c r="C1575" s="1" t="n">
        <v>46165</v>
      </c>
      <c r="D1575" t="inlineStr">
        <is>
          <t>VÄSTERNORRLANDS LÄN</t>
        </is>
      </c>
      <c r="E1575" t="inlineStr">
        <is>
          <t>SUNDSVALL</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730-2025</t>
        </is>
      </c>
      <c r="B1576" s="1" t="n">
        <v>45665</v>
      </c>
      <c r="C1576" s="1" t="n">
        <v>46165</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4596-2026</t>
        </is>
      </c>
      <c r="B1577" s="1" t="n">
        <v>46048.34674768519</v>
      </c>
      <c r="C1577" s="1" t="n">
        <v>46165</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35165-2022</t>
        </is>
      </c>
      <c r="B1578" s="1" t="n">
        <v>44797</v>
      </c>
      <c r="C1578" s="1" t="n">
        <v>46165</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16479-2025</t>
        </is>
      </c>
      <c r="B1579" s="1" t="n">
        <v>45751</v>
      </c>
      <c r="C1579" s="1" t="n">
        <v>46165</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4561-2026</t>
        </is>
      </c>
      <c r="B1580" s="1" t="n">
        <v>46047</v>
      </c>
      <c r="C1580" s="1" t="n">
        <v>46165</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4818-2026</t>
        </is>
      </c>
      <c r="B1581" s="1" t="n">
        <v>46048</v>
      </c>
      <c r="C1581" s="1" t="n">
        <v>46165</v>
      </c>
      <c r="D1581" t="inlineStr">
        <is>
          <t>VÄSTERNORRLANDS LÄN</t>
        </is>
      </c>
      <c r="E1581" t="inlineStr">
        <is>
          <t>SUNDSVALL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4746-2026</t>
        </is>
      </c>
      <c r="B1582" s="1" t="n">
        <v>46048.51106481482</v>
      </c>
      <c r="C1582" s="1" t="n">
        <v>46165</v>
      </c>
      <c r="D1582" t="inlineStr">
        <is>
          <t>VÄSTERNORRLANDS LÄN</t>
        </is>
      </c>
      <c r="E1582" t="inlineStr">
        <is>
          <t>SUNDSVALL</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4808-2026</t>
        </is>
      </c>
      <c r="B1583" s="1" t="n">
        <v>46048</v>
      </c>
      <c r="C1583" s="1" t="n">
        <v>46165</v>
      </c>
      <c r="D1583" t="inlineStr">
        <is>
          <t>VÄSTERNORRLANDS LÄN</t>
        </is>
      </c>
      <c r="E1583" t="inlineStr">
        <is>
          <t>SUNDSVALL</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39370-2024</t>
        </is>
      </c>
      <c r="B1584" s="1" t="n">
        <v>45551</v>
      </c>
      <c r="C1584" s="1" t="n">
        <v>46165</v>
      </c>
      <c r="D1584" t="inlineStr">
        <is>
          <t>VÄSTERNORRLANDS LÄN</t>
        </is>
      </c>
      <c r="E1584" t="inlineStr">
        <is>
          <t>SUNDSVALL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5334-2026</t>
        </is>
      </c>
      <c r="B1585" s="1" t="n">
        <v>46050.40685185185</v>
      </c>
      <c r="C1585" s="1" t="n">
        <v>46165</v>
      </c>
      <c r="D1585" t="inlineStr">
        <is>
          <t>VÄSTERNORRLANDS LÄN</t>
        </is>
      </c>
      <c r="E1585" t="inlineStr">
        <is>
          <t>SUNDSVALL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5602-2026</t>
        </is>
      </c>
      <c r="B1586" s="1" t="n">
        <v>46051.34418981482</v>
      </c>
      <c r="C1586" s="1" t="n">
        <v>46165</v>
      </c>
      <c r="D1586" t="inlineStr">
        <is>
          <t>VÄSTERNORRLANDS LÄN</t>
        </is>
      </c>
      <c r="E1586" t="inlineStr">
        <is>
          <t>SUNDSVALL</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51790-2023</t>
        </is>
      </c>
      <c r="B1587" s="1" t="n">
        <v>45222</v>
      </c>
      <c r="C1587" s="1" t="n">
        <v>46165</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51791-2023</t>
        </is>
      </c>
      <c r="B1588" s="1" t="n">
        <v>45222</v>
      </c>
      <c r="C1588" s="1" t="n">
        <v>46165</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5253-2026</t>
        </is>
      </c>
      <c r="B1589" s="1" t="n">
        <v>46050.23314814815</v>
      </c>
      <c r="C1589" s="1" t="n">
        <v>46165</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21396-2022</t>
        </is>
      </c>
      <c r="B1590" s="1" t="n">
        <v>44705</v>
      </c>
      <c r="C1590" s="1" t="n">
        <v>46165</v>
      </c>
      <c r="D1590" t="inlineStr">
        <is>
          <t>VÄSTERNORRLANDS LÄN</t>
        </is>
      </c>
      <c r="E1590" t="inlineStr">
        <is>
          <t>SUNDSVALL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5494-2026</t>
        </is>
      </c>
      <c r="B1591" s="1" t="n">
        <v>46050</v>
      </c>
      <c r="C1591" s="1" t="n">
        <v>46165</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5616-2026</t>
        </is>
      </c>
      <c r="B1592" s="1" t="n">
        <v>46051.37532407408</v>
      </c>
      <c r="C1592" s="1" t="n">
        <v>46165</v>
      </c>
      <c r="D1592" t="inlineStr">
        <is>
          <t>VÄSTERNORRLANDS LÄN</t>
        </is>
      </c>
      <c r="E1592" t="inlineStr">
        <is>
          <t>SUNDSVALL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5490-2026</t>
        </is>
      </c>
      <c r="B1593" s="1" t="n">
        <v>46050.61539351852</v>
      </c>
      <c r="C1593" s="1" t="n">
        <v>46165</v>
      </c>
      <c r="D1593" t="inlineStr">
        <is>
          <t>VÄSTERNORRLANDS LÄN</t>
        </is>
      </c>
      <c r="E1593" t="inlineStr">
        <is>
          <t>SUNDSVALL</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20105-2025</t>
        </is>
      </c>
      <c r="B1594" s="1" t="n">
        <v>45772.46976851852</v>
      </c>
      <c r="C1594" s="1" t="n">
        <v>46165</v>
      </c>
      <c r="D1594" t="inlineStr">
        <is>
          <t>VÄSTERNORRLANDS LÄN</t>
        </is>
      </c>
      <c r="E1594" t="inlineStr">
        <is>
          <t>SUNDSVALL</t>
        </is>
      </c>
      <c r="F1594" t="inlineStr">
        <is>
          <t>Naturvårdsverket</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44350-2022</t>
        </is>
      </c>
      <c r="B1595" s="1" t="n">
        <v>44839.68814814815</v>
      </c>
      <c r="C1595" s="1" t="n">
        <v>46165</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5532-2026</t>
        </is>
      </c>
      <c r="B1596" s="1" t="n">
        <v>46050.65679398148</v>
      </c>
      <c r="C1596" s="1" t="n">
        <v>46165</v>
      </c>
      <c r="D1596" t="inlineStr">
        <is>
          <t>VÄSTERNORRLANDS LÄN</t>
        </is>
      </c>
      <c r="E1596" t="inlineStr">
        <is>
          <t>SUNDSVALL</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54314-2024</t>
        </is>
      </c>
      <c r="B1597" s="1" t="n">
        <v>45617.34430555555</v>
      </c>
      <c r="C1597" s="1" t="n">
        <v>46165</v>
      </c>
      <c r="D1597" t="inlineStr">
        <is>
          <t>VÄSTERNORRLANDS LÄN</t>
        </is>
      </c>
      <c r="E1597" t="inlineStr">
        <is>
          <t>SUNDSVALL</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5416-2026</t>
        </is>
      </c>
      <c r="B1598" s="1" t="n">
        <v>46050.53677083334</v>
      </c>
      <c r="C1598" s="1" t="n">
        <v>46165</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5252-2026</t>
        </is>
      </c>
      <c r="B1599" s="1" t="n">
        <v>46050.23104166667</v>
      </c>
      <c r="C1599" s="1" t="n">
        <v>46165</v>
      </c>
      <c r="D1599" t="inlineStr">
        <is>
          <t>VÄSTERNORRLANDS LÄN</t>
        </is>
      </c>
      <c r="E1599" t="inlineStr">
        <is>
          <t>SUNDSVALL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5352-2026</t>
        </is>
      </c>
      <c r="B1600" s="1" t="n">
        <v>46050.43876157407</v>
      </c>
      <c r="C1600" s="1" t="n">
        <v>46165</v>
      </c>
      <c r="D1600" t="inlineStr">
        <is>
          <t>VÄSTERNORRLANDS LÄN</t>
        </is>
      </c>
      <c r="E1600" t="inlineStr">
        <is>
          <t>SUNDSVALL</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965-2025</t>
        </is>
      </c>
      <c r="B1601" s="1" t="n">
        <v>45666.38577546296</v>
      </c>
      <c r="C1601" s="1" t="n">
        <v>46165</v>
      </c>
      <c r="D1601" t="inlineStr">
        <is>
          <t>VÄSTERNORRLANDS LÄN</t>
        </is>
      </c>
      <c r="E1601" t="inlineStr">
        <is>
          <t>SUNDSVALL</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974-2025</t>
        </is>
      </c>
      <c r="B1602" s="1" t="n">
        <v>45666.40663194445</v>
      </c>
      <c r="C1602" s="1" t="n">
        <v>46165</v>
      </c>
      <c r="D1602" t="inlineStr">
        <is>
          <t>VÄSTERNORRLANDS LÄN</t>
        </is>
      </c>
      <c r="E1602" t="inlineStr">
        <is>
          <t>SUNDSVALL</t>
        </is>
      </c>
      <c r="F1602" t="inlineStr">
        <is>
          <t>SCA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5320-2026</t>
        </is>
      </c>
      <c r="B1603" s="1" t="n">
        <v>46050.38601851852</v>
      </c>
      <c r="C1603" s="1" t="n">
        <v>46165</v>
      </c>
      <c r="D1603" t="inlineStr">
        <is>
          <t>VÄSTERNORRLANDS LÄN</t>
        </is>
      </c>
      <c r="E1603" t="inlineStr">
        <is>
          <t>SUNDSVALL</t>
        </is>
      </c>
      <c r="F1603" t="inlineStr">
        <is>
          <t>SCA</t>
        </is>
      </c>
      <c r="G1603" t="n">
        <v>25.6</v>
      </c>
      <c r="H1603" t="n">
        <v>0</v>
      </c>
      <c r="I1603" t="n">
        <v>0</v>
      </c>
      <c r="J1603" t="n">
        <v>0</v>
      </c>
      <c r="K1603" t="n">
        <v>0</v>
      </c>
      <c r="L1603" t="n">
        <v>0</v>
      </c>
      <c r="M1603" t="n">
        <v>0</v>
      </c>
      <c r="N1603" t="n">
        <v>0</v>
      </c>
      <c r="O1603" t="n">
        <v>0</v>
      </c>
      <c r="P1603" t="n">
        <v>0</v>
      </c>
      <c r="Q1603" t="n">
        <v>0</v>
      </c>
      <c r="R1603" s="2" t="inlineStr"/>
    </row>
    <row r="1604" ht="15" customHeight="1">
      <c r="A1604" t="inlineStr">
        <is>
          <t>A 5843-2026</t>
        </is>
      </c>
      <c r="B1604" s="1" t="n">
        <v>46052</v>
      </c>
      <c r="C1604" s="1" t="n">
        <v>46165</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5845-2026</t>
        </is>
      </c>
      <c r="B1605" s="1" t="n">
        <v>46052.34831018518</v>
      </c>
      <c r="C1605" s="1" t="n">
        <v>46165</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41287-2024</t>
        </is>
      </c>
      <c r="B1606" s="1" t="n">
        <v>45559</v>
      </c>
      <c r="C1606" s="1" t="n">
        <v>46165</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60576-2023</t>
        </is>
      </c>
      <c r="B1607" s="1" t="n">
        <v>45259</v>
      </c>
      <c r="C1607" s="1" t="n">
        <v>46165</v>
      </c>
      <c r="D1607" t="inlineStr">
        <is>
          <t>VÄSTERNORRLANDS LÄN</t>
        </is>
      </c>
      <c r="E1607" t="inlineStr">
        <is>
          <t>SUNDSVALL</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36101-2024</t>
        </is>
      </c>
      <c r="B1608" s="1" t="n">
        <v>45533</v>
      </c>
      <c r="C1608" s="1" t="n">
        <v>46165</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5854-2026</t>
        </is>
      </c>
      <c r="B1609" s="1" t="n">
        <v>46052.3628587963</v>
      </c>
      <c r="C1609" s="1" t="n">
        <v>46165</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6289-2026</t>
        </is>
      </c>
      <c r="B1610" s="1" t="n">
        <v>46055.55256944444</v>
      </c>
      <c r="C1610" s="1" t="n">
        <v>46165</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59660-2023</t>
        </is>
      </c>
      <c r="B1611" s="1" t="n">
        <v>45254</v>
      </c>
      <c r="C1611" s="1" t="n">
        <v>46165</v>
      </c>
      <c r="D1611" t="inlineStr">
        <is>
          <t>VÄSTERNORRLANDS LÄN</t>
        </is>
      </c>
      <c r="E1611" t="inlineStr">
        <is>
          <t>SUNDSVALL</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59661-2023</t>
        </is>
      </c>
      <c r="B1612" s="1" t="n">
        <v>45254</v>
      </c>
      <c r="C1612" s="1" t="n">
        <v>46165</v>
      </c>
      <c r="D1612" t="inlineStr">
        <is>
          <t>VÄSTERNORRLANDS LÄN</t>
        </is>
      </c>
      <c r="E1612" t="inlineStr">
        <is>
          <t>SUNDSVALL</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6290-2026</t>
        </is>
      </c>
      <c r="B1613" s="1" t="n">
        <v>46055.55262731481</v>
      </c>
      <c r="C1613" s="1" t="n">
        <v>46165</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2785-2025</t>
        </is>
      </c>
      <c r="B1614" s="1" t="n">
        <v>45677</v>
      </c>
      <c r="C1614" s="1" t="n">
        <v>46165</v>
      </c>
      <c r="D1614" t="inlineStr">
        <is>
          <t>VÄSTERNORRLANDS LÄN</t>
        </is>
      </c>
      <c r="E1614" t="inlineStr">
        <is>
          <t>SUNDSVALL</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12494-2022</t>
        </is>
      </c>
      <c r="B1615" s="1" t="n">
        <v>44638.50601851852</v>
      </c>
      <c r="C1615" s="1" t="n">
        <v>46165</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46159-2024</t>
        </is>
      </c>
      <c r="B1616" s="1" t="n">
        <v>45581</v>
      </c>
      <c r="C1616" s="1" t="n">
        <v>46165</v>
      </c>
      <c r="D1616" t="inlineStr">
        <is>
          <t>VÄSTERNORRLANDS LÄN</t>
        </is>
      </c>
      <c r="E1616" t="inlineStr">
        <is>
          <t>SUNDSVALL</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5886-2026</t>
        </is>
      </c>
      <c r="B1617" s="1" t="n">
        <v>46052.41074074074</v>
      </c>
      <c r="C1617" s="1" t="n">
        <v>46165</v>
      </c>
      <c r="D1617" t="inlineStr">
        <is>
          <t>VÄSTERNORRLANDS LÄN</t>
        </is>
      </c>
      <c r="E1617" t="inlineStr">
        <is>
          <t>SUNDSVALL</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5891-2026</t>
        </is>
      </c>
      <c r="B1618" s="1" t="n">
        <v>46052.416875</v>
      </c>
      <c r="C1618" s="1" t="n">
        <v>46165</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46716-2022</t>
        </is>
      </c>
      <c r="B1619" s="1" t="n">
        <v>44851</v>
      </c>
      <c r="C1619" s="1" t="n">
        <v>46165</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6288-2026</t>
        </is>
      </c>
      <c r="B1620" s="1" t="n">
        <v>46055.5525</v>
      </c>
      <c r="C1620" s="1" t="n">
        <v>46165</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9336-2024</t>
        </is>
      </c>
      <c r="B1621" s="1" t="n">
        <v>45358</v>
      </c>
      <c r="C1621" s="1" t="n">
        <v>46165</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15520-2024</t>
        </is>
      </c>
      <c r="B1622" s="1" t="n">
        <v>45400</v>
      </c>
      <c r="C1622" s="1" t="n">
        <v>46165</v>
      </c>
      <c r="D1622" t="inlineStr">
        <is>
          <t>VÄSTERNORRLANDS LÄN</t>
        </is>
      </c>
      <c r="E1622" t="inlineStr">
        <is>
          <t>SUNDSVALL</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25350-2024</t>
        </is>
      </c>
      <c r="B1623" s="1" t="n">
        <v>45462</v>
      </c>
      <c r="C1623" s="1" t="n">
        <v>46165</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51110-2023</t>
        </is>
      </c>
      <c r="B1624" s="1" t="n">
        <v>45218</v>
      </c>
      <c r="C1624" s="1" t="n">
        <v>46165</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24298-2023</t>
        </is>
      </c>
      <c r="B1625" s="1" t="n">
        <v>45079</v>
      </c>
      <c r="C1625" s="1" t="n">
        <v>46165</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24360-2023</t>
        </is>
      </c>
      <c r="B1626" s="1" t="n">
        <v>45082</v>
      </c>
      <c r="C1626" s="1" t="n">
        <v>46165</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6650-2026</t>
        </is>
      </c>
      <c r="B1627" s="1" t="n">
        <v>46056.55253472222</v>
      </c>
      <c r="C1627" s="1" t="n">
        <v>46165</v>
      </c>
      <c r="D1627" t="inlineStr">
        <is>
          <t>VÄSTERNORRLANDS LÄN</t>
        </is>
      </c>
      <c r="E1627" t="inlineStr">
        <is>
          <t>SUNDSVALL</t>
        </is>
      </c>
      <c r="F1627" t="inlineStr">
        <is>
          <t>SCA</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4813-2025</t>
        </is>
      </c>
      <c r="B1628" s="1" t="n">
        <v>45688</v>
      </c>
      <c r="C1628" s="1" t="n">
        <v>46165</v>
      </c>
      <c r="D1628" t="inlineStr">
        <is>
          <t>VÄSTERNORRLANDS LÄN</t>
        </is>
      </c>
      <c r="E1628" t="inlineStr">
        <is>
          <t>SUNDSVALL</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12803-2024</t>
        </is>
      </c>
      <c r="B1629" s="1" t="n">
        <v>45384</v>
      </c>
      <c r="C1629" s="1" t="n">
        <v>46165</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6662-2026</t>
        </is>
      </c>
      <c r="B1630" s="1" t="n">
        <v>46056</v>
      </c>
      <c r="C1630" s="1" t="n">
        <v>46165</v>
      </c>
      <c r="D1630" t="inlineStr">
        <is>
          <t>VÄSTERNORRLANDS LÄN</t>
        </is>
      </c>
      <c r="E1630" t="inlineStr">
        <is>
          <t>SUNDSVALL</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6691-2026</t>
        </is>
      </c>
      <c r="B1631" s="1" t="n">
        <v>46056</v>
      </c>
      <c r="C1631" s="1" t="n">
        <v>46165</v>
      </c>
      <c r="D1631" t="inlineStr">
        <is>
          <t>VÄSTERNORRLANDS LÄN</t>
        </is>
      </c>
      <c r="E1631" t="inlineStr">
        <is>
          <t>SUNDSVALL</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6700-2026</t>
        </is>
      </c>
      <c r="B1632" s="1" t="n">
        <v>46056.64269675926</v>
      </c>
      <c r="C1632" s="1" t="n">
        <v>46165</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29926-2021</t>
        </is>
      </c>
      <c r="B1633" s="1" t="n">
        <v>44362.93724537037</v>
      </c>
      <c r="C1633" s="1" t="n">
        <v>46165</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6730-2026</t>
        </is>
      </c>
      <c r="B1634" s="1" t="n">
        <v>46056.68538194444</v>
      </c>
      <c r="C1634" s="1" t="n">
        <v>46165</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26468-2023</t>
        </is>
      </c>
      <c r="B1635" s="1" t="n">
        <v>45089</v>
      </c>
      <c r="C1635" s="1" t="n">
        <v>46165</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23423-2022</t>
        </is>
      </c>
      <c r="B1636" s="1" t="n">
        <v>44720</v>
      </c>
      <c r="C1636" s="1" t="n">
        <v>46165</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6818-2026</t>
        </is>
      </c>
      <c r="B1637" s="1" t="n">
        <v>46057.38607638889</v>
      </c>
      <c r="C1637" s="1" t="n">
        <v>46165</v>
      </c>
      <c r="D1637" t="inlineStr">
        <is>
          <t>VÄSTERNORRLANDS LÄN</t>
        </is>
      </c>
      <c r="E1637" t="inlineStr">
        <is>
          <t>SUNDSVALL</t>
        </is>
      </c>
      <c r="F1637" t="inlineStr">
        <is>
          <t>SCA</t>
        </is>
      </c>
      <c r="G1637" t="n">
        <v>19.2</v>
      </c>
      <c r="H1637" t="n">
        <v>0</v>
      </c>
      <c r="I1637" t="n">
        <v>0</v>
      </c>
      <c r="J1637" t="n">
        <v>0</v>
      </c>
      <c r="K1637" t="n">
        <v>0</v>
      </c>
      <c r="L1637" t="n">
        <v>0</v>
      </c>
      <c r="M1637" t="n">
        <v>0</v>
      </c>
      <c r="N1637" t="n">
        <v>0</v>
      </c>
      <c r="O1637" t="n">
        <v>0</v>
      </c>
      <c r="P1637" t="n">
        <v>0</v>
      </c>
      <c r="Q1637" t="n">
        <v>0</v>
      </c>
      <c r="R1637" s="2" t="inlineStr"/>
    </row>
    <row r="1638" ht="15" customHeight="1">
      <c r="A1638" t="inlineStr">
        <is>
          <t>A 6925-2026</t>
        </is>
      </c>
      <c r="B1638" s="1" t="n">
        <v>46056</v>
      </c>
      <c r="C1638" s="1" t="n">
        <v>46165</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42700-2021</t>
        </is>
      </c>
      <c r="B1639" s="1" t="n">
        <v>44428</v>
      </c>
      <c r="C1639" s="1" t="n">
        <v>46165</v>
      </c>
      <c r="D1639" t="inlineStr">
        <is>
          <t>VÄSTERNORRLANDS LÄN</t>
        </is>
      </c>
      <c r="E1639" t="inlineStr">
        <is>
          <t>SUNDSVALL</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6733-2026</t>
        </is>
      </c>
      <c r="B1640" s="1" t="n">
        <v>46056.6880787037</v>
      </c>
      <c r="C1640" s="1" t="n">
        <v>46165</v>
      </c>
      <c r="D1640" t="inlineStr">
        <is>
          <t>VÄSTERNORRLANDS LÄN</t>
        </is>
      </c>
      <c r="E1640" t="inlineStr">
        <is>
          <t>SUNDSVALL</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7030-2026</t>
        </is>
      </c>
      <c r="B1641" s="1" t="n">
        <v>46057.67849537037</v>
      </c>
      <c r="C1641" s="1" t="n">
        <v>46165</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7031-2026</t>
        </is>
      </c>
      <c r="B1642" s="1" t="n">
        <v>46057.67917824074</v>
      </c>
      <c r="C1642" s="1" t="n">
        <v>46165</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28449-2022</t>
        </is>
      </c>
      <c r="B1643" s="1" t="n">
        <v>44747.68142361111</v>
      </c>
      <c r="C1643" s="1" t="n">
        <v>46165</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7392-2026</t>
        </is>
      </c>
      <c r="B1644" s="1" t="n">
        <v>46057</v>
      </c>
      <c r="C1644" s="1" t="n">
        <v>46165</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7035-2026</t>
        </is>
      </c>
      <c r="B1645" s="1" t="n">
        <v>46057.68603009259</v>
      </c>
      <c r="C1645" s="1" t="n">
        <v>46165</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7109-2026</t>
        </is>
      </c>
      <c r="B1646" s="1" t="n">
        <v>46058</v>
      </c>
      <c r="C1646" s="1" t="n">
        <v>46165</v>
      </c>
      <c r="D1646" t="inlineStr">
        <is>
          <t>VÄSTERNORRLANDS LÄN</t>
        </is>
      </c>
      <c r="E1646" t="inlineStr">
        <is>
          <t>SUNDSVALL</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7162-2026</t>
        </is>
      </c>
      <c r="B1647" s="1" t="n">
        <v>46058.44864583333</v>
      </c>
      <c r="C1647" s="1" t="n">
        <v>46165</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7323-2026</t>
        </is>
      </c>
      <c r="B1648" s="1" t="n">
        <v>46058.67792824074</v>
      </c>
      <c r="C1648" s="1" t="n">
        <v>46165</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58773-2023</t>
        </is>
      </c>
      <c r="B1649" s="1" t="n">
        <v>45251.9671875</v>
      </c>
      <c r="C1649" s="1" t="n">
        <v>46165</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7471-2026</t>
        </is>
      </c>
      <c r="B1650" s="1" t="n">
        <v>46059.49028935185</v>
      </c>
      <c r="C1650" s="1" t="n">
        <v>46165</v>
      </c>
      <c r="D1650" t="inlineStr">
        <is>
          <t>VÄSTERNORRLANDS LÄN</t>
        </is>
      </c>
      <c r="E1650" t="inlineStr">
        <is>
          <t>SUNDSVALL</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7489-2026</t>
        </is>
      </c>
      <c r="B1651" s="1" t="n">
        <v>46058</v>
      </c>
      <c r="C1651" s="1" t="n">
        <v>46165</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7288-2026</t>
        </is>
      </c>
      <c r="B1652" s="1" t="n">
        <v>46058.63849537037</v>
      </c>
      <c r="C1652" s="1" t="n">
        <v>46165</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7090-2026</t>
        </is>
      </c>
      <c r="B1653" s="1" t="n">
        <v>46058</v>
      </c>
      <c r="C1653" s="1" t="n">
        <v>46165</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7278-2026</t>
        </is>
      </c>
      <c r="B1654" s="1" t="n">
        <v>46058.62868055556</v>
      </c>
      <c r="C1654" s="1" t="n">
        <v>46165</v>
      </c>
      <c r="D1654" t="inlineStr">
        <is>
          <t>VÄSTERNORRLANDS LÄN</t>
        </is>
      </c>
      <c r="E1654" t="inlineStr">
        <is>
          <t>SUNDSVALL</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7816-2026</t>
        </is>
      </c>
      <c r="B1655" s="1" t="n">
        <v>46059</v>
      </c>
      <c r="C1655" s="1" t="n">
        <v>46165</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7059-2026</t>
        </is>
      </c>
      <c r="B1656" s="1" t="n">
        <v>46057.89136574074</v>
      </c>
      <c r="C1656" s="1" t="n">
        <v>46165</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2620-2024</t>
        </is>
      </c>
      <c r="B1657" s="1" t="n">
        <v>45313.92673611111</v>
      </c>
      <c r="C1657" s="1" t="n">
        <v>46165</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38939-2024</t>
        </is>
      </c>
      <c r="B1658" s="1" t="n">
        <v>45548.34457175926</v>
      </c>
      <c r="C1658" s="1" t="n">
        <v>46165</v>
      </c>
      <c r="D1658" t="inlineStr">
        <is>
          <t>VÄSTERNORRLANDS LÄN</t>
        </is>
      </c>
      <c r="E1658" t="inlineStr">
        <is>
          <t>SUNDSVALL</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38942-2024</t>
        </is>
      </c>
      <c r="B1659" s="1" t="n">
        <v>45548.34482638889</v>
      </c>
      <c r="C1659" s="1" t="n">
        <v>46165</v>
      </c>
      <c r="D1659" t="inlineStr">
        <is>
          <t>VÄSTERNORRLANDS LÄN</t>
        </is>
      </c>
      <c r="E1659" t="inlineStr">
        <is>
          <t>SUNDSVALL</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2591-2025</t>
        </is>
      </c>
      <c r="B1660" s="1" t="n">
        <v>45674.69960648148</v>
      </c>
      <c r="C1660" s="1" t="n">
        <v>46165</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2595-2025</t>
        </is>
      </c>
      <c r="B1661" s="1" t="n">
        <v>45674.70722222222</v>
      </c>
      <c r="C1661" s="1" t="n">
        <v>46165</v>
      </c>
      <c r="D1661" t="inlineStr">
        <is>
          <t>VÄSTERNORRLANDS LÄN</t>
        </is>
      </c>
      <c r="E1661" t="inlineStr">
        <is>
          <t>SUNDSVALL</t>
        </is>
      </c>
      <c r="F1661" t="inlineStr">
        <is>
          <t>Kommuner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23802-2024</t>
        </is>
      </c>
      <c r="B1662" s="1" t="n">
        <v>45455.43813657408</v>
      </c>
      <c r="C1662" s="1" t="n">
        <v>46165</v>
      </c>
      <c r="D1662" t="inlineStr">
        <is>
          <t>VÄSTERNORRLANDS LÄN</t>
        </is>
      </c>
      <c r="E1662" t="inlineStr">
        <is>
          <t>SUNDSVALL</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51360-2022</t>
        </is>
      </c>
      <c r="B1663" s="1" t="n">
        <v>44869</v>
      </c>
      <c r="C1663" s="1" t="n">
        <v>46165</v>
      </c>
      <c r="D1663" t="inlineStr">
        <is>
          <t>VÄSTERNORRLANDS LÄN</t>
        </is>
      </c>
      <c r="E1663" t="inlineStr">
        <is>
          <t>SUNDSVALL</t>
        </is>
      </c>
      <c r="G1663" t="n">
        <v>30.9</v>
      </c>
      <c r="H1663" t="n">
        <v>0</v>
      </c>
      <c r="I1663" t="n">
        <v>0</v>
      </c>
      <c r="J1663" t="n">
        <v>0</v>
      </c>
      <c r="K1663" t="n">
        <v>0</v>
      </c>
      <c r="L1663" t="n">
        <v>0</v>
      </c>
      <c r="M1663" t="n">
        <v>0</v>
      </c>
      <c r="N1663" t="n">
        <v>0</v>
      </c>
      <c r="O1663" t="n">
        <v>0</v>
      </c>
      <c r="P1663" t="n">
        <v>0</v>
      </c>
      <c r="Q1663" t="n">
        <v>0</v>
      </c>
      <c r="R1663" s="2" t="inlineStr"/>
    </row>
    <row r="1664" ht="15" customHeight="1">
      <c r="A1664" t="inlineStr">
        <is>
          <t>A 7472-2026</t>
        </is>
      </c>
      <c r="B1664" s="1" t="n">
        <v>46059.49037037037</v>
      </c>
      <c r="C1664" s="1" t="n">
        <v>46165</v>
      </c>
      <c r="D1664" t="inlineStr">
        <is>
          <t>VÄSTERNORRLANDS LÄN</t>
        </is>
      </c>
      <c r="E1664" t="inlineStr">
        <is>
          <t>SUNDSVALL</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22139-2023</t>
        </is>
      </c>
      <c r="B1665" s="1" t="n">
        <v>45068</v>
      </c>
      <c r="C1665" s="1" t="n">
        <v>46165</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23990-2022</t>
        </is>
      </c>
      <c r="B1666" s="1" t="n">
        <v>44722</v>
      </c>
      <c r="C1666" s="1" t="n">
        <v>46165</v>
      </c>
      <c r="D1666" t="inlineStr">
        <is>
          <t>VÄSTERNORRLANDS LÄN</t>
        </is>
      </c>
      <c r="E1666" t="inlineStr">
        <is>
          <t>SUNDSVALL</t>
        </is>
      </c>
      <c r="F1666" t="inlineStr">
        <is>
          <t>SCA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70174-2021</t>
        </is>
      </c>
      <c r="B1667" s="1" t="n">
        <v>44533</v>
      </c>
      <c r="C1667" s="1" t="n">
        <v>46165</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2246-2026</t>
        </is>
      </c>
      <c r="B1668" s="1" t="n">
        <v>46036</v>
      </c>
      <c r="C1668" s="1" t="n">
        <v>46165</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40428-2023</t>
        </is>
      </c>
      <c r="B1669" s="1" t="n">
        <v>45169</v>
      </c>
      <c r="C1669" s="1" t="n">
        <v>46165</v>
      </c>
      <c r="D1669" t="inlineStr">
        <is>
          <t>VÄSTERNORRLANDS LÄN</t>
        </is>
      </c>
      <c r="E1669" t="inlineStr">
        <is>
          <t>SUNDSVALL</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7635-2026</t>
        </is>
      </c>
      <c r="B1670" s="1" t="n">
        <v>46062.36525462963</v>
      </c>
      <c r="C1670" s="1" t="n">
        <v>46165</v>
      </c>
      <c r="D1670" t="inlineStr">
        <is>
          <t>VÄSTERNORRLANDS LÄN</t>
        </is>
      </c>
      <c r="E1670" t="inlineStr">
        <is>
          <t>SUNDSVALL</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7617-2026</t>
        </is>
      </c>
      <c r="B1671" s="1" t="n">
        <v>46062.33678240741</v>
      </c>
      <c r="C1671" s="1" t="n">
        <v>46165</v>
      </c>
      <c r="D1671" t="inlineStr">
        <is>
          <t>VÄSTERNORRLANDS LÄN</t>
        </is>
      </c>
      <c r="E1671" t="inlineStr">
        <is>
          <t>SUNDSVALL</t>
        </is>
      </c>
      <c r="F1671" t="inlineStr">
        <is>
          <t>Holmen skog AB</t>
        </is>
      </c>
      <c r="G1671" t="n">
        <v>31.3</v>
      </c>
      <c r="H1671" t="n">
        <v>0</v>
      </c>
      <c r="I1671" t="n">
        <v>0</v>
      </c>
      <c r="J1671" t="n">
        <v>0</v>
      </c>
      <c r="K1671" t="n">
        <v>0</v>
      </c>
      <c r="L1671" t="n">
        <v>0</v>
      </c>
      <c r="M1671" t="n">
        <v>0</v>
      </c>
      <c r="N1671" t="n">
        <v>0</v>
      </c>
      <c r="O1671" t="n">
        <v>0</v>
      </c>
      <c r="P1671" t="n">
        <v>0</v>
      </c>
      <c r="Q1671" t="n">
        <v>0</v>
      </c>
      <c r="R1671" s="2" t="inlineStr"/>
    </row>
    <row r="1672" ht="15" customHeight="1">
      <c r="A1672" t="inlineStr">
        <is>
          <t>A 7918-2026</t>
        </is>
      </c>
      <c r="B1672" s="1" t="n">
        <v>46063.38263888889</v>
      </c>
      <c r="C1672" s="1" t="n">
        <v>46165</v>
      </c>
      <c r="D1672" t="inlineStr">
        <is>
          <t>VÄSTERNORRLANDS LÄN</t>
        </is>
      </c>
      <c r="E1672" t="inlineStr">
        <is>
          <t>SUNDSVALL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46165</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8456-2026</t>
        </is>
      </c>
      <c r="B1674" s="1" t="n">
        <v>46065.42681712963</v>
      </c>
      <c r="C1674" s="1" t="n">
        <v>46165</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1080-2022</t>
        </is>
      </c>
      <c r="B1675" s="1" t="n">
        <v>44571.92100694445</v>
      </c>
      <c r="C1675" s="1" t="n">
        <v>46165</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57400-2023</t>
        </is>
      </c>
      <c r="B1676" s="1" t="n">
        <v>45245.96820601852</v>
      </c>
      <c r="C1676" s="1" t="n">
        <v>46165</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8242-2026</t>
        </is>
      </c>
      <c r="B1677" s="1" t="n">
        <v>46064.49005787037</v>
      </c>
      <c r="C1677" s="1" t="n">
        <v>46165</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8463-2026</t>
        </is>
      </c>
      <c r="B1678" s="1" t="n">
        <v>46065.43620370371</v>
      </c>
      <c r="C1678" s="1" t="n">
        <v>46165</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5314-2025</t>
        </is>
      </c>
      <c r="B1679" s="1" t="n">
        <v>45692.51083333333</v>
      </c>
      <c r="C1679" s="1" t="n">
        <v>46165</v>
      </c>
      <c r="D1679" t="inlineStr">
        <is>
          <t>VÄSTERNORRLANDS LÄN</t>
        </is>
      </c>
      <c r="E1679" t="inlineStr">
        <is>
          <t>SUNDSVALL</t>
        </is>
      </c>
      <c r="F1679" t="inlineStr">
        <is>
          <t>SCA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6834-2026</t>
        </is>
      </c>
      <c r="B1680" s="1" t="n">
        <v>46057</v>
      </c>
      <c r="C1680" s="1" t="n">
        <v>46165</v>
      </c>
      <c r="D1680" t="inlineStr">
        <is>
          <t>VÄSTERNORRLANDS LÄN</t>
        </is>
      </c>
      <c r="E1680" t="inlineStr">
        <is>
          <t>SUNDSVALL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32652-2024</t>
        </is>
      </c>
      <c r="B1681" s="1" t="n">
        <v>45513</v>
      </c>
      <c r="C1681" s="1" t="n">
        <v>46165</v>
      </c>
      <c r="D1681" t="inlineStr">
        <is>
          <t>VÄSTERNORRLANDS LÄN</t>
        </is>
      </c>
      <c r="E1681" t="inlineStr">
        <is>
          <t>SUNDSVALL</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44602-2024</t>
        </is>
      </c>
      <c r="B1682" s="1" t="n">
        <v>45574.51142361111</v>
      </c>
      <c r="C1682" s="1" t="n">
        <v>46165</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26234-2024</t>
        </is>
      </c>
      <c r="B1683" s="1" t="n">
        <v>45468</v>
      </c>
      <c r="C1683" s="1" t="n">
        <v>46165</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10684-2025</t>
        </is>
      </c>
      <c r="B1684" s="1" t="n">
        <v>45721.95054398148</v>
      </c>
      <c r="C1684" s="1" t="n">
        <v>46165</v>
      </c>
      <c r="D1684" t="inlineStr">
        <is>
          <t>VÄSTERNORRLANDS LÄN</t>
        </is>
      </c>
      <c r="E1684" t="inlineStr">
        <is>
          <t>SUNDSVALL</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10686-2025</t>
        </is>
      </c>
      <c r="B1685" s="1" t="n">
        <v>45721.9587962963</v>
      </c>
      <c r="C1685" s="1" t="n">
        <v>46165</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18700-2023</t>
        </is>
      </c>
      <c r="B1686" s="1" t="n">
        <v>45042</v>
      </c>
      <c r="C1686" s="1" t="n">
        <v>46165</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8601-2026</t>
        </is>
      </c>
      <c r="B1687" s="1" t="n">
        <v>46065</v>
      </c>
      <c r="C1687" s="1" t="n">
        <v>46165</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8688-2026</t>
        </is>
      </c>
      <c r="B1688" s="1" t="n">
        <v>46066.44523148148</v>
      </c>
      <c r="C1688" s="1" t="n">
        <v>46165</v>
      </c>
      <c r="D1688" t="inlineStr">
        <is>
          <t>VÄSTERNORRLANDS LÄN</t>
        </is>
      </c>
      <c r="E1688" t="inlineStr">
        <is>
          <t>SUNDSVALL</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7220-2024</t>
        </is>
      </c>
      <c r="B1689" s="1" t="n">
        <v>45344.63797453704</v>
      </c>
      <c r="C1689" s="1" t="n">
        <v>46165</v>
      </c>
      <c r="D1689" t="inlineStr">
        <is>
          <t>VÄSTERNORRLANDS LÄN</t>
        </is>
      </c>
      <c r="E1689" t="inlineStr">
        <is>
          <t>SUNDSVALL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59335-2022</t>
        </is>
      </c>
      <c r="B1690" s="1" t="n">
        <v>44904.658125</v>
      </c>
      <c r="C1690" s="1" t="n">
        <v>46165</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8996-2026</t>
        </is>
      </c>
      <c r="B1691" s="1" t="n">
        <v>46069</v>
      </c>
      <c r="C1691" s="1" t="n">
        <v>46165</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9274-2026</t>
        </is>
      </c>
      <c r="B1692" s="1" t="n">
        <v>46070.56462962963</v>
      </c>
      <c r="C1692" s="1" t="n">
        <v>46165</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27319-2024</t>
        </is>
      </c>
      <c r="B1693" s="1" t="n">
        <v>45471</v>
      </c>
      <c r="C1693" s="1" t="n">
        <v>46165</v>
      </c>
      <c r="D1693" t="inlineStr">
        <is>
          <t>VÄSTERNORRLANDS LÄN</t>
        </is>
      </c>
      <c r="E1693" t="inlineStr">
        <is>
          <t>SUNDSVALL</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9490-2026</t>
        </is>
      </c>
      <c r="B1694" s="1" t="n">
        <v>46071.55266203704</v>
      </c>
      <c r="C1694" s="1" t="n">
        <v>46165</v>
      </c>
      <c r="D1694" t="inlineStr">
        <is>
          <t>VÄSTERNORRLANDS LÄN</t>
        </is>
      </c>
      <c r="E1694" t="inlineStr">
        <is>
          <t>SUNDSVALL</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44506-2022</t>
        </is>
      </c>
      <c r="B1695" s="1" t="n">
        <v>44840</v>
      </c>
      <c r="C1695" s="1" t="n">
        <v>46165</v>
      </c>
      <c r="D1695" t="inlineStr">
        <is>
          <t>VÄSTERNORRLANDS LÄN</t>
        </is>
      </c>
      <c r="E1695" t="inlineStr">
        <is>
          <t>SUNDSVALL</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47788-2024</t>
        </is>
      </c>
      <c r="B1696" s="1" t="n">
        <v>45588.59452546296</v>
      </c>
      <c r="C1696" s="1" t="n">
        <v>46165</v>
      </c>
      <c r="D1696" t="inlineStr">
        <is>
          <t>VÄSTERNORRLANDS LÄN</t>
        </is>
      </c>
      <c r="E1696" t="inlineStr">
        <is>
          <t>SUNDSVALL</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70879-2021</t>
        </is>
      </c>
      <c r="B1697" s="1" t="n">
        <v>44538</v>
      </c>
      <c r="C1697" s="1" t="n">
        <v>46165</v>
      </c>
      <c r="D1697" t="inlineStr">
        <is>
          <t>VÄSTERNORRLANDS LÄN</t>
        </is>
      </c>
      <c r="E1697" t="inlineStr">
        <is>
          <t>SUNDSVALL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9579-2026</t>
        </is>
      </c>
      <c r="B1698" s="1" t="n">
        <v>46071.67767361111</v>
      </c>
      <c r="C1698" s="1" t="n">
        <v>46165</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49360-2024</t>
        </is>
      </c>
      <c r="B1699" s="1" t="n">
        <v>45595.626875</v>
      </c>
      <c r="C1699" s="1" t="n">
        <v>46165</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10042-2026</t>
        </is>
      </c>
      <c r="B1700" s="1" t="n">
        <v>46073.59899305556</v>
      </c>
      <c r="C1700" s="1" t="n">
        <v>46165</v>
      </c>
      <c r="D1700" t="inlineStr">
        <is>
          <t>VÄSTERNORRLANDS LÄN</t>
        </is>
      </c>
      <c r="E1700" t="inlineStr">
        <is>
          <t>SUNDSVALL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22563-2022</t>
        </is>
      </c>
      <c r="B1701" s="1" t="n">
        <v>44713.9384375</v>
      </c>
      <c r="C1701" s="1" t="n">
        <v>46165</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62120-2024</t>
        </is>
      </c>
      <c r="B1702" s="1" t="n">
        <v>45646</v>
      </c>
      <c r="C1702" s="1" t="n">
        <v>46165</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10037-2026</t>
        </is>
      </c>
      <c r="B1703" s="1" t="n">
        <v>46073</v>
      </c>
      <c r="C1703" s="1" t="n">
        <v>46165</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49994-2023</t>
        </is>
      </c>
      <c r="B1704" s="1" t="n">
        <v>45215</v>
      </c>
      <c r="C1704" s="1" t="n">
        <v>46165</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9985-2026</t>
        </is>
      </c>
      <c r="B1705" s="1" t="n">
        <v>46073.5425</v>
      </c>
      <c r="C1705" s="1" t="n">
        <v>46165</v>
      </c>
      <c r="D1705" t="inlineStr">
        <is>
          <t>VÄSTERNORRLANDS LÄN</t>
        </is>
      </c>
      <c r="E1705" t="inlineStr">
        <is>
          <t>SUNDSVALL</t>
        </is>
      </c>
      <c r="F1705" t="inlineStr">
        <is>
          <t>Kyrkan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10088-2026</t>
        </is>
      </c>
      <c r="B1706" s="1" t="n">
        <v>46073.69837962963</v>
      </c>
      <c r="C1706" s="1" t="n">
        <v>46165</v>
      </c>
      <c r="D1706" t="inlineStr">
        <is>
          <t>VÄSTERNORRLANDS LÄN</t>
        </is>
      </c>
      <c r="E1706" t="inlineStr">
        <is>
          <t>SUNDSVALL</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9918-2026</t>
        </is>
      </c>
      <c r="B1707" s="1" t="n">
        <v>46073.43922453704</v>
      </c>
      <c r="C1707" s="1" t="n">
        <v>46165</v>
      </c>
      <c r="D1707" t="inlineStr">
        <is>
          <t>VÄSTERNORRLANDS LÄN</t>
        </is>
      </c>
      <c r="E1707" t="inlineStr">
        <is>
          <t>SUNDSVALL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9932-2026</t>
        </is>
      </c>
      <c r="B1708" s="1" t="n">
        <v>46073.45615740741</v>
      </c>
      <c r="C1708" s="1" t="n">
        <v>46165</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9759-2026</t>
        </is>
      </c>
      <c r="B1709" s="1" t="n">
        <v>46072.55251157407</v>
      </c>
      <c r="C1709" s="1" t="n">
        <v>46165</v>
      </c>
      <c r="D1709" t="inlineStr">
        <is>
          <t>VÄSTERNORRLANDS LÄN</t>
        </is>
      </c>
      <c r="E1709" t="inlineStr">
        <is>
          <t>SUNDSVALL</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33040-2023</t>
        </is>
      </c>
      <c r="B1710" s="1" t="n">
        <v>45125.95086805556</v>
      </c>
      <c r="C1710" s="1" t="n">
        <v>46165</v>
      </c>
      <c r="D1710" t="inlineStr">
        <is>
          <t>VÄSTERNORRLANDS LÄN</t>
        </is>
      </c>
      <c r="E1710" t="inlineStr">
        <is>
          <t>SUNDSVALL</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10689-2026</t>
        </is>
      </c>
      <c r="B1711" s="1" t="n">
        <v>46078</v>
      </c>
      <c r="C1711" s="1" t="n">
        <v>46165</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10691-2026</t>
        </is>
      </c>
      <c r="B1712" s="1" t="n">
        <v>46078</v>
      </c>
      <c r="C1712" s="1" t="n">
        <v>46165</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53921-2022</t>
        </is>
      </c>
      <c r="B1713" s="1" t="n">
        <v>44880</v>
      </c>
      <c r="C1713" s="1" t="n">
        <v>46165</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53939-2022</t>
        </is>
      </c>
      <c r="B1714" s="1" t="n">
        <v>44880.95625</v>
      </c>
      <c r="C1714" s="1" t="n">
        <v>46165</v>
      </c>
      <c r="D1714" t="inlineStr">
        <is>
          <t>VÄSTERNORRLANDS LÄN</t>
        </is>
      </c>
      <c r="E1714" t="inlineStr">
        <is>
          <t>SUNDSVALL</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53943-2022</t>
        </is>
      </c>
      <c r="B1715" s="1" t="n">
        <v>44880</v>
      </c>
      <c r="C1715" s="1" t="n">
        <v>46165</v>
      </c>
      <c r="D1715" t="inlineStr">
        <is>
          <t>VÄSTERNORRLANDS LÄN</t>
        </is>
      </c>
      <c r="E1715" t="inlineStr">
        <is>
          <t>SUNDSVALL</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19573-2025</t>
        </is>
      </c>
      <c r="B1716" s="1" t="n">
        <v>45770.55274305555</v>
      </c>
      <c r="C1716" s="1" t="n">
        <v>46165</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41027-2024</t>
        </is>
      </c>
      <c r="B1717" s="1" t="n">
        <v>45559</v>
      </c>
      <c r="C1717" s="1" t="n">
        <v>46165</v>
      </c>
      <c r="D1717" t="inlineStr">
        <is>
          <t>VÄSTERNORRLANDS LÄN</t>
        </is>
      </c>
      <c r="E1717" t="inlineStr">
        <is>
          <t>SUNDSVALL</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18113-2025</t>
        </is>
      </c>
      <c r="B1718" s="1" t="n">
        <v>45761.57361111111</v>
      </c>
      <c r="C1718" s="1" t="n">
        <v>46165</v>
      </c>
      <c r="D1718" t="inlineStr">
        <is>
          <t>VÄSTERNORRLANDS LÄN</t>
        </is>
      </c>
      <c r="E1718" t="inlineStr">
        <is>
          <t>SUNDSVALL</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10719-2026</t>
        </is>
      </c>
      <c r="B1719" s="1" t="n">
        <v>46078.46847222222</v>
      </c>
      <c r="C1719" s="1" t="n">
        <v>46165</v>
      </c>
      <c r="D1719" t="inlineStr">
        <is>
          <t>VÄSTERNORRLANDS LÄN</t>
        </is>
      </c>
      <c r="E1719" t="inlineStr">
        <is>
          <t>SUNDSVALL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65019-2023</t>
        </is>
      </c>
      <c r="B1720" s="1" t="n">
        <v>45282</v>
      </c>
      <c r="C1720" s="1" t="n">
        <v>46165</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10769-2026</t>
        </is>
      </c>
      <c r="B1721" s="1" t="n">
        <v>46078</v>
      </c>
      <c r="C1721" s="1" t="n">
        <v>46165</v>
      </c>
      <c r="D1721" t="inlineStr">
        <is>
          <t>VÄSTERNORRLANDS LÄN</t>
        </is>
      </c>
      <c r="E1721" t="inlineStr">
        <is>
          <t>SUNDSVALL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31712-2024</t>
        </is>
      </c>
      <c r="B1722" s="1" t="n">
        <v>45508</v>
      </c>
      <c r="C1722" s="1" t="n">
        <v>46165</v>
      </c>
      <c r="D1722" t="inlineStr">
        <is>
          <t>VÄSTERNORRLANDS LÄN</t>
        </is>
      </c>
      <c r="E1722" t="inlineStr">
        <is>
          <t>SUNDSVALL</t>
        </is>
      </c>
      <c r="F1722" t="inlineStr">
        <is>
          <t>SCA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41200-2024</t>
        </is>
      </c>
      <c r="B1723" s="1" t="n">
        <v>45559.51616898148</v>
      </c>
      <c r="C1723" s="1" t="n">
        <v>46165</v>
      </c>
      <c r="D1723" t="inlineStr">
        <is>
          <t>VÄSTERNORRLANDS LÄN</t>
        </is>
      </c>
      <c r="E1723" t="inlineStr">
        <is>
          <t>SUNDSVALL</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9598-2025</t>
        </is>
      </c>
      <c r="B1724" s="1" t="n">
        <v>45715</v>
      </c>
      <c r="C1724" s="1" t="n">
        <v>46165</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8491-2024</t>
        </is>
      </c>
      <c r="B1725" s="1" t="n">
        <v>45355</v>
      </c>
      <c r="C1725" s="1" t="n">
        <v>46165</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10962-2026</t>
        </is>
      </c>
      <c r="B1726" s="1" t="n">
        <v>46079.42851851852</v>
      </c>
      <c r="C1726" s="1" t="n">
        <v>46165</v>
      </c>
      <c r="D1726" t="inlineStr">
        <is>
          <t>VÄSTERNORRLANDS LÄN</t>
        </is>
      </c>
      <c r="E1726" t="inlineStr">
        <is>
          <t>SUNDSVALL</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54560-2022</t>
        </is>
      </c>
      <c r="B1727" s="1" t="n">
        <v>44882</v>
      </c>
      <c r="C1727" s="1" t="n">
        <v>46165</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10926-2026</t>
        </is>
      </c>
      <c r="B1728" s="1" t="n">
        <v>46079</v>
      </c>
      <c r="C1728" s="1" t="n">
        <v>46165</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10971-2026</t>
        </is>
      </c>
      <c r="B1729" s="1" t="n">
        <v>46079.45012731481</v>
      </c>
      <c r="C1729" s="1" t="n">
        <v>46165</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8945-2024</t>
        </is>
      </c>
      <c r="B1730" s="1" t="n">
        <v>45357</v>
      </c>
      <c r="C1730" s="1" t="n">
        <v>46165</v>
      </c>
      <c r="D1730" t="inlineStr">
        <is>
          <t>VÄSTERNORRLANDS LÄN</t>
        </is>
      </c>
      <c r="E1730" t="inlineStr">
        <is>
          <t>SUNDSVALL</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11051-2026</t>
        </is>
      </c>
      <c r="B1731" s="1" t="n">
        <v>46079.59100694444</v>
      </c>
      <c r="C1731" s="1" t="n">
        <v>46165</v>
      </c>
      <c r="D1731" t="inlineStr">
        <is>
          <t>VÄSTERNORRLANDS LÄN</t>
        </is>
      </c>
      <c r="E1731" t="inlineStr">
        <is>
          <t>SUNDSVALL</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10969-2026</t>
        </is>
      </c>
      <c r="B1732" s="1" t="n">
        <v>46079.44508101852</v>
      </c>
      <c r="C1732" s="1" t="n">
        <v>46165</v>
      </c>
      <c r="D1732" t="inlineStr">
        <is>
          <t>VÄSTERNORRLANDS LÄN</t>
        </is>
      </c>
      <c r="E1732" t="inlineStr">
        <is>
          <t>SUNDSVALL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10959-2026</t>
        </is>
      </c>
      <c r="B1733" s="1" t="n">
        <v>46079.41228009259</v>
      </c>
      <c r="C1733" s="1" t="n">
        <v>46165</v>
      </c>
      <c r="D1733" t="inlineStr">
        <is>
          <t>VÄSTERNORRLANDS LÄN</t>
        </is>
      </c>
      <c r="E1733" t="inlineStr">
        <is>
          <t>SUNDSVALL</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10937-2026</t>
        </is>
      </c>
      <c r="B1734" s="1" t="n">
        <v>46079.368125</v>
      </c>
      <c r="C1734" s="1" t="n">
        <v>46165</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61492-2023</t>
        </is>
      </c>
      <c r="B1735" s="1" t="n">
        <v>45264</v>
      </c>
      <c r="C1735" s="1" t="n">
        <v>46165</v>
      </c>
      <c r="D1735" t="inlineStr">
        <is>
          <t>VÄSTERNORRLANDS LÄN</t>
        </is>
      </c>
      <c r="E1735" t="inlineStr">
        <is>
          <t>SUNDSVALL</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11193-2026</t>
        </is>
      </c>
      <c r="B1736" s="1" t="n">
        <v>46080.42586805556</v>
      </c>
      <c r="C1736" s="1" t="n">
        <v>46165</v>
      </c>
      <c r="D1736" t="inlineStr">
        <is>
          <t>VÄSTERNORRLANDS LÄN</t>
        </is>
      </c>
      <c r="E1736" t="inlineStr">
        <is>
          <t>SUNDSVALL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11272-2026</t>
        </is>
      </c>
      <c r="B1737" s="1" t="n">
        <v>46080</v>
      </c>
      <c r="C1737" s="1" t="n">
        <v>46165</v>
      </c>
      <c r="D1737" t="inlineStr">
        <is>
          <t>VÄSTERNORRLANDS LÄN</t>
        </is>
      </c>
      <c r="E1737" t="inlineStr">
        <is>
          <t>SUNDSVALL</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20079-2025</t>
        </is>
      </c>
      <c r="B1738" s="1" t="n">
        <v>45772.44902777778</v>
      </c>
      <c r="C1738" s="1" t="n">
        <v>46165</v>
      </c>
      <c r="D1738" t="inlineStr">
        <is>
          <t>VÄSTERNORRLANDS LÄN</t>
        </is>
      </c>
      <c r="E1738" t="inlineStr">
        <is>
          <t>SUNDSVALL</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25362-2024</t>
        </is>
      </c>
      <c r="B1739" s="1" t="n">
        <v>45462.95824074074</v>
      </c>
      <c r="C1739" s="1" t="n">
        <v>46165</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18212-2025</t>
        </is>
      </c>
      <c r="B1740" s="1" t="n">
        <v>45761.69392361111</v>
      </c>
      <c r="C1740" s="1" t="n">
        <v>46165</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16997-2023</t>
        </is>
      </c>
      <c r="B1741" s="1" t="n">
        <v>45033.92600694444</v>
      </c>
      <c r="C1741" s="1" t="n">
        <v>46165</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11518-2026</t>
        </is>
      </c>
      <c r="B1742" s="1" t="n">
        <v>46083.66465277778</v>
      </c>
      <c r="C1742" s="1" t="n">
        <v>46165</v>
      </c>
      <c r="D1742" t="inlineStr">
        <is>
          <t>VÄSTERNORRLANDS LÄN</t>
        </is>
      </c>
      <c r="E1742" t="inlineStr">
        <is>
          <t>SUNDSVALL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60650-2022</t>
        </is>
      </c>
      <c r="B1743" s="1" t="n">
        <v>44911</v>
      </c>
      <c r="C1743" s="1" t="n">
        <v>46165</v>
      </c>
      <c r="D1743" t="inlineStr">
        <is>
          <t>VÄSTERNORRLANDS LÄN</t>
        </is>
      </c>
      <c r="E1743" t="inlineStr">
        <is>
          <t>SUNDSVALL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18064-2026</t>
        </is>
      </c>
      <c r="B1744" s="1" t="n">
        <v>46125.46353009259</v>
      </c>
      <c r="C1744" s="1" t="n">
        <v>46165</v>
      </c>
      <c r="D1744" t="inlineStr">
        <is>
          <t>VÄSTERNORRLANDS LÄN</t>
        </is>
      </c>
      <c r="E1744" t="inlineStr">
        <is>
          <t>SUNDSVALL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18066-2026</t>
        </is>
      </c>
      <c r="B1745" s="1" t="n">
        <v>46125.47700231482</v>
      </c>
      <c r="C1745" s="1" t="n">
        <v>46165</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11487-2026</t>
        </is>
      </c>
      <c r="B1746" s="1" t="n">
        <v>46083.63237268518</v>
      </c>
      <c r="C1746" s="1" t="n">
        <v>46165</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36203-2023</t>
        </is>
      </c>
      <c r="B1747" s="1" t="n">
        <v>45149</v>
      </c>
      <c r="C1747" s="1" t="n">
        <v>46165</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11507-2026</t>
        </is>
      </c>
      <c r="B1748" s="1" t="n">
        <v>46083.65457175926</v>
      </c>
      <c r="C1748" s="1" t="n">
        <v>46165</v>
      </c>
      <c r="D1748" t="inlineStr">
        <is>
          <t>VÄSTERNORRLANDS LÄN</t>
        </is>
      </c>
      <c r="E1748" t="inlineStr">
        <is>
          <t>SUNDSVALL</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11512-2026</t>
        </is>
      </c>
      <c r="B1749" s="1" t="n">
        <v>46083.65806712963</v>
      </c>
      <c r="C1749" s="1" t="n">
        <v>46165</v>
      </c>
      <c r="D1749" t="inlineStr">
        <is>
          <t>VÄSTERNORRLANDS LÄN</t>
        </is>
      </c>
      <c r="E1749" t="inlineStr">
        <is>
          <t>SUNDSVALL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43004-2024</t>
        </is>
      </c>
      <c r="B1750" s="1" t="n">
        <v>45567.37616898148</v>
      </c>
      <c r="C1750" s="1" t="n">
        <v>46165</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11571-2026</t>
        </is>
      </c>
      <c r="B1751" s="1" t="n">
        <v>46084.38119212963</v>
      </c>
      <c r="C1751" s="1" t="n">
        <v>46165</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45048-2023</t>
        </is>
      </c>
      <c r="B1752" s="1" t="n">
        <v>45187</v>
      </c>
      <c r="C1752" s="1" t="n">
        <v>46165</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45057-2023</t>
        </is>
      </c>
      <c r="B1753" s="1" t="n">
        <v>45187</v>
      </c>
      <c r="C1753" s="1" t="n">
        <v>46165</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17965-2026</t>
        </is>
      </c>
      <c r="B1754" s="1" t="n">
        <v>46123.34453703704</v>
      </c>
      <c r="C1754" s="1" t="n">
        <v>46165</v>
      </c>
      <c r="D1754" t="inlineStr">
        <is>
          <t>VÄSTERNORRLANDS LÄN</t>
        </is>
      </c>
      <c r="E1754" t="inlineStr">
        <is>
          <t>SUNDSVALL</t>
        </is>
      </c>
      <c r="F1754" t="inlineStr">
        <is>
          <t>SCA</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11470-2026</t>
        </is>
      </c>
      <c r="B1755" s="1" t="n">
        <v>46083.59429398148</v>
      </c>
      <c r="C1755" s="1" t="n">
        <v>46165</v>
      </c>
      <c r="D1755" t="inlineStr">
        <is>
          <t>VÄSTERNORRLANDS LÄN</t>
        </is>
      </c>
      <c r="E1755" t="inlineStr">
        <is>
          <t>SUNDSVALL</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62219-2023</t>
        </is>
      </c>
      <c r="B1756" s="1" t="n">
        <v>45267</v>
      </c>
      <c r="C1756" s="1" t="n">
        <v>46165</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63665-2021</t>
        </is>
      </c>
      <c r="B1757" s="1" t="n">
        <v>44508</v>
      </c>
      <c r="C1757" s="1" t="n">
        <v>46165</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11474-2026</t>
        </is>
      </c>
      <c r="B1758" s="1" t="n">
        <v>46083.59480324074</v>
      </c>
      <c r="C1758" s="1" t="n">
        <v>46165</v>
      </c>
      <c r="D1758" t="inlineStr">
        <is>
          <t>VÄSTERNORRLANDS LÄN</t>
        </is>
      </c>
      <c r="E1758" t="inlineStr">
        <is>
          <t>SUNDSVALL</t>
        </is>
      </c>
      <c r="F1758" t="inlineStr">
        <is>
          <t>SCA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11490-2026</t>
        </is>
      </c>
      <c r="B1759" s="1" t="n">
        <v>46083.63535879629</v>
      </c>
      <c r="C1759" s="1" t="n">
        <v>46165</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11570-2026</t>
        </is>
      </c>
      <c r="B1760" s="1" t="n">
        <v>46084.38008101852</v>
      </c>
      <c r="C1760" s="1" t="n">
        <v>46165</v>
      </c>
      <c r="D1760" t="inlineStr">
        <is>
          <t>VÄSTERNORRLANDS LÄN</t>
        </is>
      </c>
      <c r="E1760" t="inlineStr">
        <is>
          <t>SUNDSVALL</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11573-2026</t>
        </is>
      </c>
      <c r="B1761" s="1" t="n">
        <v>46084.38239583333</v>
      </c>
      <c r="C1761" s="1" t="n">
        <v>46165</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44569-2024</t>
        </is>
      </c>
      <c r="B1762" s="1" t="n">
        <v>45574.48010416667</v>
      </c>
      <c r="C1762" s="1" t="n">
        <v>46165</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60613-2022</t>
        </is>
      </c>
      <c r="B1763" s="1" t="n">
        <v>44911</v>
      </c>
      <c r="C1763" s="1" t="n">
        <v>46165</v>
      </c>
      <c r="D1763" t="inlineStr">
        <is>
          <t>VÄSTERNORRLANDS LÄN</t>
        </is>
      </c>
      <c r="E1763" t="inlineStr">
        <is>
          <t>SUNDSVALL</t>
        </is>
      </c>
      <c r="F1763" t="inlineStr">
        <is>
          <t>Kyrkan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11935-2026</t>
        </is>
      </c>
      <c r="B1764" s="1" t="n">
        <v>46085.58747685186</v>
      </c>
      <c r="C1764" s="1" t="n">
        <v>46165</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11842-2026</t>
        </is>
      </c>
      <c r="B1765" s="1" t="n">
        <v>46085.45105324074</v>
      </c>
      <c r="C1765" s="1" t="n">
        <v>46165</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59579-2021</t>
        </is>
      </c>
      <c r="B1766" s="1" t="n">
        <v>44491</v>
      </c>
      <c r="C1766" s="1" t="n">
        <v>46165</v>
      </c>
      <c r="D1766" t="inlineStr">
        <is>
          <t>VÄSTERNORRLANDS LÄN</t>
        </is>
      </c>
      <c r="E1766" t="inlineStr">
        <is>
          <t>SUNDSVALL</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18454-2026</t>
        </is>
      </c>
      <c r="B1767" s="1" t="n">
        <v>46127.38815972222</v>
      </c>
      <c r="C1767" s="1" t="n">
        <v>46165</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18796-2026</t>
        </is>
      </c>
      <c r="B1768" s="1" t="n">
        <v>46128.61502314815</v>
      </c>
      <c r="C1768" s="1" t="n">
        <v>46165</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54477-2024</t>
        </is>
      </c>
      <c r="B1769" s="1" t="n">
        <v>45617.55256944444</v>
      </c>
      <c r="C1769" s="1" t="n">
        <v>46165</v>
      </c>
      <c r="D1769" t="inlineStr">
        <is>
          <t>VÄSTERNORRLANDS LÄN</t>
        </is>
      </c>
      <c r="E1769" t="inlineStr">
        <is>
          <t>SUNDSVALL</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32032-2024</t>
        </is>
      </c>
      <c r="B1770" s="1" t="n">
        <v>45510</v>
      </c>
      <c r="C1770" s="1" t="n">
        <v>46165</v>
      </c>
      <c r="D1770" t="inlineStr">
        <is>
          <t>VÄSTERNORRLANDS LÄN</t>
        </is>
      </c>
      <c r="E1770" t="inlineStr">
        <is>
          <t>SUNDSVALL</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11944-2026</t>
        </is>
      </c>
      <c r="B1771" s="1" t="n">
        <v>46085.59435185185</v>
      </c>
      <c r="C1771" s="1" t="n">
        <v>46165</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44080-2024</t>
        </is>
      </c>
      <c r="B1772" s="1" t="n">
        <v>45572.61517361111</v>
      </c>
      <c r="C1772" s="1" t="n">
        <v>46165</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18571-2026</t>
        </is>
      </c>
      <c r="B1773" s="1" t="n">
        <v>46127.59474537037</v>
      </c>
      <c r="C1773" s="1" t="n">
        <v>46165</v>
      </c>
      <c r="D1773" t="inlineStr">
        <is>
          <t>VÄSTERNORRLANDS LÄN</t>
        </is>
      </c>
      <c r="E1773" t="inlineStr">
        <is>
          <t>SUNDSVALL</t>
        </is>
      </c>
      <c r="F1773" t="inlineStr">
        <is>
          <t>SCA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12119-2026</t>
        </is>
      </c>
      <c r="B1774" s="1" t="n">
        <v>46086</v>
      </c>
      <c r="C1774" s="1" t="n">
        <v>46165</v>
      </c>
      <c r="D1774" t="inlineStr">
        <is>
          <t>VÄSTERNORRLANDS LÄN</t>
        </is>
      </c>
      <c r="E1774" t="inlineStr">
        <is>
          <t>SUNDSVALL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18807-2026</t>
        </is>
      </c>
      <c r="B1775" s="1" t="n">
        <v>46128.63599537037</v>
      </c>
      <c r="C1775" s="1" t="n">
        <v>46165</v>
      </c>
      <c r="D1775" t="inlineStr">
        <is>
          <t>VÄSTERNORRLANDS LÄN</t>
        </is>
      </c>
      <c r="E1775" t="inlineStr">
        <is>
          <t>SUNDSVALL</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11827-2026</t>
        </is>
      </c>
      <c r="B1776" s="1" t="n">
        <v>46085.41469907408</v>
      </c>
      <c r="C1776" s="1" t="n">
        <v>46165</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18570-2026</t>
        </is>
      </c>
      <c r="B1777" s="1" t="n">
        <v>46127.59449074074</v>
      </c>
      <c r="C1777" s="1" t="n">
        <v>46165</v>
      </c>
      <c r="D1777" t="inlineStr">
        <is>
          <t>VÄSTERNORRLANDS LÄN</t>
        </is>
      </c>
      <c r="E1777" t="inlineStr">
        <is>
          <t>SUNDSVALL</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18607-2026</t>
        </is>
      </c>
      <c r="B1778" s="1" t="n">
        <v>46127.65846064815</v>
      </c>
      <c r="C1778" s="1" t="n">
        <v>46165</v>
      </c>
      <c r="D1778" t="inlineStr">
        <is>
          <t>VÄSTERNORRLANDS LÄN</t>
        </is>
      </c>
      <c r="E1778" t="inlineStr">
        <is>
          <t>SUNDSVALL</t>
        </is>
      </c>
      <c r="F1778" t="inlineStr">
        <is>
          <t>SCA</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18732-2026</t>
        </is>
      </c>
      <c r="B1779" s="1" t="n">
        <v>46128.49086805555</v>
      </c>
      <c r="C1779" s="1" t="n">
        <v>46165</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18450-2026</t>
        </is>
      </c>
      <c r="B1780" s="1" t="n">
        <v>46127.38667824074</v>
      </c>
      <c r="C1780" s="1" t="n">
        <v>46165</v>
      </c>
      <c r="D1780" t="inlineStr">
        <is>
          <t>VÄSTERNORRLANDS LÄN</t>
        </is>
      </c>
      <c r="E1780" t="inlineStr">
        <is>
          <t>SUNDSVALL</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18693-2026</t>
        </is>
      </c>
      <c r="B1781" s="1" t="n">
        <v>46128.40671296296</v>
      </c>
      <c r="C1781" s="1" t="n">
        <v>46165</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12470-2026</t>
        </is>
      </c>
      <c r="B1782" s="1" t="n">
        <v>46090.54167824074</v>
      </c>
      <c r="C1782" s="1" t="n">
        <v>46165</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12315-2026</t>
        </is>
      </c>
      <c r="B1783" s="1" t="n">
        <v>46087.59430555555</v>
      </c>
      <c r="C1783" s="1" t="n">
        <v>46165</v>
      </c>
      <c r="D1783" t="inlineStr">
        <is>
          <t>VÄSTERNORRLANDS LÄN</t>
        </is>
      </c>
      <c r="E1783" t="inlineStr">
        <is>
          <t>SUNDSVALL</t>
        </is>
      </c>
      <c r="F1783" t="inlineStr">
        <is>
          <t>SCA</t>
        </is>
      </c>
      <c r="G1783" t="n">
        <v>47.5</v>
      </c>
      <c r="H1783" t="n">
        <v>0</v>
      </c>
      <c r="I1783" t="n">
        <v>0</v>
      </c>
      <c r="J1783" t="n">
        <v>0</v>
      </c>
      <c r="K1783" t="n">
        <v>0</v>
      </c>
      <c r="L1783" t="n">
        <v>0</v>
      </c>
      <c r="M1783" t="n">
        <v>0</v>
      </c>
      <c r="N1783" t="n">
        <v>0</v>
      </c>
      <c r="O1783" t="n">
        <v>0</v>
      </c>
      <c r="P1783" t="n">
        <v>0</v>
      </c>
      <c r="Q1783" t="n">
        <v>0</v>
      </c>
      <c r="R1783" s="2" t="inlineStr"/>
    </row>
    <row r="1784" ht="15" customHeight="1">
      <c r="A1784" t="inlineStr">
        <is>
          <t>A 48993-2022</t>
        </is>
      </c>
      <c r="B1784" s="1" t="n">
        <v>44860</v>
      </c>
      <c r="C1784" s="1" t="n">
        <v>46165</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12365-2026</t>
        </is>
      </c>
      <c r="B1785" s="1" t="n">
        <v>46089</v>
      </c>
      <c r="C1785" s="1" t="n">
        <v>46165</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12301-2026</t>
        </is>
      </c>
      <c r="B1786" s="1" t="n">
        <v>46087.5733912037</v>
      </c>
      <c r="C1786" s="1" t="n">
        <v>46165</v>
      </c>
      <c r="D1786" t="inlineStr">
        <is>
          <t>VÄSTERNORRLANDS LÄN</t>
        </is>
      </c>
      <c r="E1786" t="inlineStr">
        <is>
          <t>SUNDSVALL</t>
        </is>
      </c>
      <c r="F1786" t="inlineStr">
        <is>
          <t>SCA</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51108-2023</t>
        </is>
      </c>
      <c r="B1787" s="1" t="n">
        <v>45218</v>
      </c>
      <c r="C1787" s="1" t="n">
        <v>46165</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51109-2023</t>
        </is>
      </c>
      <c r="B1788" s="1" t="n">
        <v>45218.96215277778</v>
      </c>
      <c r="C1788" s="1" t="n">
        <v>46165</v>
      </c>
      <c r="D1788" t="inlineStr">
        <is>
          <t>VÄSTERNORRLANDS LÄN</t>
        </is>
      </c>
      <c r="E1788" t="inlineStr">
        <is>
          <t>SUNDSVALL</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28302-2024</t>
        </is>
      </c>
      <c r="B1789" s="1" t="n">
        <v>45477</v>
      </c>
      <c r="C1789" s="1" t="n">
        <v>46165</v>
      </c>
      <c r="D1789" t="inlineStr">
        <is>
          <t>VÄSTERNORRLANDS LÄN</t>
        </is>
      </c>
      <c r="E1789" t="inlineStr">
        <is>
          <t>SUNDSVALL</t>
        </is>
      </c>
      <c r="F1789" t="inlineStr">
        <is>
          <t>Holmen skog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42497-2024</t>
        </is>
      </c>
      <c r="B1790" s="1" t="n">
        <v>45565</v>
      </c>
      <c r="C1790" s="1" t="n">
        <v>46165</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18941-2026</t>
        </is>
      </c>
      <c r="B1791" s="1" t="n">
        <v>46129.57335648148</v>
      </c>
      <c r="C1791" s="1" t="n">
        <v>46165</v>
      </c>
      <c r="D1791" t="inlineStr">
        <is>
          <t>VÄSTERNORRLANDS LÄN</t>
        </is>
      </c>
      <c r="E1791" t="inlineStr">
        <is>
          <t>SUNDSVALL</t>
        </is>
      </c>
      <c r="F1791" t="inlineStr">
        <is>
          <t>SCA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28594-2021</t>
        </is>
      </c>
      <c r="B1792" s="1" t="n">
        <v>44356</v>
      </c>
      <c r="C1792" s="1" t="n">
        <v>46165</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10530-2023</t>
        </is>
      </c>
      <c r="B1793" s="1" t="n">
        <v>44987.92324074074</v>
      </c>
      <c r="C1793" s="1" t="n">
        <v>46165</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19060-2026</t>
        </is>
      </c>
      <c r="B1794" s="1" t="n">
        <v>46132.36563657408</v>
      </c>
      <c r="C1794" s="1" t="n">
        <v>46165</v>
      </c>
      <c r="D1794" t="inlineStr">
        <is>
          <t>VÄSTERNORRLANDS LÄN</t>
        </is>
      </c>
      <c r="E1794" t="inlineStr">
        <is>
          <t>SUNDSVALL</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19061-2026</t>
        </is>
      </c>
      <c r="B1795" s="1" t="n">
        <v>46132.36570601852</v>
      </c>
      <c r="C1795" s="1" t="n">
        <v>46165</v>
      </c>
      <c r="D1795" t="inlineStr">
        <is>
          <t>VÄSTERNORRLANDS LÄN</t>
        </is>
      </c>
      <c r="E1795" t="inlineStr">
        <is>
          <t>SUNDSVALL</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12540-2026</t>
        </is>
      </c>
      <c r="B1796" s="1" t="n">
        <v>46090</v>
      </c>
      <c r="C1796" s="1" t="n">
        <v>46165</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46165</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12233-2026</t>
        </is>
      </c>
      <c r="B1798" s="1" t="n">
        <v>46087.40685185185</v>
      </c>
      <c r="C1798" s="1" t="n">
        <v>46165</v>
      </c>
      <c r="D1798" t="inlineStr">
        <is>
          <t>VÄSTERNORRLANDS LÄN</t>
        </is>
      </c>
      <c r="E1798" t="inlineStr">
        <is>
          <t>SUNDSVALL</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18838-2022</t>
        </is>
      </c>
      <c r="B1799" s="1" t="n">
        <v>44690</v>
      </c>
      <c r="C1799" s="1" t="n">
        <v>46165</v>
      </c>
      <c r="D1799" t="inlineStr">
        <is>
          <t>VÄSTERNORRLANDS LÄN</t>
        </is>
      </c>
      <c r="E1799" t="inlineStr">
        <is>
          <t>SUNDSVALL</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19347-2026</t>
        </is>
      </c>
      <c r="B1800" s="1" t="n">
        <v>46133.44836805556</v>
      </c>
      <c r="C1800" s="1" t="n">
        <v>46165</v>
      </c>
      <c r="D1800" t="inlineStr">
        <is>
          <t>VÄSTERNORRLANDS LÄN</t>
        </is>
      </c>
      <c r="E1800" t="inlineStr">
        <is>
          <t>SUNDSVALL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12658-2026</t>
        </is>
      </c>
      <c r="B1801" s="1" t="n">
        <v>46091.49255787037</v>
      </c>
      <c r="C1801" s="1" t="n">
        <v>46165</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12806-2026</t>
        </is>
      </c>
      <c r="B1802" s="1" t="n">
        <v>46092</v>
      </c>
      <c r="C1802" s="1" t="n">
        <v>46165</v>
      </c>
      <c r="D1802" t="inlineStr">
        <is>
          <t>VÄSTERNORRLANDS LÄN</t>
        </is>
      </c>
      <c r="E1802" t="inlineStr">
        <is>
          <t>SUNDSVALL</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12808-2026</t>
        </is>
      </c>
      <c r="B1803" s="1" t="n">
        <v>46092</v>
      </c>
      <c r="C1803" s="1" t="n">
        <v>46165</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23300-2022</t>
        </is>
      </c>
      <c r="B1804" s="1" t="n">
        <v>44720.4637962963</v>
      </c>
      <c r="C1804" s="1" t="n">
        <v>46165</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19427-2026</t>
        </is>
      </c>
      <c r="B1805" s="1" t="n">
        <v>46133.61581018518</v>
      </c>
      <c r="C1805" s="1" t="n">
        <v>46165</v>
      </c>
      <c r="D1805" t="inlineStr">
        <is>
          <t>VÄSTERNORRLANDS LÄN</t>
        </is>
      </c>
      <c r="E1805" t="inlineStr">
        <is>
          <t>SUNDSVALL</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19659-2026</t>
        </is>
      </c>
      <c r="B1806" s="1" t="n">
        <v>46134.6056712963</v>
      </c>
      <c r="C1806" s="1" t="n">
        <v>46165</v>
      </c>
      <c r="D1806" t="inlineStr">
        <is>
          <t>VÄSTERNORRLANDS LÄN</t>
        </is>
      </c>
      <c r="E1806" t="inlineStr">
        <is>
          <t>SUNDSVALL</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13360-2024</t>
        </is>
      </c>
      <c r="B1807" s="1" t="n">
        <v>45387.35157407408</v>
      </c>
      <c r="C1807" s="1" t="n">
        <v>46165</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48752-2023</t>
        </is>
      </c>
      <c r="B1808" s="1" t="n">
        <v>45208.89585648148</v>
      </c>
      <c r="C1808" s="1" t="n">
        <v>46165</v>
      </c>
      <c r="D1808" t="inlineStr">
        <is>
          <t>VÄSTERNORRLANDS LÄN</t>
        </is>
      </c>
      <c r="E1808" t="inlineStr">
        <is>
          <t>SUNDSVALL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52334-2022</t>
        </is>
      </c>
      <c r="B1809" s="1" t="n">
        <v>44873</v>
      </c>
      <c r="C1809" s="1" t="n">
        <v>46165</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14537-2024</t>
        </is>
      </c>
      <c r="B1810" s="1" t="n">
        <v>45394</v>
      </c>
      <c r="C1810" s="1" t="n">
        <v>46165</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58991-2024</t>
        </is>
      </c>
      <c r="B1811" s="1" t="n">
        <v>45636.63574074074</v>
      </c>
      <c r="C1811" s="1" t="n">
        <v>46165</v>
      </c>
      <c r="D1811" t="inlineStr">
        <is>
          <t>VÄSTERNORRLANDS LÄN</t>
        </is>
      </c>
      <c r="E1811" t="inlineStr">
        <is>
          <t>SUNDSVALL</t>
        </is>
      </c>
      <c r="F1811" t="inlineStr">
        <is>
          <t>SCA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8531-2025</t>
        </is>
      </c>
      <c r="B1812" s="1" t="n">
        <v>45709.5850462963</v>
      </c>
      <c r="C1812" s="1" t="n">
        <v>46165</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12661-2026</t>
        </is>
      </c>
      <c r="B1813" s="1" t="n">
        <v>46091.50719907408</v>
      </c>
      <c r="C1813" s="1" t="n">
        <v>46165</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38864-2024</t>
        </is>
      </c>
      <c r="B1814" s="1" t="n">
        <v>45547.63525462963</v>
      </c>
      <c r="C1814" s="1" t="n">
        <v>46165</v>
      </c>
      <c r="D1814" t="inlineStr">
        <is>
          <t>VÄSTERNORRLANDS LÄN</t>
        </is>
      </c>
      <c r="E1814" t="inlineStr">
        <is>
          <t>SUNDSVALL</t>
        </is>
      </c>
      <c r="F1814" t="inlineStr">
        <is>
          <t>Holmen skog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12918-2026</t>
        </is>
      </c>
      <c r="B1815" s="1" t="n">
        <v>46092.59415509259</v>
      </c>
      <c r="C1815" s="1" t="n">
        <v>46165</v>
      </c>
      <c r="D1815" t="inlineStr">
        <is>
          <t>VÄSTERNORRLANDS LÄN</t>
        </is>
      </c>
      <c r="E1815" t="inlineStr">
        <is>
          <t>SUNDSVALL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40319-2024</t>
        </is>
      </c>
      <c r="B1816" s="1" t="n">
        <v>45554.80418981481</v>
      </c>
      <c r="C1816" s="1" t="n">
        <v>46165</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25022-2024</t>
        </is>
      </c>
      <c r="B1817" s="1" t="n">
        <v>45461.9628125</v>
      </c>
      <c r="C1817" s="1" t="n">
        <v>46165</v>
      </c>
      <c r="D1817" t="inlineStr">
        <is>
          <t>VÄSTERNORRLANDS LÄN</t>
        </is>
      </c>
      <c r="E1817" t="inlineStr">
        <is>
          <t>SUNDSVALL</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13190-2026</t>
        </is>
      </c>
      <c r="B1818" s="1" t="n">
        <v>46093</v>
      </c>
      <c r="C1818" s="1" t="n">
        <v>46165</v>
      </c>
      <c r="D1818" t="inlineStr">
        <is>
          <t>VÄSTERNORRLANDS LÄN</t>
        </is>
      </c>
      <c r="E1818" t="inlineStr">
        <is>
          <t>SUNDSVALL</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26427-2025</t>
        </is>
      </c>
      <c r="B1819" s="1" t="n">
        <v>45807</v>
      </c>
      <c r="C1819" s="1" t="n">
        <v>46165</v>
      </c>
      <c r="D1819" t="inlineStr">
        <is>
          <t>VÄSTERNORRLANDS LÄN</t>
        </is>
      </c>
      <c r="E1819" t="inlineStr">
        <is>
          <t>SUNDSVALL</t>
        </is>
      </c>
      <c r="F1819" t="inlineStr">
        <is>
          <t>Naturvårdsverket</t>
        </is>
      </c>
      <c r="G1819" t="n">
        <v>16.6</v>
      </c>
      <c r="H1819" t="n">
        <v>0</v>
      </c>
      <c r="I1819" t="n">
        <v>0</v>
      </c>
      <c r="J1819" t="n">
        <v>0</v>
      </c>
      <c r="K1819" t="n">
        <v>0</v>
      </c>
      <c r="L1819" t="n">
        <v>0</v>
      </c>
      <c r="M1819" t="n">
        <v>0</v>
      </c>
      <c r="N1819" t="n">
        <v>0</v>
      </c>
      <c r="O1819" t="n">
        <v>0</v>
      </c>
      <c r="P1819" t="n">
        <v>0</v>
      </c>
      <c r="Q1819" t="n">
        <v>0</v>
      </c>
      <c r="R1819" s="2" t="inlineStr"/>
    </row>
    <row r="1820" ht="15" customHeight="1">
      <c r="A1820" t="inlineStr">
        <is>
          <t>A 39754-2024</t>
        </is>
      </c>
      <c r="B1820" s="1" t="n">
        <v>45552.67739583334</v>
      </c>
      <c r="C1820" s="1" t="n">
        <v>46165</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19874-2026</t>
        </is>
      </c>
      <c r="B1821" s="1" t="n">
        <v>46135.65681712963</v>
      </c>
      <c r="C1821" s="1" t="n">
        <v>46165</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20044-2026</t>
        </is>
      </c>
      <c r="B1822" s="1" t="n">
        <v>46136.56400462963</v>
      </c>
      <c r="C1822" s="1" t="n">
        <v>46165</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41600-2023</t>
        </is>
      </c>
      <c r="B1823" s="1" t="n">
        <v>45175</v>
      </c>
      <c r="C1823" s="1" t="n">
        <v>46165</v>
      </c>
      <c r="D1823" t="inlineStr">
        <is>
          <t>VÄSTERNORRLANDS LÄN</t>
        </is>
      </c>
      <c r="E1823" t="inlineStr">
        <is>
          <t>SUNDSVALL</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13082-2026</t>
        </is>
      </c>
      <c r="B1824" s="1" t="n">
        <v>46093.38628472222</v>
      </c>
      <c r="C1824" s="1" t="n">
        <v>46165</v>
      </c>
      <c r="D1824" t="inlineStr">
        <is>
          <t>VÄSTERNORRLANDS LÄN</t>
        </is>
      </c>
      <c r="E1824" t="inlineStr">
        <is>
          <t>SUNDSVALL</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58290-2022</t>
        </is>
      </c>
      <c r="B1825" s="1" t="n">
        <v>44901.50284722223</v>
      </c>
      <c r="C1825" s="1" t="n">
        <v>46165</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13189-2026</t>
        </is>
      </c>
      <c r="B1826" s="1" t="n">
        <v>46093</v>
      </c>
      <c r="C1826" s="1" t="n">
        <v>46165</v>
      </c>
      <c r="D1826" t="inlineStr">
        <is>
          <t>VÄSTERNORRLANDS LÄN</t>
        </is>
      </c>
      <c r="E1826" t="inlineStr">
        <is>
          <t>SUNDSVALL</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13081-2026</t>
        </is>
      </c>
      <c r="B1827" s="1" t="n">
        <v>46093.38622685185</v>
      </c>
      <c r="C1827" s="1" t="n">
        <v>46165</v>
      </c>
      <c r="D1827" t="inlineStr">
        <is>
          <t>VÄSTERNORRLANDS LÄN</t>
        </is>
      </c>
      <c r="E1827" t="inlineStr">
        <is>
          <t>SUNDSVALL</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13524-2026</t>
        </is>
      </c>
      <c r="B1828" s="1" t="n">
        <v>46094.63592592593</v>
      </c>
      <c r="C1828" s="1" t="n">
        <v>46165</v>
      </c>
      <c r="D1828" t="inlineStr">
        <is>
          <t>VÄSTERNORRLANDS LÄN</t>
        </is>
      </c>
      <c r="E1828" t="inlineStr">
        <is>
          <t>SUNDSVALL</t>
        </is>
      </c>
      <c r="F1828" t="inlineStr">
        <is>
          <t>SCA</t>
        </is>
      </c>
      <c r="G1828" t="n">
        <v>25.6</v>
      </c>
      <c r="H1828" t="n">
        <v>0</v>
      </c>
      <c r="I1828" t="n">
        <v>0</v>
      </c>
      <c r="J1828" t="n">
        <v>0</v>
      </c>
      <c r="K1828" t="n">
        <v>0</v>
      </c>
      <c r="L1828" t="n">
        <v>0</v>
      </c>
      <c r="M1828" t="n">
        <v>0</v>
      </c>
      <c r="N1828" t="n">
        <v>0</v>
      </c>
      <c r="O1828" t="n">
        <v>0</v>
      </c>
      <c r="P1828" t="n">
        <v>0</v>
      </c>
      <c r="Q1828" t="n">
        <v>0</v>
      </c>
      <c r="R1828" s="2" t="inlineStr"/>
    </row>
    <row r="1829" ht="15" customHeight="1">
      <c r="A1829" t="inlineStr">
        <is>
          <t>A 19629-2026</t>
        </is>
      </c>
      <c r="B1829" s="1" t="n">
        <v>46134.55251157407</v>
      </c>
      <c r="C1829" s="1" t="n">
        <v>46165</v>
      </c>
      <c r="D1829" t="inlineStr">
        <is>
          <t>VÄSTERNORRLANDS LÄN</t>
        </is>
      </c>
      <c r="E1829" t="inlineStr">
        <is>
          <t>SUNDSVALL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20120-2026</t>
        </is>
      </c>
      <c r="B1830" s="1" t="n">
        <v>46136.65740740741</v>
      </c>
      <c r="C1830" s="1" t="n">
        <v>46165</v>
      </c>
      <c r="D1830" t="inlineStr">
        <is>
          <t>VÄSTERNORRLANDS LÄN</t>
        </is>
      </c>
      <c r="E1830" t="inlineStr">
        <is>
          <t>SUNDSVALL</t>
        </is>
      </c>
      <c r="F1830" t="inlineStr">
        <is>
          <t>SCA</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13186-2026</t>
        </is>
      </c>
      <c r="B1831" s="1" t="n">
        <v>46093.5943287037</v>
      </c>
      <c r="C1831" s="1" t="n">
        <v>46165</v>
      </c>
      <c r="D1831" t="inlineStr">
        <is>
          <t>VÄSTERNORRLANDS LÄN</t>
        </is>
      </c>
      <c r="E1831" t="inlineStr">
        <is>
          <t>SUNDSVALL</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13191-2026</t>
        </is>
      </c>
      <c r="B1832" s="1" t="n">
        <v>46093.59491898148</v>
      </c>
      <c r="C1832" s="1" t="n">
        <v>46165</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13266-2026</t>
        </is>
      </c>
      <c r="B1833" s="1" t="n">
        <v>46093.68486111111</v>
      </c>
      <c r="C1833" s="1" t="n">
        <v>46165</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13094-2026</t>
        </is>
      </c>
      <c r="B1834" s="1" t="n">
        <v>46093.40708333333</v>
      </c>
      <c r="C1834" s="1" t="n">
        <v>46165</v>
      </c>
      <c r="D1834" t="inlineStr">
        <is>
          <t>VÄSTERNORRLANDS LÄN</t>
        </is>
      </c>
      <c r="E1834" t="inlineStr">
        <is>
          <t>SUNDSVALL</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13187-2026</t>
        </is>
      </c>
      <c r="B1835" s="1" t="n">
        <v>46093.59449074074</v>
      </c>
      <c r="C1835" s="1" t="n">
        <v>46165</v>
      </c>
      <c r="D1835" t="inlineStr">
        <is>
          <t>VÄSTERNORRLANDS LÄN</t>
        </is>
      </c>
      <c r="E1835" t="inlineStr">
        <is>
          <t>SUNDSVALL</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19988-2026</t>
        </is>
      </c>
      <c r="B1836" s="1" t="n">
        <v>46136.45504629629</v>
      </c>
      <c r="C1836" s="1" t="n">
        <v>46165</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20131-2026</t>
        </is>
      </c>
      <c r="B1837" s="1" t="n">
        <v>46136.69837962963</v>
      </c>
      <c r="C1837" s="1" t="n">
        <v>46165</v>
      </c>
      <c r="D1837" t="inlineStr">
        <is>
          <t>VÄSTERNORRLANDS LÄN</t>
        </is>
      </c>
      <c r="E1837" t="inlineStr">
        <is>
          <t>SUNDSVALL</t>
        </is>
      </c>
      <c r="F1837" t="inlineStr">
        <is>
          <t>SCA</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19964-2026</t>
        </is>
      </c>
      <c r="B1838" s="1" t="n">
        <v>46136.42302083333</v>
      </c>
      <c r="C1838" s="1" t="n">
        <v>46165</v>
      </c>
      <c r="D1838" t="inlineStr">
        <is>
          <t>VÄSTERNORRLANDS LÄN</t>
        </is>
      </c>
      <c r="E1838" t="inlineStr">
        <is>
          <t>SUNDSVALL</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20079-2026</t>
        </is>
      </c>
      <c r="B1839" s="1" t="n">
        <v>46136.60990740741</v>
      </c>
      <c r="C1839" s="1" t="n">
        <v>46165</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20091-2026</t>
        </is>
      </c>
      <c r="B1840" s="1" t="n">
        <v>46136.62364583334</v>
      </c>
      <c r="C1840" s="1" t="n">
        <v>46165</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19963-2026</t>
        </is>
      </c>
      <c r="B1841" s="1" t="n">
        <v>46136.42127314815</v>
      </c>
      <c r="C1841" s="1" t="n">
        <v>46165</v>
      </c>
      <c r="D1841" t="inlineStr">
        <is>
          <t>VÄSTERNORRLANDS LÄN</t>
        </is>
      </c>
      <c r="E1841" t="inlineStr">
        <is>
          <t>SUNDSVALL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20025-2026</t>
        </is>
      </c>
      <c r="B1842" s="1" t="n">
        <v>46136.54762731482</v>
      </c>
      <c r="C1842" s="1" t="n">
        <v>46165</v>
      </c>
      <c r="D1842" t="inlineStr">
        <is>
          <t>VÄSTERNORRLANDS LÄN</t>
        </is>
      </c>
      <c r="E1842" t="inlineStr">
        <is>
          <t>SUNDSVALL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19890-2026</t>
        </is>
      </c>
      <c r="B1843" s="1" t="n">
        <v>46135.69828703703</v>
      </c>
      <c r="C1843" s="1" t="n">
        <v>46165</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19497-2026</t>
        </is>
      </c>
      <c r="B1844" s="1" t="n">
        <v>46134</v>
      </c>
      <c r="C1844" s="1" t="n">
        <v>46165</v>
      </c>
      <c r="D1844" t="inlineStr">
        <is>
          <t>VÄSTERNORRLANDS LÄN</t>
        </is>
      </c>
      <c r="E1844" t="inlineStr">
        <is>
          <t>SUNDSVALL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13141-2026</t>
        </is>
      </c>
      <c r="B1845" s="1" t="n">
        <v>46093.51096064815</v>
      </c>
      <c r="C1845" s="1" t="n">
        <v>46165</v>
      </c>
      <c r="D1845" t="inlineStr">
        <is>
          <t>VÄSTERNORRLANDS LÄN</t>
        </is>
      </c>
      <c r="E1845" t="inlineStr">
        <is>
          <t>SUNDSVALL</t>
        </is>
      </c>
      <c r="F1845" t="inlineStr">
        <is>
          <t>SCA</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19953-2026</t>
        </is>
      </c>
      <c r="B1846" s="1" t="n">
        <v>46136.40700231482</v>
      </c>
      <c r="C1846" s="1" t="n">
        <v>46165</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19764-2026</t>
        </is>
      </c>
      <c r="B1847" s="1" t="n">
        <v>46135.42778935185</v>
      </c>
      <c r="C1847" s="1" t="n">
        <v>46165</v>
      </c>
      <c r="D1847" t="inlineStr">
        <is>
          <t>VÄSTERNORRLANDS LÄN</t>
        </is>
      </c>
      <c r="E1847" t="inlineStr">
        <is>
          <t>SUNDSVALL</t>
        </is>
      </c>
      <c r="F1847" t="inlineStr">
        <is>
          <t>SCA</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8708-2025</t>
        </is>
      </c>
      <c r="B1848" s="1" t="n">
        <v>45712.490625</v>
      </c>
      <c r="C1848" s="1" t="n">
        <v>46165</v>
      </c>
      <c r="D1848" t="inlineStr">
        <is>
          <t>VÄSTERNORRLANDS LÄN</t>
        </is>
      </c>
      <c r="E1848" t="inlineStr">
        <is>
          <t>SUNDSVALL</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73979-2021</t>
        </is>
      </c>
      <c r="B1849" s="1" t="n">
        <v>44554</v>
      </c>
      <c r="C1849" s="1" t="n">
        <v>46165</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46097.67768518518</v>
      </c>
      <c r="C1850" s="1" t="n">
        <v>46165</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13821-2026</t>
        </is>
      </c>
      <c r="B1851" s="1" t="n">
        <v>46098</v>
      </c>
      <c r="C1851" s="1" t="n">
        <v>46165</v>
      </c>
      <c r="D1851" t="inlineStr">
        <is>
          <t>VÄSTERNORRLANDS LÄN</t>
        </is>
      </c>
      <c r="E1851" t="inlineStr">
        <is>
          <t>SUNDSVALL</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13743-2026</t>
        </is>
      </c>
      <c r="B1852" s="1" t="n">
        <v>46097.63630787037</v>
      </c>
      <c r="C1852" s="1" t="n">
        <v>46165</v>
      </c>
      <c r="D1852" t="inlineStr">
        <is>
          <t>VÄSTERNORRLANDS LÄN</t>
        </is>
      </c>
      <c r="E1852" t="inlineStr">
        <is>
          <t>SUNDSVALL</t>
        </is>
      </c>
      <c r="F1852" t="inlineStr">
        <is>
          <t>SCA</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13750-2026</t>
        </is>
      </c>
      <c r="B1853" s="1" t="n">
        <v>46097.6372337963</v>
      </c>
      <c r="C1853" s="1" t="n">
        <v>46165</v>
      </c>
      <c r="D1853" t="inlineStr">
        <is>
          <t>VÄSTERNORRLANDS LÄN</t>
        </is>
      </c>
      <c r="E1853" t="inlineStr">
        <is>
          <t>SUNDSVALL</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13919-2026</t>
        </is>
      </c>
      <c r="B1854" s="1" t="n">
        <v>46098.49012731481</v>
      </c>
      <c r="C1854" s="1" t="n">
        <v>46165</v>
      </c>
      <c r="D1854" t="inlineStr">
        <is>
          <t>VÄSTERNORRLANDS LÄN</t>
        </is>
      </c>
      <c r="E1854" t="inlineStr">
        <is>
          <t>SUNDSVALL</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64318-2023</t>
        </is>
      </c>
      <c r="B1855" s="1" t="n">
        <v>45279</v>
      </c>
      <c r="C1855" s="1" t="n">
        <v>46165</v>
      </c>
      <c r="D1855" t="inlineStr">
        <is>
          <t>VÄSTERNORRLANDS LÄN</t>
        </is>
      </c>
      <c r="E1855" t="inlineStr">
        <is>
          <t>SUNDSVALL</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13742-2026</t>
        </is>
      </c>
      <c r="B1856" s="1" t="n">
        <v>46097.63606481482</v>
      </c>
      <c r="C1856" s="1" t="n">
        <v>46165</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13749-2026</t>
        </is>
      </c>
      <c r="B1857" s="1" t="n">
        <v>46097.63704861111</v>
      </c>
      <c r="C1857" s="1" t="n">
        <v>46165</v>
      </c>
      <c r="D1857" t="inlineStr">
        <is>
          <t>VÄSTERNORRLANDS LÄN</t>
        </is>
      </c>
      <c r="E1857" t="inlineStr">
        <is>
          <t>SUNDSVALL</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13754-2026</t>
        </is>
      </c>
      <c r="B1858" s="1" t="n">
        <v>46097.63789351852</v>
      </c>
      <c r="C1858" s="1" t="n">
        <v>46165</v>
      </c>
      <c r="D1858" t="inlineStr">
        <is>
          <t>VÄSTERNORRLANDS LÄN</t>
        </is>
      </c>
      <c r="E1858" t="inlineStr">
        <is>
          <t>SUNDSVALL</t>
        </is>
      </c>
      <c r="F1858" t="inlineStr">
        <is>
          <t>SCA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46098.42510416666</v>
      </c>
      <c r="C1859" s="1" t="n">
        <v>46165</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13846-2026</t>
        </is>
      </c>
      <c r="B1860" s="1" t="n">
        <v>46098.38611111111</v>
      </c>
      <c r="C1860" s="1" t="n">
        <v>46165</v>
      </c>
      <c r="D1860" t="inlineStr">
        <is>
          <t>VÄSTERNORRLANDS LÄN</t>
        </is>
      </c>
      <c r="E1860" t="inlineStr">
        <is>
          <t>SUNDSVALL</t>
        </is>
      </c>
      <c r="F1860" t="inlineStr">
        <is>
          <t>SCA</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13989-2026</t>
        </is>
      </c>
      <c r="B1861" s="1" t="n">
        <v>46098.61503472222</v>
      </c>
      <c r="C1861" s="1" t="n">
        <v>46165</v>
      </c>
      <c r="D1861" t="inlineStr">
        <is>
          <t>VÄSTERNORRLANDS LÄN</t>
        </is>
      </c>
      <c r="E1861" t="inlineStr">
        <is>
          <t>SUNDSVALL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36874-2023</t>
        </is>
      </c>
      <c r="B1862" s="1" t="n">
        <v>45154</v>
      </c>
      <c r="C1862" s="1" t="n">
        <v>46165</v>
      </c>
      <c r="D1862" t="inlineStr">
        <is>
          <t>VÄSTERNORRLANDS LÄN</t>
        </is>
      </c>
      <c r="E1862" t="inlineStr">
        <is>
          <t>SUNDSVALL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13920-2026</t>
        </is>
      </c>
      <c r="B1863" s="1" t="n">
        <v>46098.4903125</v>
      </c>
      <c r="C1863" s="1" t="n">
        <v>46165</v>
      </c>
      <c r="D1863" t="inlineStr">
        <is>
          <t>VÄSTERNORRLANDS LÄN</t>
        </is>
      </c>
      <c r="E1863" t="inlineStr">
        <is>
          <t>SUNDSVALL</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13744-2026</t>
        </is>
      </c>
      <c r="B1864" s="1" t="n">
        <v>46097.63645833333</v>
      </c>
      <c r="C1864" s="1" t="n">
        <v>46165</v>
      </c>
      <c r="D1864" t="inlineStr">
        <is>
          <t>VÄSTERNORRLANDS LÄN</t>
        </is>
      </c>
      <c r="E1864" t="inlineStr">
        <is>
          <t>SUNDSVALL</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13745-2026</t>
        </is>
      </c>
      <c r="B1865" s="1" t="n">
        <v>46097.63662037037</v>
      </c>
      <c r="C1865" s="1" t="n">
        <v>46165</v>
      </c>
      <c r="D1865" t="inlineStr">
        <is>
          <t>VÄSTERNORRLANDS LÄN</t>
        </is>
      </c>
      <c r="E1865" t="inlineStr">
        <is>
          <t>SUNDSVALL</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13747-2026</t>
        </is>
      </c>
      <c r="B1866" s="1" t="n">
        <v>46097.63690972222</v>
      </c>
      <c r="C1866" s="1" t="n">
        <v>46165</v>
      </c>
      <c r="D1866" t="inlineStr">
        <is>
          <t>VÄSTERNORRLANDS LÄN</t>
        </is>
      </c>
      <c r="E1866" t="inlineStr">
        <is>
          <t>SUNDSVALL</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13753-2026</t>
        </is>
      </c>
      <c r="B1867" s="1" t="n">
        <v>46097.63773148148</v>
      </c>
      <c r="C1867" s="1" t="n">
        <v>46165</v>
      </c>
      <c r="D1867" t="inlineStr">
        <is>
          <t>VÄSTERNORRLANDS LÄN</t>
        </is>
      </c>
      <c r="E1867" t="inlineStr">
        <is>
          <t>SUNDSVALL</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13923-2026</t>
        </is>
      </c>
      <c r="B1868" s="1" t="n">
        <v>46098.49076388889</v>
      </c>
      <c r="C1868" s="1" t="n">
        <v>46165</v>
      </c>
      <c r="D1868" t="inlineStr">
        <is>
          <t>VÄSTERNORRLANDS LÄN</t>
        </is>
      </c>
      <c r="E1868" t="inlineStr">
        <is>
          <t>SUNDSVALL</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13604-2026</t>
        </is>
      </c>
      <c r="B1869" s="1" t="n">
        <v>46097.32303240741</v>
      </c>
      <c r="C1869" s="1" t="n">
        <v>46165</v>
      </c>
      <c r="D1869" t="inlineStr">
        <is>
          <t>VÄSTERNORRLANDS LÄN</t>
        </is>
      </c>
      <c r="E1869" t="inlineStr">
        <is>
          <t>SUNDSVALL</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2881-2025</t>
        </is>
      </c>
      <c r="B1870" s="1" t="n">
        <v>45677.69859953703</v>
      </c>
      <c r="C1870" s="1" t="n">
        <v>46165</v>
      </c>
      <c r="D1870" t="inlineStr">
        <is>
          <t>VÄSTERNORRLANDS LÄN</t>
        </is>
      </c>
      <c r="E1870" t="inlineStr">
        <is>
          <t>SUNDSVALL</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57455-2023</t>
        </is>
      </c>
      <c r="B1871" s="1" t="n">
        <v>45246</v>
      </c>
      <c r="C1871" s="1" t="n">
        <v>46165</v>
      </c>
      <c r="D1871" t="inlineStr">
        <is>
          <t>VÄSTERNORRLANDS LÄN</t>
        </is>
      </c>
      <c r="E1871" t="inlineStr">
        <is>
          <t>SUNDSVALL</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52898-2024</t>
        </is>
      </c>
      <c r="B1872" s="1" t="n">
        <v>45610.67748842593</v>
      </c>
      <c r="C1872" s="1" t="n">
        <v>46165</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23557-2024</t>
        </is>
      </c>
      <c r="B1873" s="1" t="n">
        <v>45453.95444444445</v>
      </c>
      <c r="C1873" s="1" t="n">
        <v>46165</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20734-2022</t>
        </is>
      </c>
      <c r="B1874" s="1" t="n">
        <v>44700.94622685185</v>
      </c>
      <c r="C1874" s="1" t="n">
        <v>46165</v>
      </c>
      <c r="D1874" t="inlineStr">
        <is>
          <t>VÄSTERNORRLANDS LÄN</t>
        </is>
      </c>
      <c r="E1874" t="inlineStr">
        <is>
          <t>SUNDSVALL</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13922-2026</t>
        </is>
      </c>
      <c r="B1875" s="1" t="n">
        <v>46098.49060185185</v>
      </c>
      <c r="C1875" s="1" t="n">
        <v>46165</v>
      </c>
      <c r="D1875" t="inlineStr">
        <is>
          <t>VÄSTERNORRLANDS LÄN</t>
        </is>
      </c>
      <c r="E1875" t="inlineStr">
        <is>
          <t>SUNDSVALL</t>
        </is>
      </c>
      <c r="F1875" t="inlineStr">
        <is>
          <t>SCA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5721-2024</t>
        </is>
      </c>
      <c r="B1876" s="1" t="n">
        <v>45334</v>
      </c>
      <c r="C1876" s="1" t="n">
        <v>46165</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20795-2026</t>
        </is>
      </c>
      <c r="B1877" s="1" t="n">
        <v>46141.6577662037</v>
      </c>
      <c r="C1877" s="1" t="n">
        <v>46165</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20885-2026</t>
        </is>
      </c>
      <c r="B1878" s="1" t="n">
        <v>46142.42805555555</v>
      </c>
      <c r="C1878" s="1" t="n">
        <v>46165</v>
      </c>
      <c r="D1878" t="inlineStr">
        <is>
          <t>VÄSTERNORRLANDS LÄN</t>
        </is>
      </c>
      <c r="E1878" t="inlineStr">
        <is>
          <t>SUNDSVALL</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20750-2026</t>
        </is>
      </c>
      <c r="B1879" s="1" t="n">
        <v>46141.59427083333</v>
      </c>
      <c r="C1879" s="1" t="n">
        <v>46165</v>
      </c>
      <c r="D1879" t="inlineStr">
        <is>
          <t>VÄSTERNORRLANDS LÄN</t>
        </is>
      </c>
      <c r="E1879" t="inlineStr">
        <is>
          <t>SUNDSVALL</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49862-2023</t>
        </is>
      </c>
      <c r="B1880" s="1" t="n">
        <v>45212</v>
      </c>
      <c r="C1880" s="1" t="n">
        <v>46165</v>
      </c>
      <c r="D1880" t="inlineStr">
        <is>
          <t>VÄSTERNORRLANDS LÄN</t>
        </is>
      </c>
      <c r="E1880" t="inlineStr">
        <is>
          <t>SUNDSVALL</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14390-2026</t>
        </is>
      </c>
      <c r="B1881" s="1" t="n">
        <v>46100.38671296297</v>
      </c>
      <c r="C1881" s="1" t="n">
        <v>46165</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27960-2023</t>
        </is>
      </c>
      <c r="B1882" s="1" t="n">
        <v>45098.68864583333</v>
      </c>
      <c r="C1882" s="1" t="n">
        <v>46165</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28186-2024</t>
        </is>
      </c>
      <c r="B1883" s="1" t="n">
        <v>45477</v>
      </c>
      <c r="C1883" s="1" t="n">
        <v>46165</v>
      </c>
      <c r="D1883" t="inlineStr">
        <is>
          <t>VÄSTERNORRLANDS LÄN</t>
        </is>
      </c>
      <c r="E1883" t="inlineStr">
        <is>
          <t>SUNDSVALL</t>
        </is>
      </c>
      <c r="F1883" t="inlineStr">
        <is>
          <t>Holmen skog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14424-2026</t>
        </is>
      </c>
      <c r="B1884" s="1" t="n">
        <v>46100.46927083333</v>
      </c>
      <c r="C1884" s="1" t="n">
        <v>46165</v>
      </c>
      <c r="D1884" t="inlineStr">
        <is>
          <t>VÄSTERNORRLANDS LÄN</t>
        </is>
      </c>
      <c r="E1884" t="inlineStr">
        <is>
          <t>SUNDSVALL</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63655-2021</t>
        </is>
      </c>
      <c r="B1885" s="1" t="n">
        <v>44508</v>
      </c>
      <c r="C1885" s="1" t="n">
        <v>46165</v>
      </c>
      <c r="D1885" t="inlineStr">
        <is>
          <t>VÄSTERNORRLANDS LÄN</t>
        </is>
      </c>
      <c r="E1885" t="inlineStr">
        <is>
          <t>SUNDSVALL</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63661-2021</t>
        </is>
      </c>
      <c r="B1886" s="1" t="n">
        <v>44508</v>
      </c>
      <c r="C1886" s="1" t="n">
        <v>46165</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52502-2023</t>
        </is>
      </c>
      <c r="B1887" s="1" t="n">
        <v>45225</v>
      </c>
      <c r="C1887" s="1" t="n">
        <v>46165</v>
      </c>
      <c r="D1887" t="inlineStr">
        <is>
          <t>VÄSTERNORRLANDS LÄN</t>
        </is>
      </c>
      <c r="E1887" t="inlineStr">
        <is>
          <t>SUNDSVALL</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57007-2022</t>
        </is>
      </c>
      <c r="B1888" s="1" t="n">
        <v>44894.9578125</v>
      </c>
      <c r="C1888" s="1" t="n">
        <v>46165</v>
      </c>
      <c r="D1888" t="inlineStr">
        <is>
          <t>VÄSTERNORRLANDS LÄN</t>
        </is>
      </c>
      <c r="E1888" t="inlineStr">
        <is>
          <t>SUNDSVALL</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45515-2021</t>
        </is>
      </c>
      <c r="B1889" s="1" t="n">
        <v>44440.58136574074</v>
      </c>
      <c r="C1889" s="1" t="n">
        <v>46165</v>
      </c>
      <c r="D1889" t="inlineStr">
        <is>
          <t>VÄSTERNORRLANDS LÄN</t>
        </is>
      </c>
      <c r="E1889" t="inlineStr">
        <is>
          <t>SUNDSVALL</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37927-2023</t>
        </is>
      </c>
      <c r="B1890" s="1" t="n">
        <v>45160.50259259259</v>
      </c>
      <c r="C1890" s="1" t="n">
        <v>46165</v>
      </c>
      <c r="D1890" t="inlineStr">
        <is>
          <t>VÄSTERNORRLANDS LÄN</t>
        </is>
      </c>
      <c r="E1890" t="inlineStr">
        <is>
          <t>SUNDSVALL</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55528-2022</t>
        </is>
      </c>
      <c r="B1891" s="1" t="n">
        <v>44887</v>
      </c>
      <c r="C1891" s="1" t="n">
        <v>46165</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14067-2026</t>
        </is>
      </c>
      <c r="B1892" s="1" t="n">
        <v>46099.34478009259</v>
      </c>
      <c r="C1892" s="1" t="n">
        <v>46165</v>
      </c>
      <c r="D1892" t="inlineStr">
        <is>
          <t>VÄSTERNORRLANDS LÄN</t>
        </is>
      </c>
      <c r="E1892" t="inlineStr">
        <is>
          <t>SUNDSVALL</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14090-2026</t>
        </is>
      </c>
      <c r="B1893" s="1" t="n">
        <v>46099</v>
      </c>
      <c r="C1893" s="1" t="n">
        <v>46165</v>
      </c>
      <c r="D1893" t="inlineStr">
        <is>
          <t>VÄSTERNORRLANDS LÄN</t>
        </is>
      </c>
      <c r="E1893" t="inlineStr">
        <is>
          <t>SUNDSVALL</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14368-2026</t>
        </is>
      </c>
      <c r="B1894" s="1" t="n">
        <v>46100.3662962963</v>
      </c>
      <c r="C1894" s="1" t="n">
        <v>46165</v>
      </c>
      <c r="D1894" t="inlineStr">
        <is>
          <t>VÄSTERNORRLANDS LÄN</t>
        </is>
      </c>
      <c r="E1894" t="inlineStr">
        <is>
          <t>SUNDSVALL</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14523-2026</t>
        </is>
      </c>
      <c r="B1895" s="1" t="n">
        <v>46100</v>
      </c>
      <c r="C1895" s="1" t="n">
        <v>46165</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20711-2026</t>
        </is>
      </c>
      <c r="B1896" s="1" t="n">
        <v>46141.50186342592</v>
      </c>
      <c r="C1896" s="1" t="n">
        <v>46165</v>
      </c>
      <c r="D1896" t="inlineStr">
        <is>
          <t>VÄSTERNORRLANDS LÄN</t>
        </is>
      </c>
      <c r="E1896" t="inlineStr">
        <is>
          <t>SUNDSVALL</t>
        </is>
      </c>
      <c r="F1896" t="inlineStr">
        <is>
          <t>Kommuner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20727-2026</t>
        </is>
      </c>
      <c r="B1897" s="1" t="n">
        <v>46141.55260416667</v>
      </c>
      <c r="C1897" s="1" t="n">
        <v>46165</v>
      </c>
      <c r="D1897" t="inlineStr">
        <is>
          <t>VÄSTERNORRLANDS LÄN</t>
        </is>
      </c>
      <c r="E1897" t="inlineStr">
        <is>
          <t>SUNDSVALL</t>
        </is>
      </c>
      <c r="F1897" t="inlineStr">
        <is>
          <t>SCA</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14066-2026</t>
        </is>
      </c>
      <c r="B1898" s="1" t="n">
        <v>46099.34472222222</v>
      </c>
      <c r="C1898" s="1" t="n">
        <v>46165</v>
      </c>
      <c r="D1898" t="inlineStr">
        <is>
          <t>VÄSTERNORRLANDS LÄN</t>
        </is>
      </c>
      <c r="E1898" t="inlineStr">
        <is>
          <t>SUNDSVALL</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14273-2026</t>
        </is>
      </c>
      <c r="B1899" s="1" t="n">
        <v>46099.65693287037</v>
      </c>
      <c r="C1899" s="1" t="n">
        <v>46165</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20751-2026</t>
        </is>
      </c>
      <c r="B1900" s="1" t="n">
        <v>46141.59443287037</v>
      </c>
      <c r="C1900" s="1" t="n">
        <v>46165</v>
      </c>
      <c r="D1900" t="inlineStr">
        <is>
          <t>VÄSTERNORRLANDS LÄN</t>
        </is>
      </c>
      <c r="E1900" t="inlineStr">
        <is>
          <t>SUNDSVALL</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13371-2025</t>
        </is>
      </c>
      <c r="B1901" s="1" t="n">
        <v>45735.66290509259</v>
      </c>
      <c r="C1901" s="1" t="n">
        <v>46165</v>
      </c>
      <c r="D1901" t="inlineStr">
        <is>
          <t>VÄSTERNORRLANDS LÄN</t>
        </is>
      </c>
      <c r="E1901" t="inlineStr">
        <is>
          <t>SUNDSVALL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47565-2021</t>
        </is>
      </c>
      <c r="B1902" s="1" t="n">
        <v>44447</v>
      </c>
      <c r="C1902" s="1" t="n">
        <v>46165</v>
      </c>
      <c r="D1902" t="inlineStr">
        <is>
          <t>VÄSTERNORRLANDS LÄN</t>
        </is>
      </c>
      <c r="E1902" t="inlineStr">
        <is>
          <t>SUNDSVALL</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4871-2022</t>
        </is>
      </c>
      <c r="B1903" s="1" t="n">
        <v>44592</v>
      </c>
      <c r="C1903" s="1" t="n">
        <v>46165</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54639-2023</t>
        </is>
      </c>
      <c r="B1904" s="1" t="n">
        <v>45234.92658564815</v>
      </c>
      <c r="C1904" s="1" t="n">
        <v>46165</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39899-2024</t>
        </is>
      </c>
      <c r="B1905" s="1" t="n">
        <v>45553.48993055556</v>
      </c>
      <c r="C1905" s="1" t="n">
        <v>46165</v>
      </c>
      <c r="D1905" t="inlineStr">
        <is>
          <t>VÄSTERNORRLANDS LÄN</t>
        </is>
      </c>
      <c r="E1905" t="inlineStr">
        <is>
          <t>SUNDSVALL</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39900-2024</t>
        </is>
      </c>
      <c r="B1906" s="1" t="n">
        <v>45553.49010416667</v>
      </c>
      <c r="C1906" s="1" t="n">
        <v>46165</v>
      </c>
      <c r="D1906" t="inlineStr">
        <is>
          <t>VÄSTERNORRLANDS LÄN</t>
        </is>
      </c>
      <c r="E1906" t="inlineStr">
        <is>
          <t>SUNDSVALL</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49631-2024</t>
        </is>
      </c>
      <c r="B1907" s="1" t="n">
        <v>45596.59438657408</v>
      </c>
      <c r="C1907" s="1" t="n">
        <v>46165</v>
      </c>
      <c r="D1907" t="inlineStr">
        <is>
          <t>VÄSTERNORRLANDS LÄN</t>
        </is>
      </c>
      <c r="E1907" t="inlineStr">
        <is>
          <t>SUNDSVALL</t>
        </is>
      </c>
      <c r="F1907" t="inlineStr">
        <is>
          <t>Holmen skog AB</t>
        </is>
      </c>
      <c r="G1907" t="n">
        <v>13.3</v>
      </c>
      <c r="H1907" t="n">
        <v>0</v>
      </c>
      <c r="I1907" t="n">
        <v>0</v>
      </c>
      <c r="J1907" t="n">
        <v>0</v>
      </c>
      <c r="K1907" t="n">
        <v>0</v>
      </c>
      <c r="L1907" t="n">
        <v>0</v>
      </c>
      <c r="M1907" t="n">
        <v>0</v>
      </c>
      <c r="N1907" t="n">
        <v>0</v>
      </c>
      <c r="O1907" t="n">
        <v>0</v>
      </c>
      <c r="P1907" t="n">
        <v>0</v>
      </c>
      <c r="Q1907" t="n">
        <v>0</v>
      </c>
      <c r="R1907" s="2" t="inlineStr"/>
    </row>
    <row r="1908" ht="15" customHeight="1">
      <c r="A1908" t="inlineStr">
        <is>
          <t>A 39711-2024</t>
        </is>
      </c>
      <c r="B1908" s="1" t="n">
        <v>45552</v>
      </c>
      <c r="C1908" s="1" t="n">
        <v>46165</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54989-2023</t>
        </is>
      </c>
      <c r="B1909" s="1" t="n">
        <v>45236</v>
      </c>
      <c r="C1909" s="1" t="n">
        <v>46165</v>
      </c>
      <c r="D1909" t="inlineStr">
        <is>
          <t>VÄSTERNORRLANDS LÄN</t>
        </is>
      </c>
      <c r="E1909" t="inlineStr">
        <is>
          <t>SUNDSVALL</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19902-2023</t>
        </is>
      </c>
      <c r="B1910" s="1" t="n">
        <v>45054</v>
      </c>
      <c r="C1910" s="1" t="n">
        <v>46165</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28232-2022</t>
        </is>
      </c>
      <c r="B1911" s="1" t="n">
        <v>44746</v>
      </c>
      <c r="C1911" s="1" t="n">
        <v>46165</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57784-2023</t>
        </is>
      </c>
      <c r="B1912" s="1" t="n">
        <v>45246</v>
      </c>
      <c r="C1912" s="1" t="n">
        <v>46165</v>
      </c>
      <c r="D1912" t="inlineStr">
        <is>
          <t>VÄSTERNORRLANDS LÄN</t>
        </is>
      </c>
      <c r="E1912" t="inlineStr">
        <is>
          <t>SUNDSVALL</t>
        </is>
      </c>
      <c r="F1912" t="inlineStr">
        <is>
          <t>SCA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1398-2025</t>
        </is>
      </c>
      <c r="B1913" s="1" t="n">
        <v>45667</v>
      </c>
      <c r="C1913" s="1" t="n">
        <v>46165</v>
      </c>
      <c r="D1913" t="inlineStr">
        <is>
          <t>VÄSTERNORRLANDS LÄN</t>
        </is>
      </c>
      <c r="E1913" t="inlineStr">
        <is>
          <t>SUNDSVALL</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20708-2026</t>
        </is>
      </c>
      <c r="B1914" s="1" t="n">
        <v>46141.49025462963</v>
      </c>
      <c r="C1914" s="1" t="n">
        <v>46165</v>
      </c>
      <c r="D1914" t="inlineStr">
        <is>
          <t>VÄSTERNORRLANDS LÄN</t>
        </is>
      </c>
      <c r="E1914" t="inlineStr">
        <is>
          <t>SUNDSVALL</t>
        </is>
      </c>
      <c r="F1914" t="inlineStr">
        <is>
          <t>SCA</t>
        </is>
      </c>
      <c r="G1914" t="n">
        <v>19.4</v>
      </c>
      <c r="H1914" t="n">
        <v>0</v>
      </c>
      <c r="I1914" t="n">
        <v>0</v>
      </c>
      <c r="J1914" t="n">
        <v>0</v>
      </c>
      <c r="K1914" t="n">
        <v>0</v>
      </c>
      <c r="L1914" t="n">
        <v>0</v>
      </c>
      <c r="M1914" t="n">
        <v>0</v>
      </c>
      <c r="N1914" t="n">
        <v>0</v>
      </c>
      <c r="O1914" t="n">
        <v>0</v>
      </c>
      <c r="P1914" t="n">
        <v>0</v>
      </c>
      <c r="Q1914" t="n">
        <v>0</v>
      </c>
      <c r="R1914" s="2" t="inlineStr"/>
    </row>
    <row r="1915" ht="15" customHeight="1">
      <c r="A1915" t="inlineStr">
        <is>
          <t>A 7365-2024</t>
        </is>
      </c>
      <c r="B1915" s="1" t="n">
        <v>45345</v>
      </c>
      <c r="C1915" s="1" t="n">
        <v>46165</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63987-2023</t>
        </is>
      </c>
      <c r="B1916" s="1" t="n">
        <v>45278</v>
      </c>
      <c r="C1916" s="1" t="n">
        <v>46165</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63989-2023</t>
        </is>
      </c>
      <c r="B1917" s="1" t="n">
        <v>45278</v>
      </c>
      <c r="C1917" s="1" t="n">
        <v>46165</v>
      </c>
      <c r="D1917" t="inlineStr">
        <is>
          <t>VÄSTERNORRLANDS LÄN</t>
        </is>
      </c>
      <c r="E1917" t="inlineStr">
        <is>
          <t>SUNDSVALL</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55158-2021</t>
        </is>
      </c>
      <c r="B1918" s="1" t="n">
        <v>44474</v>
      </c>
      <c r="C1918" s="1" t="n">
        <v>46165</v>
      </c>
      <c r="D1918" t="inlineStr">
        <is>
          <t>VÄSTERNORRLANDS LÄN</t>
        </is>
      </c>
      <c r="E1918" t="inlineStr">
        <is>
          <t>SUNDSVALL</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14352-2026</t>
        </is>
      </c>
      <c r="B1919" s="1" t="n">
        <v>46100.34490740741</v>
      </c>
      <c r="C1919" s="1" t="n">
        <v>46165</v>
      </c>
      <c r="D1919" t="inlineStr">
        <is>
          <t>VÄSTERNORRLANDS LÄN</t>
        </is>
      </c>
      <c r="E1919" t="inlineStr">
        <is>
          <t>SUNDSVALL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14113-2026</t>
        </is>
      </c>
      <c r="B1920" s="1" t="n">
        <v>46099.4284837963</v>
      </c>
      <c r="C1920" s="1" t="n">
        <v>46165</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19334-2024</t>
        </is>
      </c>
      <c r="B1921" s="1" t="n">
        <v>45428.97018518519</v>
      </c>
      <c r="C1921" s="1" t="n">
        <v>46165</v>
      </c>
      <c r="D1921" t="inlineStr">
        <is>
          <t>VÄSTERNORRLANDS LÄN</t>
        </is>
      </c>
      <c r="E1921" t="inlineStr">
        <is>
          <t>SUNDSVALL</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13234-2024</t>
        </is>
      </c>
      <c r="B1922" s="1" t="n">
        <v>45386</v>
      </c>
      <c r="C1922" s="1" t="n">
        <v>46165</v>
      </c>
      <c r="D1922" t="inlineStr">
        <is>
          <t>VÄSTERNORRLANDS LÄN</t>
        </is>
      </c>
      <c r="E1922" t="inlineStr">
        <is>
          <t>SUNDSVALL</t>
        </is>
      </c>
      <c r="F1922" t="inlineStr">
        <is>
          <t>Kommuner</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22624-2024</t>
        </is>
      </c>
      <c r="B1923" s="1" t="n">
        <v>45447</v>
      </c>
      <c r="C1923" s="1" t="n">
        <v>46165</v>
      </c>
      <c r="D1923" t="inlineStr">
        <is>
          <t>VÄSTERNORRLANDS LÄN</t>
        </is>
      </c>
      <c r="E1923" t="inlineStr">
        <is>
          <t>SUNDSVALL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31204-2023</t>
        </is>
      </c>
      <c r="B1924" s="1" t="n">
        <v>45113.95047453704</v>
      </c>
      <c r="C1924" s="1" t="n">
        <v>46165</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59896-2024</t>
        </is>
      </c>
      <c r="B1925" s="1" t="n">
        <v>45641</v>
      </c>
      <c r="C1925" s="1" t="n">
        <v>46165</v>
      </c>
      <c r="D1925" t="inlineStr">
        <is>
          <t>VÄSTERNORRLANDS LÄN</t>
        </is>
      </c>
      <c r="E1925" t="inlineStr">
        <is>
          <t>SUNDSVALL</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10242-2025</t>
        </is>
      </c>
      <c r="B1926" s="1" t="n">
        <v>45720.34821759259</v>
      </c>
      <c r="C1926" s="1" t="n">
        <v>46165</v>
      </c>
      <c r="D1926" t="inlineStr">
        <is>
          <t>VÄSTERNORRLANDS LÄN</t>
        </is>
      </c>
      <c r="E1926" t="inlineStr">
        <is>
          <t>SUNDSVALL</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14857-2026</t>
        </is>
      </c>
      <c r="B1927" s="1" t="n">
        <v>46104</v>
      </c>
      <c r="C1927" s="1" t="n">
        <v>46165</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14791-2026</t>
        </is>
      </c>
      <c r="B1928" s="1" t="n">
        <v>46101.76064814815</v>
      </c>
      <c r="C1928" s="1" t="n">
        <v>46165</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20073-2025</t>
        </is>
      </c>
      <c r="B1929" s="1" t="n">
        <v>45772.44826388889</v>
      </c>
      <c r="C1929" s="1" t="n">
        <v>46165</v>
      </c>
      <c r="D1929" t="inlineStr">
        <is>
          <t>VÄSTERNORRLANDS LÄN</t>
        </is>
      </c>
      <c r="E1929" t="inlineStr">
        <is>
          <t>SUNDSVALL</t>
        </is>
      </c>
      <c r="F1929" t="inlineStr">
        <is>
          <t>Naturvårdsverket</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20076-2025</t>
        </is>
      </c>
      <c r="B1930" s="1" t="n">
        <v>45772.4487037037</v>
      </c>
      <c r="C1930" s="1" t="n">
        <v>46165</v>
      </c>
      <c r="D1930" t="inlineStr">
        <is>
          <t>VÄSTERNORRLANDS LÄN</t>
        </is>
      </c>
      <c r="E1930" t="inlineStr">
        <is>
          <t>SUNDSVALL</t>
        </is>
      </c>
      <c r="F1930" t="inlineStr">
        <is>
          <t>Naturvårdsverket</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14825-2026</t>
        </is>
      </c>
      <c r="B1931" s="1" t="n">
        <v>46104</v>
      </c>
      <c r="C1931" s="1" t="n">
        <v>46165</v>
      </c>
      <c r="D1931" t="inlineStr">
        <is>
          <t>VÄSTERNORRLANDS LÄN</t>
        </is>
      </c>
      <c r="E1931" t="inlineStr">
        <is>
          <t>SUNDSVALL</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14610-2026</t>
        </is>
      </c>
      <c r="B1932" s="1" t="n">
        <v>46101.36523148148</v>
      </c>
      <c r="C1932" s="1" t="n">
        <v>46165</v>
      </c>
      <c r="D1932" t="inlineStr">
        <is>
          <t>VÄSTERNORRLANDS LÄN</t>
        </is>
      </c>
      <c r="E1932" t="inlineStr">
        <is>
          <t>SUNDSVALL</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13335-2023</t>
        </is>
      </c>
      <c r="B1933" s="1" t="n">
        <v>45005.4337037037</v>
      </c>
      <c r="C1933" s="1" t="n">
        <v>46165</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14826-2026</t>
        </is>
      </c>
      <c r="B1934" s="1" t="n">
        <v>46104</v>
      </c>
      <c r="C1934" s="1" t="n">
        <v>46165</v>
      </c>
      <c r="D1934" t="inlineStr">
        <is>
          <t>VÄSTERNORRLANDS LÄN</t>
        </is>
      </c>
      <c r="E1934" t="inlineStr">
        <is>
          <t>SUNDSVALL</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50013-2024</t>
        </is>
      </c>
      <c r="B1935" s="1" t="n">
        <v>45598.85898148148</v>
      </c>
      <c r="C1935" s="1" t="n">
        <v>46165</v>
      </c>
      <c r="D1935" t="inlineStr">
        <is>
          <t>VÄSTERNORRLANDS LÄN</t>
        </is>
      </c>
      <c r="E1935" t="inlineStr">
        <is>
          <t>SUNDSVALL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15008-2026</t>
        </is>
      </c>
      <c r="B1936" s="1" t="n">
        <v>46104.61503472222</v>
      </c>
      <c r="C1936" s="1" t="n">
        <v>46165</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59440-2021</t>
        </is>
      </c>
      <c r="B1937" s="1" t="n">
        <v>44491</v>
      </c>
      <c r="C1937" s="1" t="n">
        <v>46165</v>
      </c>
      <c r="D1937" t="inlineStr">
        <is>
          <t>VÄSTERNORRLANDS LÄN</t>
        </is>
      </c>
      <c r="E1937" t="inlineStr">
        <is>
          <t>SUNDSVALL</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11724-2025</t>
        </is>
      </c>
      <c r="B1938" s="1" t="n">
        <v>45727.61490740741</v>
      </c>
      <c r="C1938" s="1" t="n">
        <v>46165</v>
      </c>
      <c r="D1938" t="inlineStr">
        <is>
          <t>VÄSTERNORRLANDS LÄN</t>
        </is>
      </c>
      <c r="E1938" t="inlineStr">
        <is>
          <t>SUNDSVALL</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8488-2025</t>
        </is>
      </c>
      <c r="B1939" s="1" t="n">
        <v>45709.50527777777</v>
      </c>
      <c r="C1939" s="1" t="n">
        <v>46165</v>
      </c>
      <c r="D1939" t="inlineStr">
        <is>
          <t>VÄSTERNORRLANDS LÄN</t>
        </is>
      </c>
      <c r="E1939" t="inlineStr">
        <is>
          <t>SUNDSVALL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15780-2024</t>
        </is>
      </c>
      <c r="B1940" s="1" t="n">
        <v>45404</v>
      </c>
      <c r="C1940" s="1" t="n">
        <v>46165</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58652-2023</t>
        </is>
      </c>
      <c r="B1941" s="1" t="n">
        <v>45251.60342592592</v>
      </c>
      <c r="C1941" s="1" t="n">
        <v>46165</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255-2024</t>
        </is>
      </c>
      <c r="B1942" s="1" t="n">
        <v>45294.97679398148</v>
      </c>
      <c r="C1942" s="1" t="n">
        <v>46165</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33044-2023</t>
        </is>
      </c>
      <c r="B1943" s="1" t="n">
        <v>45125</v>
      </c>
      <c r="C1943" s="1" t="n">
        <v>46165</v>
      </c>
      <c r="D1943" t="inlineStr">
        <is>
          <t>VÄSTERNORRLANDS LÄN</t>
        </is>
      </c>
      <c r="E1943" t="inlineStr">
        <is>
          <t>SUNDSVALL</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14942-2026</t>
        </is>
      </c>
      <c r="B1944" s="1" t="n">
        <v>46104</v>
      </c>
      <c r="C1944" s="1" t="n">
        <v>46165</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7612-2025</t>
        </is>
      </c>
      <c r="B1945" s="1" t="n">
        <v>45705.67758101852</v>
      </c>
      <c r="C1945" s="1" t="n">
        <v>46165</v>
      </c>
      <c r="D1945" t="inlineStr">
        <is>
          <t>VÄSTERNORRLANDS LÄN</t>
        </is>
      </c>
      <c r="E1945" t="inlineStr">
        <is>
          <t>SUNDSVALL</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61267-2023</t>
        </is>
      </c>
      <c r="B1946" s="1" t="n">
        <v>45264</v>
      </c>
      <c r="C1946" s="1" t="n">
        <v>46165</v>
      </c>
      <c r="D1946" t="inlineStr">
        <is>
          <t>VÄSTERNORRLANDS LÄN</t>
        </is>
      </c>
      <c r="E1946" t="inlineStr">
        <is>
          <t>SUNDSVALL</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4052-2024</t>
        </is>
      </c>
      <c r="B1947" s="1" t="n">
        <v>45323</v>
      </c>
      <c r="C1947" s="1" t="n">
        <v>46165</v>
      </c>
      <c r="D1947" t="inlineStr">
        <is>
          <t>VÄSTERNORRLANDS LÄN</t>
        </is>
      </c>
      <c r="E1947" t="inlineStr">
        <is>
          <t>SUNDSVALL</t>
        </is>
      </c>
      <c r="F1947" t="inlineStr">
        <is>
          <t>Kommuner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15116-2026</t>
        </is>
      </c>
      <c r="B1948" s="1" t="n">
        <v>46105</v>
      </c>
      <c r="C1948" s="1" t="n">
        <v>46165</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15117-2026</t>
        </is>
      </c>
      <c r="B1949" s="1" t="n">
        <v>46105.3650462963</v>
      </c>
      <c r="C1949" s="1" t="n">
        <v>46165</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21421-2026</t>
        </is>
      </c>
      <c r="B1950" s="1" t="n">
        <v>46148.36518518518</v>
      </c>
      <c r="C1950" s="1" t="n">
        <v>46165</v>
      </c>
      <c r="D1950" t="inlineStr">
        <is>
          <t>VÄSTERNORRLANDS LÄN</t>
        </is>
      </c>
      <c r="E1950" t="inlineStr">
        <is>
          <t>SUNDSVALL</t>
        </is>
      </c>
      <c r="F1950" t="inlineStr">
        <is>
          <t>Naturvårdsverket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249-2024</t>
        </is>
      </c>
      <c r="B1951" s="1" t="n">
        <v>45294</v>
      </c>
      <c r="C1951" s="1" t="n">
        <v>46165</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15354-2026</t>
        </is>
      </c>
      <c r="B1952" s="1" t="n">
        <v>46105.69952546297</v>
      </c>
      <c r="C1952" s="1" t="n">
        <v>46165</v>
      </c>
      <c r="D1952" t="inlineStr">
        <is>
          <t>VÄSTERNORRLANDS LÄN</t>
        </is>
      </c>
      <c r="E1952" t="inlineStr">
        <is>
          <t>SUNDSVALL</t>
        </is>
      </c>
      <c r="F1952" t="inlineStr">
        <is>
          <t>SCA</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33042-2024</t>
        </is>
      </c>
      <c r="B1953" s="1" t="n">
        <v>45517.61229166666</v>
      </c>
      <c r="C1953" s="1" t="n">
        <v>46165</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21283-2026</t>
        </is>
      </c>
      <c r="B1954" s="1" t="n">
        <v>46147.44880787037</v>
      </c>
      <c r="C1954" s="1" t="n">
        <v>46165</v>
      </c>
      <c r="D1954" t="inlineStr">
        <is>
          <t>VÄSTERNORRLANDS LÄN</t>
        </is>
      </c>
      <c r="E1954" t="inlineStr">
        <is>
          <t>SUNDSVALL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1428-2024</t>
        </is>
      </c>
      <c r="B1955" s="1" t="n">
        <v>45303</v>
      </c>
      <c r="C1955" s="1" t="n">
        <v>46165</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34822-2024</t>
        </is>
      </c>
      <c r="B1956" s="1" t="n">
        <v>45526.71462962963</v>
      </c>
      <c r="C1956" s="1" t="n">
        <v>46165</v>
      </c>
      <c r="D1956" t="inlineStr">
        <is>
          <t>VÄSTERNORRLANDS LÄN</t>
        </is>
      </c>
      <c r="E1956" t="inlineStr">
        <is>
          <t>SUNDSVALL</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35389-2024</t>
        </is>
      </c>
      <c r="B1957" s="1" t="n">
        <v>45531.40188657407</v>
      </c>
      <c r="C1957" s="1" t="n">
        <v>46165</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15445-2026</t>
        </is>
      </c>
      <c r="B1958" s="1" t="n">
        <v>46106.40689814815</v>
      </c>
      <c r="C1958" s="1" t="n">
        <v>46165</v>
      </c>
      <c r="D1958" t="inlineStr">
        <is>
          <t>VÄSTERNORRLANDS LÄN</t>
        </is>
      </c>
      <c r="E1958" t="inlineStr">
        <is>
          <t>SUNDSVALL</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20439-2026</t>
        </is>
      </c>
      <c r="B1959" s="1" t="n">
        <v>46140</v>
      </c>
      <c r="C1959" s="1" t="n">
        <v>46165</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18522-2025</t>
        </is>
      </c>
      <c r="B1960" s="1" t="n">
        <v>45763.39638888889</v>
      </c>
      <c r="C1960" s="1" t="n">
        <v>46165</v>
      </c>
      <c r="D1960" t="inlineStr">
        <is>
          <t>VÄSTERNORRLANDS LÄN</t>
        </is>
      </c>
      <c r="E1960" t="inlineStr">
        <is>
          <t>SUNDSVALL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21259-2026</t>
        </is>
      </c>
      <c r="B1961" s="1" t="n">
        <v>46147.39489583333</v>
      </c>
      <c r="C1961" s="1" t="n">
        <v>46165</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26436-2022</t>
        </is>
      </c>
      <c r="B1962" s="1" t="n">
        <v>44736.93907407407</v>
      </c>
      <c r="C1962" s="1" t="n">
        <v>46165</v>
      </c>
      <c r="D1962" t="inlineStr">
        <is>
          <t>VÄSTERNORRLANDS LÄN</t>
        </is>
      </c>
      <c r="E1962" t="inlineStr">
        <is>
          <t>SUNDSVALL</t>
        </is>
      </c>
      <c r="F1962" t="inlineStr">
        <is>
          <t>Naturvårdsverket</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15544-2026</t>
        </is>
      </c>
      <c r="B1963" s="1" t="n">
        <v>46106.52372685185</v>
      </c>
      <c r="C1963" s="1" t="n">
        <v>46165</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15546-2026</t>
        </is>
      </c>
      <c r="B1964" s="1" t="n">
        <v>46106.52609953703</v>
      </c>
      <c r="C1964" s="1" t="n">
        <v>46165</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15287-2026</t>
        </is>
      </c>
      <c r="B1965" s="1" t="n">
        <v>46105.62003472223</v>
      </c>
      <c r="C1965" s="1" t="n">
        <v>46165</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15426-2026</t>
        </is>
      </c>
      <c r="B1966" s="1" t="n">
        <v>46106.38596064815</v>
      </c>
      <c r="C1966" s="1" t="n">
        <v>46165</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18859-2024</t>
        </is>
      </c>
      <c r="B1967" s="1" t="n">
        <v>45426</v>
      </c>
      <c r="C1967" s="1" t="n">
        <v>46165</v>
      </c>
      <c r="D1967" t="inlineStr">
        <is>
          <t>VÄSTERNORRLANDS LÄN</t>
        </is>
      </c>
      <c r="E1967" t="inlineStr">
        <is>
          <t>SUNDSVALL</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21016-2026</t>
        </is>
      </c>
      <c r="B1968" s="1" t="n">
        <v>46143</v>
      </c>
      <c r="C1968" s="1" t="n">
        <v>46165</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20694-2026</t>
        </is>
      </c>
      <c r="B1969" s="1" t="n">
        <v>46141</v>
      </c>
      <c r="C1969" s="1" t="n">
        <v>46165</v>
      </c>
      <c r="D1969" t="inlineStr">
        <is>
          <t>VÄSTERNORRLANDS LÄN</t>
        </is>
      </c>
      <c r="E1969" t="inlineStr">
        <is>
          <t>SUNDSVALL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21383-2026</t>
        </is>
      </c>
      <c r="B1970" s="1" t="n">
        <v>46147.70134259259</v>
      </c>
      <c r="C1970" s="1" t="n">
        <v>46165</v>
      </c>
      <c r="D1970" t="inlineStr">
        <is>
          <t>VÄSTERNORRLANDS LÄN</t>
        </is>
      </c>
      <c r="E1970" t="inlineStr">
        <is>
          <t>SUNDSVALL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21282-2026</t>
        </is>
      </c>
      <c r="B1971" s="1" t="n">
        <v>46147.44866898148</v>
      </c>
      <c r="C1971" s="1" t="n">
        <v>46165</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61995-2024</t>
        </is>
      </c>
      <c r="B1972" s="1" t="n">
        <v>45653.73643518519</v>
      </c>
      <c r="C1972" s="1" t="n">
        <v>46165</v>
      </c>
      <c r="D1972" t="inlineStr">
        <is>
          <t>VÄSTERNORRLANDS LÄN</t>
        </is>
      </c>
      <c r="E1972" t="inlineStr">
        <is>
          <t>SUNDSVALL</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46735-2022</t>
        </is>
      </c>
      <c r="B1973" s="1" t="n">
        <v>44851</v>
      </c>
      <c r="C1973" s="1" t="n">
        <v>46165</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15348-2026</t>
        </is>
      </c>
      <c r="B1974" s="1" t="n">
        <v>46105.6984837963</v>
      </c>
      <c r="C1974" s="1" t="n">
        <v>46165</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14040-2024</t>
        </is>
      </c>
      <c r="B1975" s="1" t="n">
        <v>45392.53799768518</v>
      </c>
      <c r="C1975" s="1" t="n">
        <v>46165</v>
      </c>
      <c r="D1975" t="inlineStr">
        <is>
          <t>VÄSTERNORRLANDS LÄN</t>
        </is>
      </c>
      <c r="E1975" t="inlineStr">
        <is>
          <t>SUNDSVALL</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15464-2026</t>
        </is>
      </c>
      <c r="B1976" s="1" t="n">
        <v>46106.42756944444</v>
      </c>
      <c r="C1976" s="1" t="n">
        <v>46165</v>
      </c>
      <c r="D1976" t="inlineStr">
        <is>
          <t>VÄSTERNORRLANDS LÄN</t>
        </is>
      </c>
      <c r="E1976" t="inlineStr">
        <is>
          <t>SUNDSVALL</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26674-2022</t>
        </is>
      </c>
      <c r="B1977" s="1" t="n">
        <v>44739</v>
      </c>
      <c r="C1977" s="1" t="n">
        <v>46165</v>
      </c>
      <c r="D1977" t="inlineStr">
        <is>
          <t>VÄSTERNORRLANDS LÄN</t>
        </is>
      </c>
      <c r="E1977" t="inlineStr">
        <is>
          <t>SUNDSVALL</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30944-2024</t>
        </is>
      </c>
      <c r="B1978" s="1" t="n">
        <v>45499.35756944444</v>
      </c>
      <c r="C1978" s="1" t="n">
        <v>46165</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15269-2026</t>
        </is>
      </c>
      <c r="B1979" s="1" t="n">
        <v>46105.59862268518</v>
      </c>
      <c r="C1979" s="1" t="n">
        <v>46165</v>
      </c>
      <c r="D1979" t="inlineStr">
        <is>
          <t>VÄSTERNORRLANDS LÄN</t>
        </is>
      </c>
      <c r="E1979" t="inlineStr">
        <is>
          <t>SUNDSVALL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10201-2024</t>
        </is>
      </c>
      <c r="B1980" s="1" t="n">
        <v>45364.92842592593</v>
      </c>
      <c r="C1980" s="1" t="n">
        <v>46165</v>
      </c>
      <c r="D1980" t="inlineStr">
        <is>
          <t>VÄSTERNORRLANDS LÄN</t>
        </is>
      </c>
      <c r="E1980" t="inlineStr">
        <is>
          <t>SUNDSVALL</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15186-2026</t>
        </is>
      </c>
      <c r="B1981" s="1" t="n">
        <v>46105</v>
      </c>
      <c r="C1981" s="1" t="n">
        <v>46165</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15196-2026</t>
        </is>
      </c>
      <c r="B1982" s="1" t="n">
        <v>46105</v>
      </c>
      <c r="C1982" s="1" t="n">
        <v>46165</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21395-2026</t>
        </is>
      </c>
      <c r="B1983" s="1" t="n">
        <v>46148.29836805556</v>
      </c>
      <c r="C1983" s="1" t="n">
        <v>46165</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51768-2021</t>
        </is>
      </c>
      <c r="B1984" s="1" t="n">
        <v>44462</v>
      </c>
      <c r="C1984" s="1" t="n">
        <v>46165</v>
      </c>
      <c r="D1984" t="inlineStr">
        <is>
          <t>VÄSTERNORRLANDS LÄN</t>
        </is>
      </c>
      <c r="E1984" t="inlineStr">
        <is>
          <t>SUNDSVALL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11414-2024</t>
        </is>
      </c>
      <c r="B1985" s="1" t="n">
        <v>45372.47179398148</v>
      </c>
      <c r="C1985" s="1" t="n">
        <v>46165</v>
      </c>
      <c r="D1985" t="inlineStr">
        <is>
          <t>VÄSTERNORRLANDS LÄN</t>
        </is>
      </c>
      <c r="E1985" t="inlineStr">
        <is>
          <t>SUNDSVALL</t>
        </is>
      </c>
      <c r="F1985" t="inlineStr">
        <is>
          <t>Kommuner</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21297-2026</t>
        </is>
      </c>
      <c r="B1986" s="1" t="n">
        <v>46147.49040509259</v>
      </c>
      <c r="C1986" s="1" t="n">
        <v>46165</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10178-2026</t>
        </is>
      </c>
      <c r="B1987" s="1" t="n">
        <v>46076</v>
      </c>
      <c r="C1987" s="1" t="n">
        <v>46165</v>
      </c>
      <c r="D1987" t="inlineStr">
        <is>
          <t>VÄSTERNORRLANDS LÄN</t>
        </is>
      </c>
      <c r="E1987" t="inlineStr">
        <is>
          <t>SUNDSVALL</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15271-2026</t>
        </is>
      </c>
      <c r="B1988" s="1" t="n">
        <v>46105.5997337963</v>
      </c>
      <c r="C1988" s="1" t="n">
        <v>46165</v>
      </c>
      <c r="D1988" t="inlineStr">
        <is>
          <t>VÄSTERNORRLANDS LÄN</t>
        </is>
      </c>
      <c r="E1988" t="inlineStr">
        <is>
          <t>SUNDSVALL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15273-2026</t>
        </is>
      </c>
      <c r="B1989" s="1" t="n">
        <v>46105.60079861111</v>
      </c>
      <c r="C1989" s="1" t="n">
        <v>46165</v>
      </c>
      <c r="D1989" t="inlineStr">
        <is>
          <t>VÄSTERNORRLANDS LÄN</t>
        </is>
      </c>
      <c r="E1989" t="inlineStr">
        <is>
          <t>SUNDSVALL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15352-2026</t>
        </is>
      </c>
      <c r="B1990" s="1" t="n">
        <v>46105.69912037037</v>
      </c>
      <c r="C1990" s="1" t="n">
        <v>46165</v>
      </c>
      <c r="D1990" t="inlineStr">
        <is>
          <t>VÄSTERNORRLANDS LÄN</t>
        </is>
      </c>
      <c r="E1990" t="inlineStr">
        <is>
          <t>SUNDSVALL</t>
        </is>
      </c>
      <c r="F1990" t="inlineStr">
        <is>
          <t>SCA</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31667-2024</t>
        </is>
      </c>
      <c r="B1991" s="1" t="n">
        <v>45506</v>
      </c>
      <c r="C1991" s="1" t="n">
        <v>46165</v>
      </c>
      <c r="D1991" t="inlineStr">
        <is>
          <t>VÄSTERNORRLANDS LÄN</t>
        </is>
      </c>
      <c r="E1991" t="inlineStr">
        <is>
          <t>SUNDSVALL</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28229-2024</t>
        </is>
      </c>
      <c r="B1992" s="1" t="n">
        <v>45477.3791087963</v>
      </c>
      <c r="C1992" s="1" t="n">
        <v>46165</v>
      </c>
      <c r="D1992" t="inlineStr">
        <is>
          <t>VÄSTERNORRLANDS LÄN</t>
        </is>
      </c>
      <c r="E1992" t="inlineStr">
        <is>
          <t>SUNDSVALL</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68880-2021</t>
        </is>
      </c>
      <c r="B1993" s="1" t="n">
        <v>44529</v>
      </c>
      <c r="C1993" s="1" t="n">
        <v>46165</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44610-2024</t>
        </is>
      </c>
      <c r="B1994" s="1" t="n">
        <v>45574.5122337963</v>
      </c>
      <c r="C1994" s="1" t="n">
        <v>46165</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22564-2023</t>
        </is>
      </c>
      <c r="B1995" s="1" t="n">
        <v>45071.44974537037</v>
      </c>
      <c r="C1995" s="1" t="n">
        <v>46165</v>
      </c>
      <c r="D1995" t="inlineStr">
        <is>
          <t>VÄSTERNORRLANDS LÄN</t>
        </is>
      </c>
      <c r="E1995" t="inlineStr">
        <is>
          <t>SUNDSVALL</t>
        </is>
      </c>
      <c r="F1995" t="inlineStr">
        <is>
          <t>Holmen skog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21930-2026</t>
        </is>
      </c>
      <c r="B1996" s="1" t="n">
        <v>46150.71923611111</v>
      </c>
      <c r="C1996" s="1" t="n">
        <v>46165</v>
      </c>
      <c r="D1996" t="inlineStr">
        <is>
          <t>VÄSTERNORRLANDS LÄN</t>
        </is>
      </c>
      <c r="E1996" t="inlineStr">
        <is>
          <t>SUNDSVALL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10786-2023</t>
        </is>
      </c>
      <c r="B1997" s="1" t="n">
        <v>44988</v>
      </c>
      <c r="C1997" s="1" t="n">
        <v>46165</v>
      </c>
      <c r="D1997" t="inlineStr">
        <is>
          <t>VÄSTERNORRLANDS LÄN</t>
        </is>
      </c>
      <c r="E1997" t="inlineStr">
        <is>
          <t>SUNDSVALL</t>
        </is>
      </c>
      <c r="F1997" t="inlineStr">
        <is>
          <t>SCA</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15756-2026</t>
        </is>
      </c>
      <c r="B1998" s="1" t="n">
        <v>46107.43133101852</v>
      </c>
      <c r="C1998" s="1" t="n">
        <v>46165</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15736-2026</t>
        </is>
      </c>
      <c r="B1999" s="1" t="n">
        <v>46107.40721064815</v>
      </c>
      <c r="C1999" s="1" t="n">
        <v>46165</v>
      </c>
      <c r="D1999" t="inlineStr">
        <is>
          <t>VÄSTERNORRLANDS LÄN</t>
        </is>
      </c>
      <c r="E1999" t="inlineStr">
        <is>
          <t>SUNDSVALL</t>
        </is>
      </c>
      <c r="F1999" t="inlineStr">
        <is>
          <t>SCA</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51834-2023</t>
        </is>
      </c>
      <c r="B2000" s="1" t="n">
        <v>45222.96862268518</v>
      </c>
      <c r="C2000" s="1" t="n">
        <v>46165</v>
      </c>
      <c r="D2000" t="inlineStr">
        <is>
          <t>VÄSTERNORRLANDS LÄN</t>
        </is>
      </c>
      <c r="E2000" t="inlineStr">
        <is>
          <t>SUNDSVALL</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62380-2025</t>
        </is>
      </c>
      <c r="B2001" s="1" t="n">
        <v>46007.365</v>
      </c>
      <c r="C2001" s="1" t="n">
        <v>46165</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3618-2024</t>
        </is>
      </c>
      <c r="B2002" s="1" t="n">
        <v>45320.95255787037</v>
      </c>
      <c r="C2002" s="1" t="n">
        <v>46165</v>
      </c>
      <c r="D2002" t="inlineStr">
        <is>
          <t>VÄSTERNORRLANDS LÄN</t>
        </is>
      </c>
      <c r="E2002" t="inlineStr">
        <is>
          <t>SUNDSVALL</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21587-2026</t>
        </is>
      </c>
      <c r="B2003" s="1" t="n">
        <v>46149.3449537037</v>
      </c>
      <c r="C2003" s="1" t="n">
        <v>46165</v>
      </c>
      <c r="D2003" t="inlineStr">
        <is>
          <t>VÄSTERNORRLANDS LÄN</t>
        </is>
      </c>
      <c r="E2003" t="inlineStr">
        <is>
          <t>SUNDSVALL</t>
        </is>
      </c>
      <c r="F2003" t="inlineStr">
        <is>
          <t>SCA</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12190-2025</t>
        </is>
      </c>
      <c r="B2004" s="1" t="n">
        <v>45729.46947916667</v>
      </c>
      <c r="C2004" s="1" t="n">
        <v>46165</v>
      </c>
      <c r="D2004" t="inlineStr">
        <is>
          <t>VÄSTERNORRLANDS LÄN</t>
        </is>
      </c>
      <c r="E2004" t="inlineStr">
        <is>
          <t>SUNDSVALL</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14087-2026</t>
        </is>
      </c>
      <c r="B2005" s="1" t="n">
        <v>46099</v>
      </c>
      <c r="C2005" s="1" t="n">
        <v>46165</v>
      </c>
      <c r="D2005" t="inlineStr">
        <is>
          <t>VÄSTERNORRLANDS LÄN</t>
        </is>
      </c>
      <c r="E2005" t="inlineStr">
        <is>
          <t>SUNDSVALL</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27959-2021</t>
        </is>
      </c>
      <c r="B2006" s="1" t="n">
        <v>44354</v>
      </c>
      <c r="C2006" s="1" t="n">
        <v>46165</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58967-2023</t>
        </is>
      </c>
      <c r="B2007" s="1" t="n">
        <v>45250</v>
      </c>
      <c r="C2007" s="1" t="n">
        <v>46165</v>
      </c>
      <c r="D2007" t="inlineStr">
        <is>
          <t>VÄSTERNORRLANDS LÄN</t>
        </is>
      </c>
      <c r="E2007" t="inlineStr">
        <is>
          <t>SUNDSVALL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21639-2023</t>
        </is>
      </c>
      <c r="B2008" s="1" t="n">
        <v>45063</v>
      </c>
      <c r="C2008" s="1" t="n">
        <v>46165</v>
      </c>
      <c r="D2008" t="inlineStr">
        <is>
          <t>VÄSTERNORRLANDS LÄN</t>
        </is>
      </c>
      <c r="E2008" t="inlineStr">
        <is>
          <t>SUNDSVALL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51084-2024</t>
        </is>
      </c>
      <c r="B2009" s="1" t="n">
        <v>45603.46280092592</v>
      </c>
      <c r="C2009" s="1" t="n">
        <v>46165</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52404-2023</t>
        </is>
      </c>
      <c r="B2010" s="1" t="n">
        <v>45224.96506944444</v>
      </c>
      <c r="C2010" s="1" t="n">
        <v>46165</v>
      </c>
      <c r="D2010" t="inlineStr">
        <is>
          <t>VÄSTERNORRLANDS LÄN</t>
        </is>
      </c>
      <c r="E2010" t="inlineStr">
        <is>
          <t>SUNDSVALL</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21707-2026</t>
        </is>
      </c>
      <c r="B2011" s="1" t="n">
        <v>46149.57381944444</v>
      </c>
      <c r="C2011" s="1" t="n">
        <v>46165</v>
      </c>
      <c r="D2011" t="inlineStr">
        <is>
          <t>VÄSTERNORRLANDS LÄN</t>
        </is>
      </c>
      <c r="E2011" t="inlineStr">
        <is>
          <t>SUNDSVALL</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17964-2026</t>
        </is>
      </c>
      <c r="B2012" s="1" t="n">
        <v>46123.34440972222</v>
      </c>
      <c r="C2012" s="1" t="n">
        <v>46165</v>
      </c>
      <c r="D2012" t="inlineStr">
        <is>
          <t>VÄSTERNORRLANDS LÄN</t>
        </is>
      </c>
      <c r="E2012" t="inlineStr">
        <is>
          <t>SUNDSVALL</t>
        </is>
      </c>
      <c r="F2012" t="inlineStr">
        <is>
          <t>SCA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15771-2026</t>
        </is>
      </c>
      <c r="B2013" s="1" t="n">
        <v>46107.44846064815</v>
      </c>
      <c r="C2013" s="1" t="n">
        <v>46165</v>
      </c>
      <c r="D2013" t="inlineStr">
        <is>
          <t>VÄSTERNORRLANDS LÄN</t>
        </is>
      </c>
      <c r="E2013" t="inlineStr">
        <is>
          <t>SUNDSVALL</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15885-2026</t>
        </is>
      </c>
      <c r="B2014" s="1" t="n">
        <v>46107.60821759259</v>
      </c>
      <c r="C2014" s="1" t="n">
        <v>46165</v>
      </c>
      <c r="D2014" t="inlineStr">
        <is>
          <t>VÄSTERNORRLANDS LÄN</t>
        </is>
      </c>
      <c r="E2014" t="inlineStr">
        <is>
          <t>SUNDSVALL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50652-2022</t>
        </is>
      </c>
      <c r="B2015" s="1" t="n">
        <v>44866</v>
      </c>
      <c r="C2015" s="1" t="n">
        <v>46165</v>
      </c>
      <c r="D2015" t="inlineStr">
        <is>
          <t>VÄSTERNORRLANDS LÄN</t>
        </is>
      </c>
      <c r="E2015" t="inlineStr">
        <is>
          <t>SUNDSVALL</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21809-2026</t>
        </is>
      </c>
      <c r="B2016" s="1" t="n">
        <v>46150</v>
      </c>
      <c r="C2016" s="1" t="n">
        <v>46165</v>
      </c>
      <c r="D2016" t="inlineStr">
        <is>
          <t>VÄSTERNORRLANDS LÄN</t>
        </is>
      </c>
      <c r="E2016" t="inlineStr">
        <is>
          <t>SUNDSVALL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15440-2026</t>
        </is>
      </c>
      <c r="B2017" s="1" t="n">
        <v>46106.40006944445</v>
      </c>
      <c r="C2017" s="1" t="n">
        <v>46165</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16056-2024</t>
        </is>
      </c>
      <c r="B2018" s="1" t="n">
        <v>45406.04898148148</v>
      </c>
      <c r="C2018" s="1" t="n">
        <v>46165</v>
      </c>
      <c r="D2018" t="inlineStr">
        <is>
          <t>VÄSTERNORRLANDS LÄN</t>
        </is>
      </c>
      <c r="E2018" t="inlineStr">
        <is>
          <t>SUNDSVALL</t>
        </is>
      </c>
      <c r="F2018" t="inlineStr">
        <is>
          <t>Naturvårdsverket</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21531-2026</t>
        </is>
      </c>
      <c r="B2019" s="1" t="n">
        <v>46148</v>
      </c>
      <c r="C2019" s="1" t="n">
        <v>46165</v>
      </c>
      <c r="D2019" t="inlineStr">
        <is>
          <t>VÄSTERNORRLANDS LÄN</t>
        </is>
      </c>
      <c r="E2019" t="inlineStr">
        <is>
          <t>SUNDSVALL</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227-2022</t>
        </is>
      </c>
      <c r="B2020" s="1" t="n">
        <v>44564</v>
      </c>
      <c r="C2020" s="1" t="n">
        <v>46165</v>
      </c>
      <c r="D2020" t="inlineStr">
        <is>
          <t>VÄSTERNORRLANDS LÄN</t>
        </is>
      </c>
      <c r="E2020" t="inlineStr">
        <is>
          <t>SUNDSVALL</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64642-2021</t>
        </is>
      </c>
      <c r="B2021" s="1" t="n">
        <v>44511</v>
      </c>
      <c r="C2021" s="1" t="n">
        <v>46165</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64649-2021</t>
        </is>
      </c>
      <c r="B2022" s="1" t="n">
        <v>44511.94659722222</v>
      </c>
      <c r="C2022" s="1" t="n">
        <v>46165</v>
      </c>
      <c r="D2022" t="inlineStr">
        <is>
          <t>VÄSTERNORRLANDS LÄN</t>
        </is>
      </c>
      <c r="E2022" t="inlineStr">
        <is>
          <t>SUNDSVALL</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50204-2024</t>
        </is>
      </c>
      <c r="B2023" s="1" t="n">
        <v>45600.49379629629</v>
      </c>
      <c r="C2023" s="1" t="n">
        <v>46165</v>
      </c>
      <c r="D2023" t="inlineStr">
        <is>
          <t>VÄSTERNORRLANDS LÄN</t>
        </is>
      </c>
      <c r="E2023" t="inlineStr">
        <is>
          <t>SUNDSVALL</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50213-2024</t>
        </is>
      </c>
      <c r="B2024" s="1" t="n">
        <v>45600.51435185185</v>
      </c>
      <c r="C2024" s="1" t="n">
        <v>46165</v>
      </c>
      <c r="D2024" t="inlineStr">
        <is>
          <t>VÄSTERNORRLANDS LÄN</t>
        </is>
      </c>
      <c r="E2024" t="inlineStr">
        <is>
          <t>SUNDSVALL</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50221-2024</t>
        </is>
      </c>
      <c r="B2025" s="1" t="n">
        <v>45600.53409722223</v>
      </c>
      <c r="C2025" s="1" t="n">
        <v>46165</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43001-2024</t>
        </is>
      </c>
      <c r="B2026" s="1" t="n">
        <v>45567.37609953704</v>
      </c>
      <c r="C2026" s="1" t="n">
        <v>46165</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9562-2024</t>
        </is>
      </c>
      <c r="B2027" s="1" t="n">
        <v>45360.03582175926</v>
      </c>
      <c r="C2027" s="1" t="n">
        <v>46165</v>
      </c>
      <c r="D2027" t="inlineStr">
        <is>
          <t>VÄSTERNORRLANDS LÄN</t>
        </is>
      </c>
      <c r="E2027" t="inlineStr">
        <is>
          <t>SUNDSVALL</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44098-2024</t>
        </is>
      </c>
      <c r="B2028" s="1" t="n">
        <v>45572.625625</v>
      </c>
      <c r="C2028" s="1" t="n">
        <v>46165</v>
      </c>
      <c r="D2028" t="inlineStr">
        <is>
          <t>VÄSTERNORRLANDS LÄN</t>
        </is>
      </c>
      <c r="E2028" t="inlineStr">
        <is>
          <t>SUNDSVALL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29035-2023</t>
        </is>
      </c>
      <c r="B2029" s="1" t="n">
        <v>45104</v>
      </c>
      <c r="C2029" s="1" t="n">
        <v>46165</v>
      </c>
      <c r="D2029" t="inlineStr">
        <is>
          <t>VÄSTERNORRLANDS LÄN</t>
        </is>
      </c>
      <c r="E2029" t="inlineStr">
        <is>
          <t>SUNDSVALL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20086-2022</t>
        </is>
      </c>
      <c r="B2030" s="1" t="n">
        <v>44697</v>
      </c>
      <c r="C2030" s="1" t="n">
        <v>46165</v>
      </c>
      <c r="D2030" t="inlineStr">
        <is>
          <t>VÄSTERNORRLANDS LÄN</t>
        </is>
      </c>
      <c r="E2030" t="inlineStr">
        <is>
          <t>SUNDSVALL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19338-2024</t>
        </is>
      </c>
      <c r="B2031" s="1" t="n">
        <v>45428</v>
      </c>
      <c r="C2031" s="1" t="n">
        <v>46165</v>
      </c>
      <c r="D2031" t="inlineStr">
        <is>
          <t>VÄSTERNORRLANDS LÄN</t>
        </is>
      </c>
      <c r="E2031" t="inlineStr">
        <is>
          <t>SUNDSVALL</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47886-2024</t>
        </is>
      </c>
      <c r="B2032" s="1" t="n">
        <v>45588.82175925926</v>
      </c>
      <c r="C2032" s="1" t="n">
        <v>46165</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42517-2023</t>
        </is>
      </c>
      <c r="B2033" s="1" t="n">
        <v>45180</v>
      </c>
      <c r="C2033" s="1" t="n">
        <v>46165</v>
      </c>
      <c r="D2033" t="inlineStr">
        <is>
          <t>VÄSTERNORRLANDS LÄN</t>
        </is>
      </c>
      <c r="E2033" t="inlineStr">
        <is>
          <t>SUNDSVALL</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9310-2024</t>
        </is>
      </c>
      <c r="B2034" s="1" t="n">
        <v>45358</v>
      </c>
      <c r="C2034" s="1" t="n">
        <v>46165</v>
      </c>
      <c r="D2034" t="inlineStr">
        <is>
          <t>VÄSTERNORRLANDS LÄN</t>
        </is>
      </c>
      <c r="E2034" t="inlineStr">
        <is>
          <t>SUNDSVALL</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19228-2023</t>
        </is>
      </c>
      <c r="B2035" s="1" t="n">
        <v>45048</v>
      </c>
      <c r="C2035" s="1" t="n">
        <v>46165</v>
      </c>
      <c r="D2035" t="inlineStr">
        <is>
          <t>VÄSTERNORRLANDS LÄN</t>
        </is>
      </c>
      <c r="E2035" t="inlineStr">
        <is>
          <t>SUNDSVALL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5949-2023</t>
        </is>
      </c>
      <c r="B2036" s="1" t="n">
        <v>44963</v>
      </c>
      <c r="C2036" s="1" t="n">
        <v>46165</v>
      </c>
      <c r="D2036" t="inlineStr">
        <is>
          <t>VÄSTERNORRLANDS LÄN</t>
        </is>
      </c>
      <c r="E2036" t="inlineStr">
        <is>
          <t>SUNDSVALL</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39922-2024</t>
        </is>
      </c>
      <c r="B2037" s="1" t="n">
        <v>45553</v>
      </c>
      <c r="C2037" s="1" t="n">
        <v>46165</v>
      </c>
      <c r="D2037" t="inlineStr">
        <is>
          <t>VÄSTERNORRLANDS LÄN</t>
        </is>
      </c>
      <c r="E2037" t="inlineStr">
        <is>
          <t>SUNDSVALL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27928-2024</t>
        </is>
      </c>
      <c r="B2038" s="1" t="n">
        <v>45475</v>
      </c>
      <c r="C2038" s="1" t="n">
        <v>46165</v>
      </c>
      <c r="D2038" t="inlineStr">
        <is>
          <t>VÄSTERNORRLANDS LÄN</t>
        </is>
      </c>
      <c r="E2038" t="inlineStr">
        <is>
          <t>SUNDSVALL</t>
        </is>
      </c>
      <c r="F2038" t="inlineStr">
        <is>
          <t>SCA</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6468-2024</t>
        </is>
      </c>
      <c r="B2039" s="1" t="n">
        <v>45338</v>
      </c>
      <c r="C2039" s="1" t="n">
        <v>46165</v>
      </c>
      <c r="D2039" t="inlineStr">
        <is>
          <t>VÄSTERNORRLANDS LÄN</t>
        </is>
      </c>
      <c r="E2039" t="inlineStr">
        <is>
          <t>SUNDSVALL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26229-2024</t>
        </is>
      </c>
      <c r="B2040" s="1" t="n">
        <v>45468.6143287037</v>
      </c>
      <c r="C2040" s="1" t="n">
        <v>46165</v>
      </c>
      <c r="D2040" t="inlineStr">
        <is>
          <t>VÄSTERNORRLANDS LÄN</t>
        </is>
      </c>
      <c r="E2040" t="inlineStr">
        <is>
          <t>SUNDSVALL</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53038-2023</t>
        </is>
      </c>
      <c r="B2041" s="1" t="n">
        <v>45226.96298611111</v>
      </c>
      <c r="C2041" s="1" t="n">
        <v>46165</v>
      </c>
      <c r="D2041" t="inlineStr">
        <is>
          <t>VÄSTERNORRLANDS LÄN</t>
        </is>
      </c>
      <c r="E2041" t="inlineStr">
        <is>
          <t>SUNDSVALL</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58285-2022</t>
        </is>
      </c>
      <c r="B2042" s="1" t="n">
        <v>44901.49482638889</v>
      </c>
      <c r="C2042" s="1" t="n">
        <v>46165</v>
      </c>
      <c r="D2042" t="inlineStr">
        <is>
          <t>VÄSTERNORRLANDS LÄN</t>
        </is>
      </c>
      <c r="E2042" t="inlineStr">
        <is>
          <t>SUNDSVALL</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64491-2023</t>
        </is>
      </c>
      <c r="B2043" s="1" t="n">
        <v>45280</v>
      </c>
      <c r="C2043" s="1" t="n">
        <v>46165</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30298-2024</t>
        </is>
      </c>
      <c r="B2044" s="1" t="n">
        <v>45490</v>
      </c>
      <c r="C2044" s="1" t="n">
        <v>46165</v>
      </c>
      <c r="D2044" t="inlineStr">
        <is>
          <t>VÄSTERNORRLANDS LÄN</t>
        </is>
      </c>
      <c r="E2044" t="inlineStr">
        <is>
          <t>SUNDSVALL</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7229-2024</t>
        </is>
      </c>
      <c r="B2045" s="1" t="n">
        <v>45344</v>
      </c>
      <c r="C2045" s="1" t="n">
        <v>46165</v>
      </c>
      <c r="D2045" t="inlineStr">
        <is>
          <t>VÄSTERNORRLANDS LÄN</t>
        </is>
      </c>
      <c r="E2045" t="inlineStr">
        <is>
          <t>SUNDSVALL</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51327-2024</t>
        </is>
      </c>
      <c r="B2046" s="1" t="n">
        <v>45604.33793981482</v>
      </c>
      <c r="C2046" s="1" t="n">
        <v>46165</v>
      </c>
      <c r="D2046" t="inlineStr">
        <is>
          <t>VÄSTERNORRLANDS LÄN</t>
        </is>
      </c>
      <c r="E2046" t="inlineStr">
        <is>
          <t>SUNDSVALL</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19235-2023</t>
        </is>
      </c>
      <c r="B2047" s="1" t="n">
        <v>45048.92684027777</v>
      </c>
      <c r="C2047" s="1" t="n">
        <v>46165</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19236-2023</t>
        </is>
      </c>
      <c r="B2048" s="1" t="n">
        <v>45048</v>
      </c>
      <c r="C2048" s="1" t="n">
        <v>46165</v>
      </c>
      <c r="D2048" t="inlineStr">
        <is>
          <t>VÄSTERNORRLANDS LÄN</t>
        </is>
      </c>
      <c r="E2048" t="inlineStr">
        <is>
          <t>SUNDSVALL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5569-2025</t>
        </is>
      </c>
      <c r="B2049" s="1" t="n">
        <v>45693</v>
      </c>
      <c r="C2049" s="1" t="n">
        <v>46165</v>
      </c>
      <c r="D2049" t="inlineStr">
        <is>
          <t>VÄSTERNORRLANDS LÄN</t>
        </is>
      </c>
      <c r="E2049" t="inlineStr">
        <is>
          <t>SUNDSVALL</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17490-2025</t>
        </is>
      </c>
      <c r="B2050" s="1" t="n">
        <v>45757.51084490741</v>
      </c>
      <c r="C2050" s="1" t="n">
        <v>46165</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62302-2023</t>
        </is>
      </c>
      <c r="B2051" s="1" t="n">
        <v>45266</v>
      </c>
      <c r="C2051" s="1" t="n">
        <v>46165</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4045-2024</t>
        </is>
      </c>
      <c r="B2052" s="1" t="n">
        <v>45323.46451388889</v>
      </c>
      <c r="C2052" s="1" t="n">
        <v>46165</v>
      </c>
      <c r="D2052" t="inlineStr">
        <is>
          <t>VÄSTERNORRLANDS LÄN</t>
        </is>
      </c>
      <c r="E2052" t="inlineStr">
        <is>
          <t>SUNDSVALL</t>
        </is>
      </c>
      <c r="F2052" t="inlineStr">
        <is>
          <t>Kommuner</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4116-2024</t>
        </is>
      </c>
      <c r="B2053" s="1" t="n">
        <v>45323</v>
      </c>
      <c r="C2053" s="1" t="n">
        <v>46165</v>
      </c>
      <c r="D2053" t="inlineStr">
        <is>
          <t>VÄSTERNORRLANDS LÄN</t>
        </is>
      </c>
      <c r="E2053" t="inlineStr">
        <is>
          <t>SUNDSVALL</t>
        </is>
      </c>
      <c r="F2053" t="inlineStr">
        <is>
          <t>Kommuner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38888-2022</t>
        </is>
      </c>
      <c r="B2054" s="1" t="n">
        <v>44816</v>
      </c>
      <c r="C2054" s="1" t="n">
        <v>46165</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23832-2024</t>
        </is>
      </c>
      <c r="B2055" s="1" t="n">
        <v>45455.4840625</v>
      </c>
      <c r="C2055" s="1" t="n">
        <v>46165</v>
      </c>
      <c r="D2055" t="inlineStr">
        <is>
          <t>VÄSTERNORRLANDS LÄN</t>
        </is>
      </c>
      <c r="E2055" t="inlineStr">
        <is>
          <t>SUNDSVALL</t>
        </is>
      </c>
      <c r="F2055" t="inlineStr">
        <is>
          <t>Holmen skog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4056-2024</t>
        </is>
      </c>
      <c r="B2056" s="1" t="n">
        <v>45323</v>
      </c>
      <c r="C2056" s="1" t="n">
        <v>46165</v>
      </c>
      <c r="D2056" t="inlineStr">
        <is>
          <t>VÄSTERNORRLANDS LÄN</t>
        </is>
      </c>
      <c r="E2056" t="inlineStr">
        <is>
          <t>SUNDSVALL</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30748-2024</t>
        </is>
      </c>
      <c r="B2057" s="1" t="n">
        <v>45496.6871875</v>
      </c>
      <c r="C2057" s="1" t="n">
        <v>46165</v>
      </c>
      <c r="D2057" t="inlineStr">
        <is>
          <t>VÄSTERNORRLANDS LÄN</t>
        </is>
      </c>
      <c r="E2057" t="inlineStr">
        <is>
          <t>SUNDSVALL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31522-2024</t>
        </is>
      </c>
      <c r="B2058" s="1" t="n">
        <v>45505</v>
      </c>
      <c r="C2058" s="1" t="n">
        <v>46165</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26071-2023</t>
        </is>
      </c>
      <c r="B2059" s="1" t="n">
        <v>45091</v>
      </c>
      <c r="C2059" s="1" t="n">
        <v>46165</v>
      </c>
      <c r="D2059" t="inlineStr">
        <is>
          <t>VÄSTERNORRLANDS LÄN</t>
        </is>
      </c>
      <c r="E2059" t="inlineStr">
        <is>
          <t>SUNDSVALL</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7924-2025</t>
        </is>
      </c>
      <c r="B2060" s="1" t="n">
        <v>45707.36533564814</v>
      </c>
      <c r="C2060" s="1" t="n">
        <v>46165</v>
      </c>
      <c r="D2060" t="inlineStr">
        <is>
          <t>VÄSTERNORRLANDS LÄN</t>
        </is>
      </c>
      <c r="E2060" t="inlineStr">
        <is>
          <t>SUNDSVALL</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40828-2022</t>
        </is>
      </c>
      <c r="B2061" s="1" t="n">
        <v>44824.92512731482</v>
      </c>
      <c r="C2061" s="1" t="n">
        <v>46165</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28784-2024</t>
        </is>
      </c>
      <c r="B2062" s="1" t="n">
        <v>45478.60880787037</v>
      </c>
      <c r="C2062" s="1" t="n">
        <v>46165</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28785-2024</t>
        </is>
      </c>
      <c r="B2063" s="1" t="n">
        <v>45478</v>
      </c>
      <c r="C2063" s="1" t="n">
        <v>46165</v>
      </c>
      <c r="D2063" t="inlineStr">
        <is>
          <t>VÄSTERNORRLANDS LÄN</t>
        </is>
      </c>
      <c r="E2063" t="inlineStr">
        <is>
          <t>SUNDSVALL</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9616-2025</t>
        </is>
      </c>
      <c r="B2064" s="1" t="n">
        <v>45715.66296296296</v>
      </c>
      <c r="C2064" s="1" t="n">
        <v>46165</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55676-2021</t>
        </is>
      </c>
      <c r="B2065" s="1" t="n">
        <v>44476</v>
      </c>
      <c r="C2065" s="1" t="n">
        <v>46165</v>
      </c>
      <c r="D2065" t="inlineStr">
        <is>
          <t>VÄSTERNORRLANDS LÄN</t>
        </is>
      </c>
      <c r="E2065" t="inlineStr">
        <is>
          <t>SUNDSVALL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59761-2024</t>
        </is>
      </c>
      <c r="B2066" s="1" t="n">
        <v>45639.55269675926</v>
      </c>
      <c r="C2066" s="1" t="n">
        <v>46165</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37887-2024</t>
        </is>
      </c>
      <c r="B2067" s="1" t="n">
        <v>45544</v>
      </c>
      <c r="C2067" s="1" t="n">
        <v>46165</v>
      </c>
      <c r="D2067" t="inlineStr">
        <is>
          <t>VÄSTERNORRLANDS LÄN</t>
        </is>
      </c>
      <c r="E2067" t="inlineStr">
        <is>
          <t>SUNDSVALL</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13638-2025</t>
        </is>
      </c>
      <c r="B2068" s="1" t="n">
        <v>45736.65696759259</v>
      </c>
      <c r="C2068" s="1" t="n">
        <v>46165</v>
      </c>
      <c r="D2068" t="inlineStr">
        <is>
          <t>VÄSTERNORRLANDS LÄN</t>
        </is>
      </c>
      <c r="E2068" t="inlineStr">
        <is>
          <t>SUNDSVALL</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3235-2024</t>
        </is>
      </c>
      <c r="B2069" s="1" t="n">
        <v>45316</v>
      </c>
      <c r="C2069" s="1" t="n">
        <v>46165</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27366-2021</t>
        </is>
      </c>
      <c r="B2070" s="1" t="n">
        <v>44351.4417824074</v>
      </c>
      <c r="C2070" s="1" t="n">
        <v>46165</v>
      </c>
      <c r="D2070" t="inlineStr">
        <is>
          <t>VÄSTERNORRLANDS LÄN</t>
        </is>
      </c>
      <c r="E2070" t="inlineStr">
        <is>
          <t>SUNDSVALL</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3948-2025</t>
        </is>
      </c>
      <c r="B2071" s="1" t="n">
        <v>45684.49009259259</v>
      </c>
      <c r="C2071" s="1" t="n">
        <v>46165</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10557-2024</t>
        </is>
      </c>
      <c r="B2072" s="1" t="n">
        <v>45366</v>
      </c>
      <c r="C2072" s="1" t="n">
        <v>46165</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59770-2022</t>
        </is>
      </c>
      <c r="B2073" s="1" t="n">
        <v>44908</v>
      </c>
      <c r="C2073" s="1" t="n">
        <v>46165</v>
      </c>
      <c r="D2073" t="inlineStr">
        <is>
          <t>VÄSTERNORRLANDS LÄN</t>
        </is>
      </c>
      <c r="E2073" t="inlineStr">
        <is>
          <t>SUNDSVALL</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20264-2023</t>
        </is>
      </c>
      <c r="B2074" s="1" t="n">
        <v>45055</v>
      </c>
      <c r="C2074" s="1" t="n">
        <v>46165</v>
      </c>
      <c r="D2074" t="inlineStr">
        <is>
          <t>VÄSTERNORRLANDS LÄN</t>
        </is>
      </c>
      <c r="E2074" t="inlineStr">
        <is>
          <t>SUNDSVALL</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13033-2025</t>
        </is>
      </c>
      <c r="B2075" s="1" t="n">
        <v>45734.57334490741</v>
      </c>
      <c r="C2075" s="1" t="n">
        <v>46165</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c r="U2075">
        <f>HYPERLINK("https://klasma.github.io/Logging_2281/knärot/A 13033-2025 karta knärot.png", "A 13033-2025")</f>
        <v/>
      </c>
      <c r="V2075">
        <f>HYPERLINK("https://klasma.github.io/Logging_2281/klagomål/A 13033-2025 FSC-klagomål.docx", "A 13033-2025")</f>
        <v/>
      </c>
      <c r="W2075">
        <f>HYPERLINK("https://klasma.github.io/Logging_2281/klagomålsmail/A 13033-2025 FSC-klagomål mail.docx", "A 13033-2025")</f>
        <v/>
      </c>
      <c r="X2075">
        <f>HYPERLINK("https://klasma.github.io/Logging_2281/tillsyn/A 13033-2025 tillsynsbegäran.docx", "A 13033-2025")</f>
        <v/>
      </c>
      <c r="Y2075">
        <f>HYPERLINK("https://klasma.github.io/Logging_2281/tillsynsmail/A 13033-2025 tillsynsbegäran mail.docx", "A 13033-2025")</f>
        <v/>
      </c>
    </row>
    <row r="2076" ht="15" customHeight="1">
      <c r="A2076" t="inlineStr">
        <is>
          <t>A 27759-2023</t>
        </is>
      </c>
      <c r="B2076" s="1" t="n">
        <v>45093</v>
      </c>
      <c r="C2076" s="1" t="n">
        <v>46165</v>
      </c>
      <c r="D2076" t="inlineStr">
        <is>
          <t>VÄSTERNORRLANDS LÄN</t>
        </is>
      </c>
      <c r="E2076" t="inlineStr">
        <is>
          <t>SUNDSVALL</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52939-2023</t>
        </is>
      </c>
      <c r="B2077" s="1" t="n">
        <v>45222</v>
      </c>
      <c r="C2077" s="1" t="n">
        <v>46165</v>
      </c>
      <c r="D2077" t="inlineStr">
        <is>
          <t>VÄSTERNORRLANDS LÄN</t>
        </is>
      </c>
      <c r="E2077" t="inlineStr">
        <is>
          <t>SUNDSVALL</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9149-2025</t>
        </is>
      </c>
      <c r="B2078" s="1" t="n">
        <v>45714</v>
      </c>
      <c r="C2078" s="1" t="n">
        <v>46165</v>
      </c>
      <c r="D2078" t="inlineStr">
        <is>
          <t>VÄSTERNORRLANDS LÄN</t>
        </is>
      </c>
      <c r="E2078" t="inlineStr">
        <is>
          <t>SUNDSVALL</t>
        </is>
      </c>
      <c r="F2078" t="inlineStr">
        <is>
          <t>SCA</t>
        </is>
      </c>
      <c r="G2078" t="n">
        <v>15.5</v>
      </c>
      <c r="H2078" t="n">
        <v>0</v>
      </c>
      <c r="I2078" t="n">
        <v>0</v>
      </c>
      <c r="J2078" t="n">
        <v>0</v>
      </c>
      <c r="K2078" t="n">
        <v>0</v>
      </c>
      <c r="L2078" t="n">
        <v>0</v>
      </c>
      <c r="M2078" t="n">
        <v>0</v>
      </c>
      <c r="N2078" t="n">
        <v>0</v>
      </c>
      <c r="O2078" t="n">
        <v>0</v>
      </c>
      <c r="P2078" t="n">
        <v>0</v>
      </c>
      <c r="Q2078" t="n">
        <v>0</v>
      </c>
      <c r="R2078" s="2" t="inlineStr"/>
    </row>
    <row r="2079" ht="15" customHeight="1">
      <c r="A2079" t="inlineStr">
        <is>
          <t>A 47714-2024</t>
        </is>
      </c>
      <c r="B2079" s="1" t="n">
        <v>45588.48163194444</v>
      </c>
      <c r="C2079" s="1" t="n">
        <v>46165</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29597-2023</t>
        </is>
      </c>
      <c r="B2080" s="1" t="n">
        <v>45106</v>
      </c>
      <c r="C2080" s="1" t="n">
        <v>46165</v>
      </c>
      <c r="D2080" t="inlineStr">
        <is>
          <t>VÄSTERNORRLANDS LÄN</t>
        </is>
      </c>
      <c r="E2080" t="inlineStr">
        <is>
          <t>SUNDSVALL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47032-2023</t>
        </is>
      </c>
      <c r="B2081" s="1" t="n">
        <v>45196</v>
      </c>
      <c r="C2081" s="1" t="n">
        <v>46165</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14153-2024</t>
        </is>
      </c>
      <c r="B2082" s="1" t="n">
        <v>45392</v>
      </c>
      <c r="C2082" s="1" t="n">
        <v>46165</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18246-2024</t>
        </is>
      </c>
      <c r="B2083" s="1" t="n">
        <v>45421</v>
      </c>
      <c r="C2083" s="1" t="n">
        <v>46165</v>
      </c>
      <c r="D2083" t="inlineStr">
        <is>
          <t>VÄSTERNORRLANDS LÄN</t>
        </is>
      </c>
      <c r="E2083" t="inlineStr">
        <is>
          <t>SUNDSVALL</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7925-2025</t>
        </is>
      </c>
      <c r="B2084" s="1" t="n">
        <v>45707.36540509259</v>
      </c>
      <c r="C2084" s="1" t="n">
        <v>46165</v>
      </c>
      <c r="D2084" t="inlineStr">
        <is>
          <t>VÄSTERNORRLANDS LÄN</t>
        </is>
      </c>
      <c r="E2084" t="inlineStr">
        <is>
          <t>SUNDSVALL</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17211-2022</t>
        </is>
      </c>
      <c r="B2085" s="1" t="n">
        <v>44677</v>
      </c>
      <c r="C2085" s="1" t="n">
        <v>46165</v>
      </c>
      <c r="D2085" t="inlineStr">
        <is>
          <t>VÄSTERNORRLANDS LÄN</t>
        </is>
      </c>
      <c r="E2085" t="inlineStr">
        <is>
          <t>SUNDSVALL</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32391-2024</t>
        </is>
      </c>
      <c r="B2086" s="1" t="n">
        <v>45512.64163194445</v>
      </c>
      <c r="C2086" s="1" t="n">
        <v>46165</v>
      </c>
      <c r="D2086" t="inlineStr">
        <is>
          <t>VÄSTERNORRLANDS LÄN</t>
        </is>
      </c>
      <c r="E2086" t="inlineStr">
        <is>
          <t>SUNDSVALL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21377-2023</t>
        </is>
      </c>
      <c r="B2087" s="1" t="n">
        <v>45063</v>
      </c>
      <c r="C2087" s="1" t="n">
        <v>46165</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34605-2021</t>
        </is>
      </c>
      <c r="B2088" s="1" t="n">
        <v>44379</v>
      </c>
      <c r="C2088" s="1" t="n">
        <v>46165</v>
      </c>
      <c r="D2088" t="inlineStr">
        <is>
          <t>VÄSTERNORRLANDS LÄN</t>
        </is>
      </c>
      <c r="E2088" t="inlineStr">
        <is>
          <t>SUNDSVALL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21600-2023</t>
        </is>
      </c>
      <c r="B2089" s="1" t="n">
        <v>45062</v>
      </c>
      <c r="C2089" s="1" t="n">
        <v>46165</v>
      </c>
      <c r="D2089" t="inlineStr">
        <is>
          <t>VÄSTERNORRLANDS LÄN</t>
        </is>
      </c>
      <c r="E2089" t="inlineStr">
        <is>
          <t>SUNDSVALL</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27998-2023</t>
        </is>
      </c>
      <c r="B2090" s="1" t="n">
        <v>45098.92375</v>
      </c>
      <c r="C2090" s="1" t="n">
        <v>46165</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33108-2024</t>
        </is>
      </c>
      <c r="B2091" s="1" t="n">
        <v>45517</v>
      </c>
      <c r="C2091" s="1" t="n">
        <v>46165</v>
      </c>
      <c r="D2091" t="inlineStr">
        <is>
          <t>VÄSTERNORRLANDS LÄN</t>
        </is>
      </c>
      <c r="E2091" t="inlineStr">
        <is>
          <t>SUNDSVALL</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40317-2024</t>
        </is>
      </c>
      <c r="B2092" s="1" t="n">
        <v>45554.793125</v>
      </c>
      <c r="C2092" s="1" t="n">
        <v>46165</v>
      </c>
      <c r="D2092" t="inlineStr">
        <is>
          <t>VÄSTERNORRLANDS LÄN</t>
        </is>
      </c>
      <c r="E2092" t="inlineStr">
        <is>
          <t>SUNDSVALL</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26250-2024</t>
        </is>
      </c>
      <c r="B2093" s="1" t="n">
        <v>45468.64174768519</v>
      </c>
      <c r="C2093" s="1" t="n">
        <v>46165</v>
      </c>
      <c r="D2093" t="inlineStr">
        <is>
          <t>VÄSTERNORRLANDS LÄN</t>
        </is>
      </c>
      <c r="E2093" t="inlineStr">
        <is>
          <t>SUNDSVALL</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6704-2025</t>
        </is>
      </c>
      <c r="B2094" s="1" t="n">
        <v>45700.54395833334</v>
      </c>
      <c r="C2094" s="1" t="n">
        <v>46165</v>
      </c>
      <c r="D2094" t="inlineStr">
        <is>
          <t>VÄSTERNORRLANDS LÄN</t>
        </is>
      </c>
      <c r="E2094" t="inlineStr">
        <is>
          <t>SUNDSVALL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13859-2025</t>
        </is>
      </c>
      <c r="B2095" s="1" t="n">
        <v>45737</v>
      </c>
      <c r="C2095" s="1" t="n">
        <v>46165</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42201-2021</t>
        </is>
      </c>
      <c r="B2096" s="1" t="n">
        <v>44426</v>
      </c>
      <c r="C2096" s="1" t="n">
        <v>46165</v>
      </c>
      <c r="D2096" t="inlineStr">
        <is>
          <t>VÄSTERNORRLANDS LÄN</t>
        </is>
      </c>
      <c r="E2096" t="inlineStr">
        <is>
          <t>SUNDSVALL</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16313-2025</t>
        </is>
      </c>
      <c r="B2097" s="1" t="n">
        <v>45751.34751157407</v>
      </c>
      <c r="C2097" s="1" t="n">
        <v>46165</v>
      </c>
      <c r="D2097" t="inlineStr">
        <is>
          <t>VÄSTERNORRLANDS LÄN</t>
        </is>
      </c>
      <c r="E2097" t="inlineStr">
        <is>
          <t>SUNDSVALL</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25148-2021</t>
        </is>
      </c>
      <c r="B2098" s="1" t="n">
        <v>44341</v>
      </c>
      <c r="C2098" s="1" t="n">
        <v>46165</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512-2023</t>
        </is>
      </c>
      <c r="B2099" s="1" t="n">
        <v>44930</v>
      </c>
      <c r="C2099" s="1" t="n">
        <v>46165</v>
      </c>
      <c r="D2099" t="inlineStr">
        <is>
          <t>VÄSTERNORRLANDS LÄN</t>
        </is>
      </c>
      <c r="E2099" t="inlineStr">
        <is>
          <t>SUNDSVALL</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3216-2025</t>
        </is>
      </c>
      <c r="B2100" s="1" t="n">
        <v>45679.46209490741</v>
      </c>
      <c r="C2100" s="1" t="n">
        <v>46165</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63068-2023</t>
        </is>
      </c>
      <c r="B2101" s="1" t="n">
        <v>45272</v>
      </c>
      <c r="C2101" s="1" t="n">
        <v>46165</v>
      </c>
      <c r="D2101" t="inlineStr">
        <is>
          <t>VÄSTERNORRLANDS LÄN</t>
        </is>
      </c>
      <c r="E2101" t="inlineStr">
        <is>
          <t>SUNDSVALL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27875-2023</t>
        </is>
      </c>
      <c r="B2102" s="1" t="n">
        <v>45098.59216435185</v>
      </c>
      <c r="C2102" s="1" t="n">
        <v>46165</v>
      </c>
      <c r="D2102" t="inlineStr">
        <is>
          <t>VÄSTERNORRLANDS LÄN</t>
        </is>
      </c>
      <c r="E2102" t="inlineStr">
        <is>
          <t>SUNDSVALL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45816-2024</t>
        </is>
      </c>
      <c r="B2103" s="1" t="n">
        <v>45579.72534722222</v>
      </c>
      <c r="C2103" s="1" t="n">
        <v>46165</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17437-2023</t>
        </is>
      </c>
      <c r="B2104" s="1" t="n">
        <v>45035.92703703704</v>
      </c>
      <c r="C2104" s="1" t="n">
        <v>46165</v>
      </c>
      <c r="D2104" t="inlineStr">
        <is>
          <t>VÄSTERNORRLANDS LÄN</t>
        </is>
      </c>
      <c r="E2104" t="inlineStr">
        <is>
          <t>SUNDSVALL</t>
        </is>
      </c>
      <c r="G2104" t="n">
        <v>13.7</v>
      </c>
      <c r="H2104" t="n">
        <v>0</v>
      </c>
      <c r="I2104" t="n">
        <v>0</v>
      </c>
      <c r="J2104" t="n">
        <v>0</v>
      </c>
      <c r="K2104" t="n">
        <v>0</v>
      </c>
      <c r="L2104" t="n">
        <v>0</v>
      </c>
      <c r="M2104" t="n">
        <v>0</v>
      </c>
      <c r="N2104" t="n">
        <v>0</v>
      </c>
      <c r="O2104" t="n">
        <v>0</v>
      </c>
      <c r="P2104" t="n">
        <v>0</v>
      </c>
      <c r="Q2104" t="n">
        <v>0</v>
      </c>
      <c r="R2104" s="2" t="inlineStr"/>
    </row>
    <row r="2105" ht="15" customHeight="1">
      <c r="A2105" t="inlineStr">
        <is>
          <t>A 18513-2025</t>
        </is>
      </c>
      <c r="B2105" s="1" t="n">
        <v>45763.38469907407</v>
      </c>
      <c r="C2105" s="1" t="n">
        <v>46165</v>
      </c>
      <c r="D2105" t="inlineStr">
        <is>
          <t>VÄSTERNORRLANDS LÄN</t>
        </is>
      </c>
      <c r="E2105" t="inlineStr">
        <is>
          <t>SUNDSVALL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47246-2024</t>
        </is>
      </c>
      <c r="B2106" s="1" t="n">
        <v>45586.69940972222</v>
      </c>
      <c r="C2106" s="1" t="n">
        <v>46165</v>
      </c>
      <c r="D2106" t="inlineStr">
        <is>
          <t>VÄSTERNORRLANDS LÄN</t>
        </is>
      </c>
      <c r="E2106" t="inlineStr">
        <is>
          <t>SUNDSVALL</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57067-2023</t>
        </is>
      </c>
      <c r="B2107" s="1" t="n">
        <v>45244</v>
      </c>
      <c r="C2107" s="1" t="n">
        <v>46165</v>
      </c>
      <c r="D2107" t="inlineStr">
        <is>
          <t>VÄSTERNORRLANDS LÄN</t>
        </is>
      </c>
      <c r="E2107" t="inlineStr">
        <is>
          <t>SUNDSVALL</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3236-2024</t>
        </is>
      </c>
      <c r="B2108" s="1" t="n">
        <v>45316.94725694445</v>
      </c>
      <c r="C2108" s="1" t="n">
        <v>46165</v>
      </c>
      <c r="D2108" t="inlineStr">
        <is>
          <t>VÄSTERNORRLANDS LÄN</t>
        </is>
      </c>
      <c r="E2108" t="inlineStr">
        <is>
          <t>SUNDSVALL</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7089-2025</t>
        </is>
      </c>
      <c r="B2109" s="1" t="n">
        <v>45701.74523148148</v>
      </c>
      <c r="C2109" s="1" t="n">
        <v>46165</v>
      </c>
      <c r="D2109" t="inlineStr">
        <is>
          <t>VÄSTERNORRLANDS LÄN</t>
        </is>
      </c>
      <c r="E2109" t="inlineStr">
        <is>
          <t>SUNDSVALL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43195-2021</t>
        </is>
      </c>
      <c r="B2110" s="1" t="n">
        <v>44431</v>
      </c>
      <c r="C2110" s="1" t="n">
        <v>46165</v>
      </c>
      <c r="D2110" t="inlineStr">
        <is>
          <t>VÄSTERNORRLANDS LÄN</t>
        </is>
      </c>
      <c r="E2110" t="inlineStr">
        <is>
          <t>SUNDSVALL</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17166-2025</t>
        </is>
      </c>
      <c r="B2111" s="1" t="n">
        <v>45756.36495370371</v>
      </c>
      <c r="C2111" s="1" t="n">
        <v>46165</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21247-2024</t>
        </is>
      </c>
      <c r="B2112" s="1" t="n">
        <v>45440</v>
      </c>
      <c r="C2112" s="1" t="n">
        <v>46165</v>
      </c>
      <c r="D2112" t="inlineStr">
        <is>
          <t>VÄSTERNORRLANDS LÄN</t>
        </is>
      </c>
      <c r="E2112" t="inlineStr">
        <is>
          <t>SUNDSVALL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29127-2022</t>
        </is>
      </c>
      <c r="B2113" s="1" t="n">
        <v>44750.45601851852</v>
      </c>
      <c r="C2113" s="1" t="n">
        <v>46165</v>
      </c>
      <c r="D2113" t="inlineStr">
        <is>
          <t>VÄSTERNORRLANDS LÄN</t>
        </is>
      </c>
      <c r="E2113" t="inlineStr">
        <is>
          <t>SUNDSVALL</t>
        </is>
      </c>
      <c r="G2113" t="n">
        <v>7.4</v>
      </c>
      <c r="H2113" t="n">
        <v>0</v>
      </c>
      <c r="I2113" t="n">
        <v>0</v>
      </c>
      <c r="J2113" t="n">
        <v>0</v>
      </c>
      <c r="K2113" t="n">
        <v>0</v>
      </c>
      <c r="L2113" t="n">
        <v>0</v>
      </c>
      <c r="M2113" t="n">
        <v>0</v>
      </c>
      <c r="N2113" t="n">
        <v>0</v>
      </c>
      <c r="O2113" t="n">
        <v>0</v>
      </c>
      <c r="P2113" t="n">
        <v>0</v>
      </c>
      <c r="Q2113" t="n">
        <v>0</v>
      </c>
      <c r="R2113" s="2" t="inlineStr"/>
      <c r="U2113">
        <f>HYPERLINK("https://klasma.github.io/Logging_2281/knärot/A 29127-2022 karta knärot.png", "A 29127-2022")</f>
        <v/>
      </c>
      <c r="V2113">
        <f>HYPERLINK("https://klasma.github.io/Logging_2281/klagomål/A 29127-2022 FSC-klagomål.docx", "A 29127-2022")</f>
        <v/>
      </c>
      <c r="W2113">
        <f>HYPERLINK("https://klasma.github.io/Logging_2281/klagomålsmail/A 29127-2022 FSC-klagomål mail.docx", "A 29127-2022")</f>
        <v/>
      </c>
      <c r="X2113">
        <f>HYPERLINK("https://klasma.github.io/Logging_2281/tillsyn/A 29127-2022 tillsynsbegäran.docx", "A 29127-2022")</f>
        <v/>
      </c>
      <c r="Y2113">
        <f>HYPERLINK("https://klasma.github.io/Logging_2281/tillsynsmail/A 29127-2022 tillsynsbegäran mail.docx", "A 29127-2022")</f>
        <v/>
      </c>
    </row>
    <row r="2114" ht="15" customHeight="1">
      <c r="A2114" t="inlineStr">
        <is>
          <t>A 57288-2024</t>
        </is>
      </c>
      <c r="B2114" s="1" t="n">
        <v>45629.58568287037</v>
      </c>
      <c r="C2114" s="1" t="n">
        <v>46165</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7293-2025</t>
        </is>
      </c>
      <c r="B2115" s="1" t="n">
        <v>45702</v>
      </c>
      <c r="C2115" s="1" t="n">
        <v>46165</v>
      </c>
      <c r="D2115" t="inlineStr">
        <is>
          <t>VÄSTERNORRLANDS LÄN</t>
        </is>
      </c>
      <c r="E2115" t="inlineStr">
        <is>
          <t>SUNDSVALL</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381-2025</t>
        </is>
      </c>
      <c r="B2116" s="1" t="n">
        <v>45662.4591087963</v>
      </c>
      <c r="C2116" s="1" t="n">
        <v>46165</v>
      </c>
      <c r="D2116" t="inlineStr">
        <is>
          <t>VÄSTERNORRLANDS LÄN</t>
        </is>
      </c>
      <c r="E2116" t="inlineStr">
        <is>
          <t>SUNDSVALL</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382-2025</t>
        </is>
      </c>
      <c r="B2117" s="1" t="n">
        <v>45662.46572916667</v>
      </c>
      <c r="C2117" s="1" t="n">
        <v>46165</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37584-2024</t>
        </is>
      </c>
      <c r="B2118" s="1" t="n">
        <v>45541.45975694444</v>
      </c>
      <c r="C2118" s="1" t="n">
        <v>46165</v>
      </c>
      <c r="D2118" t="inlineStr">
        <is>
          <t>VÄSTERNORRLANDS LÄN</t>
        </is>
      </c>
      <c r="E2118" t="inlineStr">
        <is>
          <t>SUNDSVALL</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60119-2023</t>
        </is>
      </c>
      <c r="B2119" s="1" t="n">
        <v>45258.47869212963</v>
      </c>
      <c r="C2119" s="1" t="n">
        <v>46165</v>
      </c>
      <c r="D2119" t="inlineStr">
        <is>
          <t>VÄSTERNORRLANDS LÄN</t>
        </is>
      </c>
      <c r="E2119" t="inlineStr">
        <is>
          <t>SUNDSVALL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51370-2022</t>
        </is>
      </c>
      <c r="B2120" s="1" t="n">
        <v>44869</v>
      </c>
      <c r="C2120" s="1" t="n">
        <v>46165</v>
      </c>
      <c r="D2120" t="inlineStr">
        <is>
          <t>VÄSTERNORRLANDS LÄN</t>
        </is>
      </c>
      <c r="E2120" t="inlineStr">
        <is>
          <t>SUNDSVALL</t>
        </is>
      </c>
      <c r="G2120" t="n">
        <v>18.7</v>
      </c>
      <c r="H2120" t="n">
        <v>0</v>
      </c>
      <c r="I2120" t="n">
        <v>0</v>
      </c>
      <c r="J2120" t="n">
        <v>0</v>
      </c>
      <c r="K2120" t="n">
        <v>0</v>
      </c>
      <c r="L2120" t="n">
        <v>0</v>
      </c>
      <c r="M2120" t="n">
        <v>0</v>
      </c>
      <c r="N2120" t="n">
        <v>0</v>
      </c>
      <c r="O2120" t="n">
        <v>0</v>
      </c>
      <c r="P2120" t="n">
        <v>0</v>
      </c>
      <c r="Q2120" t="n">
        <v>0</v>
      </c>
      <c r="R2120" s="2" t="inlineStr"/>
    </row>
    <row r="2121" ht="15" customHeight="1">
      <c r="A2121" t="inlineStr">
        <is>
          <t>A 53645-2022</t>
        </is>
      </c>
      <c r="B2121" s="1" t="n">
        <v>44879</v>
      </c>
      <c r="C2121" s="1" t="n">
        <v>46165</v>
      </c>
      <c r="D2121" t="inlineStr">
        <is>
          <t>VÄSTERNORRLANDS LÄN</t>
        </is>
      </c>
      <c r="E2121" t="inlineStr">
        <is>
          <t>SUNDSVALL</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52706-2022</t>
        </is>
      </c>
      <c r="B2122" s="1" t="n">
        <v>44874</v>
      </c>
      <c r="C2122" s="1" t="n">
        <v>46165</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52740-2022</t>
        </is>
      </c>
      <c r="B2123" s="1" t="n">
        <v>44874</v>
      </c>
      <c r="C2123" s="1" t="n">
        <v>46165</v>
      </c>
      <c r="D2123" t="inlineStr">
        <is>
          <t>VÄSTERNORRLANDS LÄN</t>
        </is>
      </c>
      <c r="E2123" t="inlineStr">
        <is>
          <t>SUNDSVALL</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57110-2024</t>
        </is>
      </c>
      <c r="B2124" s="1" t="n">
        <v>45629.36476851852</v>
      </c>
      <c r="C2124" s="1" t="n">
        <v>46165</v>
      </c>
      <c r="D2124" t="inlineStr">
        <is>
          <t>VÄSTERNORRLANDS LÄN</t>
        </is>
      </c>
      <c r="E2124" t="inlineStr">
        <is>
          <t>SUNDSVALL</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47025-2023</t>
        </is>
      </c>
      <c r="B2125" s="1" t="n">
        <v>45195</v>
      </c>
      <c r="C2125" s="1" t="n">
        <v>46165</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58032-2021</t>
        </is>
      </c>
      <c r="B2126" s="1" t="n">
        <v>44487</v>
      </c>
      <c r="C2126" s="1" t="n">
        <v>46165</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7091-2025</t>
        </is>
      </c>
      <c r="B2127" s="1" t="n">
        <v>45701.75440972222</v>
      </c>
      <c r="C2127" s="1" t="n">
        <v>46165</v>
      </c>
      <c r="D2127" t="inlineStr">
        <is>
          <t>VÄSTERNORRLANDS LÄN</t>
        </is>
      </c>
      <c r="E2127" t="inlineStr">
        <is>
          <t>SUNDSVALL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10528-2022</t>
        </is>
      </c>
      <c r="B2128" s="1" t="n">
        <v>44623.92115740741</v>
      </c>
      <c r="C2128" s="1" t="n">
        <v>46165</v>
      </c>
      <c r="D2128" t="inlineStr">
        <is>
          <t>VÄSTERNORRLANDS LÄN</t>
        </is>
      </c>
      <c r="E2128" t="inlineStr">
        <is>
          <t>SUNDSVALL</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11813-2022</t>
        </is>
      </c>
      <c r="B2129" s="1" t="n">
        <v>44634.68443287037</v>
      </c>
      <c r="C2129" s="1" t="n">
        <v>46165</v>
      </c>
      <c r="D2129" t="inlineStr">
        <is>
          <t>VÄSTERNORRLANDS LÄN</t>
        </is>
      </c>
      <c r="E2129" t="inlineStr">
        <is>
          <t>SUNDSVALL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19091-2025</t>
        </is>
      </c>
      <c r="B2130" s="1" t="n">
        <v>45767.47315972222</v>
      </c>
      <c r="C2130" s="1" t="n">
        <v>46165</v>
      </c>
      <c r="D2130" t="inlineStr">
        <is>
          <t>VÄSTERNORRLANDS LÄN</t>
        </is>
      </c>
      <c r="E2130" t="inlineStr">
        <is>
          <t>SUNDSVALL</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31274-2023</t>
        </is>
      </c>
      <c r="B2131" s="1" t="n">
        <v>45114.3946412037</v>
      </c>
      <c r="C2131" s="1" t="n">
        <v>46165</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31278-2023</t>
        </is>
      </c>
      <c r="B2132" s="1" t="n">
        <v>45114.39721064815</v>
      </c>
      <c r="C2132" s="1" t="n">
        <v>46165</v>
      </c>
      <c r="D2132" t="inlineStr">
        <is>
          <t>VÄSTERNORRLANDS LÄN</t>
        </is>
      </c>
      <c r="E2132" t="inlineStr">
        <is>
          <t>SUNDSVALL</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40050-2024</t>
        </is>
      </c>
      <c r="B2133" s="1" t="n">
        <v>45553.80729166666</v>
      </c>
      <c r="C2133" s="1" t="n">
        <v>46165</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21196-2023</t>
        </is>
      </c>
      <c r="B2134" s="1" t="n">
        <v>45062.48819444444</v>
      </c>
      <c r="C2134" s="1" t="n">
        <v>46165</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47518-2023</t>
        </is>
      </c>
      <c r="B2135" s="1" t="n">
        <v>45203.32945601852</v>
      </c>
      <c r="C2135" s="1" t="n">
        <v>46165</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28771-2024</t>
        </is>
      </c>
      <c r="B2136" s="1" t="n">
        <v>45478</v>
      </c>
      <c r="C2136" s="1" t="n">
        <v>46165</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18286-2025</t>
        </is>
      </c>
      <c r="B2137" s="1" t="n">
        <v>45762.40010416666</v>
      </c>
      <c r="C2137" s="1" t="n">
        <v>46165</v>
      </c>
      <c r="D2137" t="inlineStr">
        <is>
          <t>VÄSTERNORRLANDS LÄN</t>
        </is>
      </c>
      <c r="E2137" t="inlineStr">
        <is>
          <t>SUNDSVALL</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32201-2023</t>
        </is>
      </c>
      <c r="B2138" s="1" t="n">
        <v>45119</v>
      </c>
      <c r="C2138" s="1" t="n">
        <v>46165</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23404-2023</t>
        </is>
      </c>
      <c r="B2139" s="1" t="n">
        <v>45076.48101851852</v>
      </c>
      <c r="C2139" s="1" t="n">
        <v>46165</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30686-2024</t>
        </is>
      </c>
      <c r="B2140" s="1" t="n">
        <v>45495</v>
      </c>
      <c r="C2140" s="1" t="n">
        <v>46165</v>
      </c>
      <c r="D2140" t="inlineStr">
        <is>
          <t>VÄSTERNORRLANDS LÄN</t>
        </is>
      </c>
      <c r="E2140" t="inlineStr">
        <is>
          <t>SUNDSVALL</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14152-2024</t>
        </is>
      </c>
      <c r="B2141" s="1" t="n">
        <v>45392</v>
      </c>
      <c r="C2141" s="1" t="n">
        <v>46165</v>
      </c>
      <c r="D2141" t="inlineStr">
        <is>
          <t>VÄSTERNORRLANDS LÄN</t>
        </is>
      </c>
      <c r="E2141" t="inlineStr">
        <is>
          <t>SUNDSVALL</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28536-2022</t>
        </is>
      </c>
      <c r="B2142" s="1" t="n">
        <v>44748</v>
      </c>
      <c r="C2142" s="1" t="n">
        <v>46165</v>
      </c>
      <c r="D2142" t="inlineStr">
        <is>
          <t>VÄSTERNORRLANDS LÄN</t>
        </is>
      </c>
      <c r="E2142" t="inlineStr">
        <is>
          <t>SUNDSVALL</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2108-2023</t>
        </is>
      </c>
      <c r="B2143" s="1" t="n">
        <v>44939.92412037037</v>
      </c>
      <c r="C2143" s="1" t="n">
        <v>46165</v>
      </c>
      <c r="D2143" t="inlineStr">
        <is>
          <t>VÄSTERNORRLANDS LÄN</t>
        </is>
      </c>
      <c r="E2143" t="inlineStr">
        <is>
          <t>SUNDSVALL</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34554-2022</t>
        </is>
      </c>
      <c r="B2144" s="1" t="n">
        <v>44794</v>
      </c>
      <c r="C2144" s="1" t="n">
        <v>46165</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3634-2023</t>
        </is>
      </c>
      <c r="B2145" s="1" t="n">
        <v>44950</v>
      </c>
      <c r="C2145" s="1" t="n">
        <v>46165</v>
      </c>
      <c r="D2145" t="inlineStr">
        <is>
          <t>VÄSTERNORRLANDS LÄN</t>
        </is>
      </c>
      <c r="E2145" t="inlineStr">
        <is>
          <t>SUNDSVALL</t>
        </is>
      </c>
      <c r="G2145" t="n">
        <v>49.4</v>
      </c>
      <c r="H2145" t="n">
        <v>0</v>
      </c>
      <c r="I2145" t="n">
        <v>0</v>
      </c>
      <c r="J2145" t="n">
        <v>0</v>
      </c>
      <c r="K2145" t="n">
        <v>0</v>
      </c>
      <c r="L2145" t="n">
        <v>0</v>
      </c>
      <c r="M2145" t="n">
        <v>0</v>
      </c>
      <c r="N2145" t="n">
        <v>0</v>
      </c>
      <c r="O2145" t="n">
        <v>0</v>
      </c>
      <c r="P2145" t="n">
        <v>0</v>
      </c>
      <c r="Q2145" t="n">
        <v>0</v>
      </c>
      <c r="R2145" s="2" t="inlineStr"/>
    </row>
    <row r="2146" ht="15" customHeight="1">
      <c r="A2146" t="inlineStr">
        <is>
          <t>A 51050-2024</t>
        </is>
      </c>
      <c r="B2146" s="1" t="n">
        <v>45603.4465625</v>
      </c>
      <c r="C2146" s="1" t="n">
        <v>46165</v>
      </c>
      <c r="D2146" t="inlineStr">
        <is>
          <t>VÄSTERNORRLANDS LÄN</t>
        </is>
      </c>
      <c r="E2146" t="inlineStr">
        <is>
          <t>SUNDSVALL</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41586-2023</t>
        </is>
      </c>
      <c r="B2147" s="1" t="n">
        <v>45175</v>
      </c>
      <c r="C2147" s="1" t="n">
        <v>46165</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20754-2024</t>
        </is>
      </c>
      <c r="B2148" s="1" t="n">
        <v>45436</v>
      </c>
      <c r="C2148" s="1" t="n">
        <v>46165</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28726-2022</t>
        </is>
      </c>
      <c r="B2149" s="1" t="n">
        <v>44748</v>
      </c>
      <c r="C2149" s="1" t="n">
        <v>46165</v>
      </c>
      <c r="D2149" t="inlineStr">
        <is>
          <t>VÄSTERNORRLANDS LÄN</t>
        </is>
      </c>
      <c r="E2149" t="inlineStr">
        <is>
          <t>SUNDSVALL</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6702-2025</t>
        </is>
      </c>
      <c r="B2150" s="1" t="n">
        <v>45700.5427199074</v>
      </c>
      <c r="C2150" s="1" t="n">
        <v>46165</v>
      </c>
      <c r="D2150" t="inlineStr">
        <is>
          <t>VÄSTERNORRLANDS LÄN</t>
        </is>
      </c>
      <c r="E2150" t="inlineStr">
        <is>
          <t>SUNDSVALL</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59576-2023</t>
        </is>
      </c>
      <c r="B2151" s="1" t="n">
        <v>45253</v>
      </c>
      <c r="C2151" s="1" t="n">
        <v>46165</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50205-2024</t>
        </is>
      </c>
      <c r="B2152" s="1" t="n">
        <v>45600.49386574074</v>
      </c>
      <c r="C2152" s="1" t="n">
        <v>46165</v>
      </c>
      <c r="D2152" t="inlineStr">
        <is>
          <t>VÄSTERNORRLANDS LÄN</t>
        </is>
      </c>
      <c r="E2152" t="inlineStr">
        <is>
          <t>SUNDSVALL</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50220-2024</t>
        </is>
      </c>
      <c r="B2153" s="1" t="n">
        <v>45600.53408564815</v>
      </c>
      <c r="C2153" s="1" t="n">
        <v>46165</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35682-2023</t>
        </is>
      </c>
      <c r="B2154" s="1" t="n">
        <v>45147</v>
      </c>
      <c r="C2154" s="1" t="n">
        <v>46165</v>
      </c>
      <c r="D2154" t="inlineStr">
        <is>
          <t>VÄSTERNORRLANDS LÄN</t>
        </is>
      </c>
      <c r="E2154" t="inlineStr">
        <is>
          <t>SUNDSVALL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29584-2021</t>
        </is>
      </c>
      <c r="B2155" s="1" t="n">
        <v>44361</v>
      </c>
      <c r="C2155" s="1" t="n">
        <v>46165</v>
      </c>
      <c r="D2155" t="inlineStr">
        <is>
          <t>VÄSTERNORRLANDS LÄN</t>
        </is>
      </c>
      <c r="E2155" t="inlineStr">
        <is>
          <t>SUNDSVALL</t>
        </is>
      </c>
      <c r="G2155" t="n">
        <v>14.6</v>
      </c>
      <c r="H2155" t="n">
        <v>0</v>
      </c>
      <c r="I2155" t="n">
        <v>0</v>
      </c>
      <c r="J2155" t="n">
        <v>0</v>
      </c>
      <c r="K2155" t="n">
        <v>0</v>
      </c>
      <c r="L2155" t="n">
        <v>0</v>
      </c>
      <c r="M2155" t="n">
        <v>0</v>
      </c>
      <c r="N2155" t="n">
        <v>0</v>
      </c>
      <c r="O2155" t="n">
        <v>0</v>
      </c>
      <c r="P2155" t="n">
        <v>0</v>
      </c>
      <c r="Q2155" t="n">
        <v>0</v>
      </c>
      <c r="R2155" s="2" t="inlineStr"/>
    </row>
    <row r="2156" ht="15" customHeight="1">
      <c r="A2156" t="inlineStr">
        <is>
          <t>A 22628-2024</t>
        </is>
      </c>
      <c r="B2156" s="1" t="n">
        <v>45447.66850694444</v>
      </c>
      <c r="C2156" s="1" t="n">
        <v>46165</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29598-2023</t>
        </is>
      </c>
      <c r="B2157" s="1" t="n">
        <v>45106</v>
      </c>
      <c r="C2157" s="1" t="n">
        <v>46165</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2587-2024</t>
        </is>
      </c>
      <c r="B2158" s="1" t="n">
        <v>45313</v>
      </c>
      <c r="C2158" s="1" t="n">
        <v>46165</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20557-2025</t>
        </is>
      </c>
      <c r="B2159" s="1" t="n">
        <v>45775.64427083333</v>
      </c>
      <c r="C2159" s="1" t="n">
        <v>46165</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54059-2023</t>
        </is>
      </c>
      <c r="B2160" s="1" t="n">
        <v>45231.96899305555</v>
      </c>
      <c r="C2160" s="1" t="n">
        <v>46165</v>
      </c>
      <c r="D2160" t="inlineStr">
        <is>
          <t>VÄSTERNORRLANDS LÄN</t>
        </is>
      </c>
      <c r="E2160" t="inlineStr">
        <is>
          <t>SUNDSVALL</t>
        </is>
      </c>
      <c r="F2160" t="inlineStr">
        <is>
          <t>SCA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3232-2025</t>
        </is>
      </c>
      <c r="B2161" s="1" t="n">
        <v>45679.49</v>
      </c>
      <c r="C2161" s="1" t="n">
        <v>46165</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38665-2022</t>
        </is>
      </c>
      <c r="B2162" s="1" t="n">
        <v>44813</v>
      </c>
      <c r="C2162" s="1" t="n">
        <v>46165</v>
      </c>
      <c r="D2162" t="inlineStr">
        <is>
          <t>VÄSTERNORRLANDS LÄN</t>
        </is>
      </c>
      <c r="E2162" t="inlineStr">
        <is>
          <t>SUNDSVALL</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48950-2024</t>
        </is>
      </c>
      <c r="B2163" s="1" t="n">
        <v>45594.42883101852</v>
      </c>
      <c r="C2163" s="1" t="n">
        <v>46165</v>
      </c>
      <c r="D2163" t="inlineStr">
        <is>
          <t>VÄSTERNORRLANDS LÄN</t>
        </is>
      </c>
      <c r="E2163" t="inlineStr">
        <is>
          <t>SUNDSVALL</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8796-2025</t>
        </is>
      </c>
      <c r="B2164" s="1" t="n">
        <v>45712.64783564815</v>
      </c>
      <c r="C2164" s="1" t="n">
        <v>46165</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59901-2024</t>
        </is>
      </c>
      <c r="B2165" s="1" t="n">
        <v>45641.59461805555</v>
      </c>
      <c r="C2165" s="1" t="n">
        <v>46165</v>
      </c>
      <c r="D2165" t="inlineStr">
        <is>
          <t>VÄSTERNORRLANDS LÄN</t>
        </is>
      </c>
      <c r="E2165" t="inlineStr">
        <is>
          <t>SUNDSVALL</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13445-2025</t>
        </is>
      </c>
      <c r="B2166" s="1" t="n">
        <v>45736.34521990741</v>
      </c>
      <c r="C2166" s="1" t="n">
        <v>46165</v>
      </c>
      <c r="D2166" t="inlineStr">
        <is>
          <t>VÄSTERNORRLANDS LÄN</t>
        </is>
      </c>
      <c r="E2166" t="inlineStr">
        <is>
          <t>SUNDSVALL</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13479-2025</t>
        </is>
      </c>
      <c r="B2167" s="1" t="n">
        <v>45736.41797453703</v>
      </c>
      <c r="C2167" s="1" t="n">
        <v>46165</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48333-2024</t>
        </is>
      </c>
      <c r="B2168" s="1" t="n">
        <v>45590.53158564815</v>
      </c>
      <c r="C2168" s="1" t="n">
        <v>46165</v>
      </c>
      <c r="D2168" t="inlineStr">
        <is>
          <t>VÄSTERNORRLANDS LÄN</t>
        </is>
      </c>
      <c r="E2168" t="inlineStr">
        <is>
          <t>SUNDSVALL</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21144-2023</t>
        </is>
      </c>
      <c r="B2169" s="1" t="n">
        <v>45057</v>
      </c>
      <c r="C2169" s="1" t="n">
        <v>46165</v>
      </c>
      <c r="D2169" t="inlineStr">
        <is>
          <t>VÄSTERNORRLANDS LÄN</t>
        </is>
      </c>
      <c r="E2169" t="inlineStr">
        <is>
          <t>SUNDSVALL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57521-2024</t>
        </is>
      </c>
      <c r="B2170" s="1" t="n">
        <v>45629</v>
      </c>
      <c r="C2170" s="1" t="n">
        <v>46165</v>
      </c>
      <c r="D2170" t="inlineStr">
        <is>
          <t>VÄSTERNORRLANDS LÄN</t>
        </is>
      </c>
      <c r="E2170" t="inlineStr">
        <is>
          <t>SUNDSVALL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13694-2023</t>
        </is>
      </c>
      <c r="B2171" s="1" t="n">
        <v>45006</v>
      </c>
      <c r="C2171" s="1" t="n">
        <v>46165</v>
      </c>
      <c r="D2171" t="inlineStr">
        <is>
          <t>VÄSTERNORRLANDS LÄN</t>
        </is>
      </c>
      <c r="E2171" t="inlineStr">
        <is>
          <t>SUNDSVALL</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6457-2023</t>
        </is>
      </c>
      <c r="B2172" s="1" t="n">
        <v>44965.93969907407</v>
      </c>
      <c r="C2172" s="1" t="n">
        <v>46165</v>
      </c>
      <c r="D2172" t="inlineStr">
        <is>
          <t>VÄSTERNORRLANDS LÄN</t>
        </is>
      </c>
      <c r="E2172" t="inlineStr">
        <is>
          <t>SUNDSVALL</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8463-2025</t>
        </is>
      </c>
      <c r="B2173" s="1" t="n">
        <v>45709.46928240741</v>
      </c>
      <c r="C2173" s="1" t="n">
        <v>46165</v>
      </c>
      <c r="D2173" t="inlineStr">
        <is>
          <t>VÄSTERNORRLANDS LÄN</t>
        </is>
      </c>
      <c r="E2173" t="inlineStr">
        <is>
          <t>SUNDSVALL</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8479-2025</t>
        </is>
      </c>
      <c r="B2174" s="1" t="n">
        <v>45709.4887962963</v>
      </c>
      <c r="C2174" s="1" t="n">
        <v>46165</v>
      </c>
      <c r="D2174" t="inlineStr">
        <is>
          <t>VÄSTERNORRLANDS LÄN</t>
        </is>
      </c>
      <c r="E2174" t="inlineStr">
        <is>
          <t>SUNDSVALL</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12101-2024</t>
        </is>
      </c>
      <c r="B2175" s="1" t="n">
        <v>45376</v>
      </c>
      <c r="C2175" s="1" t="n">
        <v>46165</v>
      </c>
      <c r="D2175" t="inlineStr">
        <is>
          <t>VÄSTERNORRLANDS LÄN</t>
        </is>
      </c>
      <c r="E2175" t="inlineStr">
        <is>
          <t>SUNDSVALL</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13674-2024</t>
        </is>
      </c>
      <c r="B2176" s="1" t="n">
        <v>45390</v>
      </c>
      <c r="C2176" s="1" t="n">
        <v>46165</v>
      </c>
      <c r="D2176" t="inlineStr">
        <is>
          <t>VÄSTERNORRLANDS LÄN</t>
        </is>
      </c>
      <c r="E2176" t="inlineStr">
        <is>
          <t>SUNDSVALL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27641-2023</t>
        </is>
      </c>
      <c r="B2177" s="1" t="n">
        <v>45097</v>
      </c>
      <c r="C2177" s="1" t="n">
        <v>46165</v>
      </c>
      <c r="D2177" t="inlineStr">
        <is>
          <t>VÄSTERNORRLANDS LÄN</t>
        </is>
      </c>
      <c r="E2177" t="inlineStr">
        <is>
          <t>SUNDSVALL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16768-2023</t>
        </is>
      </c>
      <c r="B2178" s="1" t="n">
        <v>45030</v>
      </c>
      <c r="C2178" s="1" t="n">
        <v>46165</v>
      </c>
      <c r="D2178" t="inlineStr">
        <is>
          <t>VÄSTERNORRLANDS LÄN</t>
        </is>
      </c>
      <c r="E2178" t="inlineStr">
        <is>
          <t>SUNDSVALL</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48441-2024</t>
        </is>
      </c>
      <c r="B2179" s="1" t="n">
        <v>45590.67782407408</v>
      </c>
      <c r="C2179" s="1" t="n">
        <v>46165</v>
      </c>
      <c r="D2179" t="inlineStr">
        <is>
          <t>VÄSTERNORRLANDS LÄN</t>
        </is>
      </c>
      <c r="E2179" t="inlineStr">
        <is>
          <t>SUNDSVALL</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48442-2024</t>
        </is>
      </c>
      <c r="B2180" s="1" t="n">
        <v>45590.67783564814</v>
      </c>
      <c r="C2180" s="1" t="n">
        <v>46165</v>
      </c>
      <c r="D2180" t="inlineStr">
        <is>
          <t>VÄSTERNORRLANDS LÄN</t>
        </is>
      </c>
      <c r="E2180" t="inlineStr">
        <is>
          <t>SUNDSVALL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47157-2023</t>
        </is>
      </c>
      <c r="B2181" s="1" t="n">
        <v>45201</v>
      </c>
      <c r="C2181" s="1" t="n">
        <v>46165</v>
      </c>
      <c r="D2181" t="inlineStr">
        <is>
          <t>VÄSTERNORRLANDS LÄN</t>
        </is>
      </c>
      <c r="E2181" t="inlineStr">
        <is>
          <t>SUNDSVALL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20364-2023</t>
        </is>
      </c>
      <c r="B2182" s="1" t="n">
        <v>45054</v>
      </c>
      <c r="C2182" s="1" t="n">
        <v>46165</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39347-2024</t>
        </is>
      </c>
      <c r="B2183" s="1" t="n">
        <v>45551.44858796296</v>
      </c>
      <c r="C2183" s="1" t="n">
        <v>46165</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17436-2023</t>
        </is>
      </c>
      <c r="B2184" s="1" t="n">
        <v>45035.92699074074</v>
      </c>
      <c r="C2184" s="1" t="n">
        <v>46165</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57077-2024</t>
        </is>
      </c>
      <c r="B2185" s="1" t="n">
        <v>45629.35503472222</v>
      </c>
      <c r="C2185" s="1" t="n">
        <v>46165</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16223-2024</t>
        </is>
      </c>
      <c r="B2186" s="1" t="n">
        <v>45406.96440972222</v>
      </c>
      <c r="C2186" s="1" t="n">
        <v>46165</v>
      </c>
      <c r="D2186" t="inlineStr">
        <is>
          <t>VÄSTERNORRLANDS LÄN</t>
        </is>
      </c>
      <c r="E2186" t="inlineStr">
        <is>
          <t>SUNDSVALL</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22642-2023</t>
        </is>
      </c>
      <c r="B2187" s="1" t="n">
        <v>45071</v>
      </c>
      <c r="C2187" s="1" t="n">
        <v>46165</v>
      </c>
      <c r="D2187" t="inlineStr">
        <is>
          <t>VÄSTERNORRLANDS LÄN</t>
        </is>
      </c>
      <c r="E2187" t="inlineStr">
        <is>
          <t>SUNDSVALL</t>
        </is>
      </c>
      <c r="F2187" t="inlineStr">
        <is>
          <t>Holmen skog AB</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50272-2023</t>
        </is>
      </c>
      <c r="B2188" s="1" t="n">
        <v>45216</v>
      </c>
      <c r="C2188" s="1" t="n">
        <v>46165</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1483-2023</t>
        </is>
      </c>
      <c r="B2189" s="1" t="n">
        <v>44937.46645833334</v>
      </c>
      <c r="C2189" s="1" t="n">
        <v>46165</v>
      </c>
      <c r="D2189" t="inlineStr">
        <is>
          <t>VÄSTERNORRLANDS LÄN</t>
        </is>
      </c>
      <c r="E2189" t="inlineStr">
        <is>
          <t>SUNDSVALL</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36007-2021</t>
        </is>
      </c>
      <c r="B2190" s="1" t="n">
        <v>44389.37854166667</v>
      </c>
      <c r="C2190" s="1" t="n">
        <v>46165</v>
      </c>
      <c r="D2190" t="inlineStr">
        <is>
          <t>VÄSTERNORRLANDS LÄN</t>
        </is>
      </c>
      <c r="E2190" t="inlineStr">
        <is>
          <t>SUNDSVALL</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18987-2022</t>
        </is>
      </c>
      <c r="B2191" s="1" t="n">
        <v>44690.92653935185</v>
      </c>
      <c r="C2191" s="1" t="n">
        <v>46165</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10517-2025</t>
        </is>
      </c>
      <c r="B2192" s="1" t="n">
        <v>45721.42747685185</v>
      </c>
      <c r="C2192" s="1" t="n">
        <v>46165</v>
      </c>
      <c r="D2192" t="inlineStr">
        <is>
          <t>VÄSTERNORRLANDS LÄN</t>
        </is>
      </c>
      <c r="E2192" t="inlineStr">
        <is>
          <t>SUNDSVALL</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20715-2025</t>
        </is>
      </c>
      <c r="B2193" s="1" t="n">
        <v>45776.49008101852</v>
      </c>
      <c r="C2193" s="1" t="n">
        <v>46165</v>
      </c>
      <c r="D2193" t="inlineStr">
        <is>
          <t>VÄSTERNORRLANDS LÄN</t>
        </is>
      </c>
      <c r="E2193" t="inlineStr">
        <is>
          <t>SUNDSVALL</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20626-2025</t>
        </is>
      </c>
      <c r="B2194" s="1" t="n">
        <v>45776</v>
      </c>
      <c r="C2194" s="1" t="n">
        <v>46165</v>
      </c>
      <c r="D2194" t="inlineStr">
        <is>
          <t>VÄSTERNORRLANDS LÄN</t>
        </is>
      </c>
      <c r="E2194" t="inlineStr">
        <is>
          <t>SUNDSVALL</t>
        </is>
      </c>
      <c r="F2194" t="inlineStr">
        <is>
          <t>Naturvårdsverket</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20629-2025</t>
        </is>
      </c>
      <c r="B2195" s="1" t="n">
        <v>45776</v>
      </c>
      <c r="C2195" s="1" t="n">
        <v>46165</v>
      </c>
      <c r="D2195" t="inlineStr">
        <is>
          <t>VÄSTERNORRLANDS LÄN</t>
        </is>
      </c>
      <c r="E2195" t="inlineStr">
        <is>
          <t>SUNDSVALL</t>
        </is>
      </c>
      <c r="F2195" t="inlineStr">
        <is>
          <t>SCA</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20627-2025</t>
        </is>
      </c>
      <c r="B2196" s="1" t="n">
        <v>45776.34429398148</v>
      </c>
      <c r="C2196" s="1" t="n">
        <v>46165</v>
      </c>
      <c r="D2196" t="inlineStr">
        <is>
          <t>VÄSTERNORRLANDS LÄN</t>
        </is>
      </c>
      <c r="E2196" t="inlineStr">
        <is>
          <t>SUNDSVALL</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20694-2025</t>
        </is>
      </c>
      <c r="B2197" s="1" t="n">
        <v>45776.46938657408</v>
      </c>
      <c r="C2197" s="1" t="n">
        <v>46165</v>
      </c>
      <c r="D2197" t="inlineStr">
        <is>
          <t>VÄSTERNORRLANDS LÄN</t>
        </is>
      </c>
      <c r="E2197" t="inlineStr">
        <is>
          <t>SUNDSVALL</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20908-2025</t>
        </is>
      </c>
      <c r="B2198" s="1" t="n">
        <v>45777.40657407408</v>
      </c>
      <c r="C2198" s="1" t="n">
        <v>46165</v>
      </c>
      <c r="D2198" t="inlineStr">
        <is>
          <t>VÄSTERNORRLANDS LÄN</t>
        </is>
      </c>
      <c r="E2198" t="inlineStr">
        <is>
          <t>SUNDSVALL</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20630-2025</t>
        </is>
      </c>
      <c r="B2199" s="1" t="n">
        <v>45776.34467592592</v>
      </c>
      <c r="C2199" s="1" t="n">
        <v>46165</v>
      </c>
      <c r="D2199" t="inlineStr">
        <is>
          <t>VÄSTERNORRLANDS LÄN</t>
        </is>
      </c>
      <c r="E2199" t="inlineStr">
        <is>
          <t>SUNDSVALL</t>
        </is>
      </c>
      <c r="F2199" t="inlineStr">
        <is>
          <t>Naturvårdsverket</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57403-2023</t>
        </is>
      </c>
      <c r="B2200" s="1" t="n">
        <v>45245</v>
      </c>
      <c r="C2200" s="1" t="n">
        <v>46165</v>
      </c>
      <c r="D2200" t="inlineStr">
        <is>
          <t>VÄSTERNORRLANDS LÄN</t>
        </is>
      </c>
      <c r="E2200" t="inlineStr">
        <is>
          <t>SUNDSVALL</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52237-2023</t>
        </is>
      </c>
      <c r="B2201" s="1" t="n">
        <v>45217</v>
      </c>
      <c r="C2201" s="1" t="n">
        <v>46165</v>
      </c>
      <c r="D2201" t="inlineStr">
        <is>
          <t>VÄSTERNORRLANDS LÄN</t>
        </is>
      </c>
      <c r="E2201" t="inlineStr">
        <is>
          <t>SUNDSVALL</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21624-2025</t>
        </is>
      </c>
      <c r="B2202" s="1" t="n">
        <v>45783.40694444445</v>
      </c>
      <c r="C2202" s="1" t="n">
        <v>46165</v>
      </c>
      <c r="D2202" t="inlineStr">
        <is>
          <t>VÄSTERNORRLANDS LÄN</t>
        </is>
      </c>
      <c r="E2202" t="inlineStr">
        <is>
          <t>SUNDSVALL</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21665-2025</t>
        </is>
      </c>
      <c r="B2203" s="1" t="n">
        <v>45783.45895833334</v>
      </c>
      <c r="C2203" s="1" t="n">
        <v>46165</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21488-2025</t>
        </is>
      </c>
      <c r="B2204" s="1" t="n">
        <v>45782.59545138889</v>
      </c>
      <c r="C2204" s="1" t="n">
        <v>46165</v>
      </c>
      <c r="D2204" t="inlineStr">
        <is>
          <t>VÄSTERNORRLANDS LÄN</t>
        </is>
      </c>
      <c r="E2204" t="inlineStr">
        <is>
          <t>SUNDSVALL</t>
        </is>
      </c>
      <c r="F2204" t="inlineStr">
        <is>
          <t>SCA</t>
        </is>
      </c>
      <c r="G2204" t="n">
        <v>19.2</v>
      </c>
      <c r="H2204" t="n">
        <v>0</v>
      </c>
      <c r="I2204" t="n">
        <v>0</v>
      </c>
      <c r="J2204" t="n">
        <v>0</v>
      </c>
      <c r="K2204" t="n">
        <v>0</v>
      </c>
      <c r="L2204" t="n">
        <v>0</v>
      </c>
      <c r="M2204" t="n">
        <v>0</v>
      </c>
      <c r="N2204" t="n">
        <v>0</v>
      </c>
      <c r="O2204" t="n">
        <v>0</v>
      </c>
      <c r="P2204" t="n">
        <v>0</v>
      </c>
      <c r="Q2204" t="n">
        <v>0</v>
      </c>
      <c r="R2204" s="2" t="inlineStr"/>
    </row>
    <row r="2205" ht="15" customHeight="1">
      <c r="A2205" t="inlineStr">
        <is>
          <t>A 21338-2024</t>
        </is>
      </c>
      <c r="B2205" s="1" t="n">
        <v>45440.92746527777</v>
      </c>
      <c r="C2205" s="1" t="n">
        <v>46165</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21699-2025</t>
        </is>
      </c>
      <c r="B2206" s="1" t="n">
        <v>45783.51076388889</v>
      </c>
      <c r="C2206" s="1" t="n">
        <v>46165</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21659-2025</t>
        </is>
      </c>
      <c r="B2207" s="1" t="n">
        <v>45783.45505787037</v>
      </c>
      <c r="C2207" s="1" t="n">
        <v>46165</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15677-2024</t>
        </is>
      </c>
      <c r="B2208" s="1" t="n">
        <v>45404.41268518518</v>
      </c>
      <c r="C2208" s="1" t="n">
        <v>46165</v>
      </c>
      <c r="D2208" t="inlineStr">
        <is>
          <t>VÄSTERNORRLANDS LÄN</t>
        </is>
      </c>
      <c r="E2208" t="inlineStr">
        <is>
          <t>SUNDSVALL</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21319-2025</t>
        </is>
      </c>
      <c r="B2209" s="1" t="n">
        <v>45782.34487268519</v>
      </c>
      <c r="C2209" s="1" t="n">
        <v>46165</v>
      </c>
      <c r="D2209" t="inlineStr">
        <is>
          <t>VÄSTERNORRLANDS LÄN</t>
        </is>
      </c>
      <c r="E2209" t="inlineStr">
        <is>
          <t>SUNDSVALL</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21768-2025</t>
        </is>
      </c>
      <c r="B2210" s="1" t="n">
        <v>45783.65178240741</v>
      </c>
      <c r="C2210" s="1" t="n">
        <v>46165</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43422-2023</t>
        </is>
      </c>
      <c r="B2211" s="1" t="n">
        <v>45183</v>
      </c>
      <c r="C2211" s="1" t="n">
        <v>46165</v>
      </c>
      <c r="D2211" t="inlineStr">
        <is>
          <t>VÄSTERNORRLANDS LÄN</t>
        </is>
      </c>
      <c r="E2211" t="inlineStr">
        <is>
          <t>SUNDSVALL</t>
        </is>
      </c>
      <c r="F2211" t="inlineStr">
        <is>
          <t>SCA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6269-2024</t>
        </is>
      </c>
      <c r="B2212" s="1" t="n">
        <v>45337</v>
      </c>
      <c r="C2212" s="1" t="n">
        <v>46165</v>
      </c>
      <c r="D2212" t="inlineStr">
        <is>
          <t>VÄSTERNORRLANDS LÄN</t>
        </is>
      </c>
      <c r="E2212" t="inlineStr">
        <is>
          <t>SUNDSVALL</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21554-2025</t>
        </is>
      </c>
      <c r="B2213" s="1" t="n">
        <v>45782.67815972222</v>
      </c>
      <c r="C2213" s="1" t="n">
        <v>46165</v>
      </c>
      <c r="D2213" t="inlineStr">
        <is>
          <t>VÄSTERNORRLANDS LÄN</t>
        </is>
      </c>
      <c r="E2213" t="inlineStr">
        <is>
          <t>SUNDSVALL</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21478-2025</t>
        </is>
      </c>
      <c r="B2214" s="1" t="n">
        <v>45782.59412037037</v>
      </c>
      <c r="C2214" s="1" t="n">
        <v>46165</v>
      </c>
      <c r="D2214" t="inlineStr">
        <is>
          <t>VÄSTERNORRLANDS LÄN</t>
        </is>
      </c>
      <c r="E2214" t="inlineStr">
        <is>
          <t>SUNDSVALL</t>
        </is>
      </c>
      <c r="F2214" t="inlineStr">
        <is>
          <t>Naturvårdsverket</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3428-2025</t>
        </is>
      </c>
      <c r="B2215" s="1" t="n">
        <v>45680</v>
      </c>
      <c r="C2215" s="1" t="n">
        <v>46165</v>
      </c>
      <c r="D2215" t="inlineStr">
        <is>
          <t>VÄSTERNORRLANDS LÄN</t>
        </is>
      </c>
      <c r="E2215" t="inlineStr">
        <is>
          <t>SUNDSVALL</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40786-2023</t>
        </is>
      </c>
      <c r="B2216" s="1" t="n">
        <v>45170.95792824074</v>
      </c>
      <c r="C2216" s="1" t="n">
        <v>46165</v>
      </c>
      <c r="D2216" t="inlineStr">
        <is>
          <t>VÄSTERNORRLANDS LÄN</t>
        </is>
      </c>
      <c r="E2216" t="inlineStr">
        <is>
          <t>SUNDSVALL</t>
        </is>
      </c>
      <c r="F2216" t="inlineStr">
        <is>
          <t>SCA</t>
        </is>
      </c>
      <c r="G2216" t="n">
        <v>18.1</v>
      </c>
      <c r="H2216" t="n">
        <v>0</v>
      </c>
      <c r="I2216" t="n">
        <v>0</v>
      </c>
      <c r="J2216" t="n">
        <v>0</v>
      </c>
      <c r="K2216" t="n">
        <v>0</v>
      </c>
      <c r="L2216" t="n">
        <v>0</v>
      </c>
      <c r="M2216" t="n">
        <v>0</v>
      </c>
      <c r="N2216" t="n">
        <v>0</v>
      </c>
      <c r="O2216" t="n">
        <v>0</v>
      </c>
      <c r="P2216" t="n">
        <v>0</v>
      </c>
      <c r="Q2216" t="n">
        <v>0</v>
      </c>
      <c r="R2216" s="2" t="inlineStr"/>
    </row>
    <row r="2217" ht="15" customHeight="1">
      <c r="A2217" t="inlineStr">
        <is>
          <t>A 56252-2023</t>
        </is>
      </c>
      <c r="B2217" s="1" t="n">
        <v>45240</v>
      </c>
      <c r="C2217" s="1" t="n">
        <v>46165</v>
      </c>
      <c r="D2217" t="inlineStr">
        <is>
          <t>VÄSTERNORRLANDS LÄN</t>
        </is>
      </c>
      <c r="E2217" t="inlineStr">
        <is>
          <t>SUNDSVALL</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22208-2025</t>
        </is>
      </c>
      <c r="B2218" s="1" t="n">
        <v>45785.65722222222</v>
      </c>
      <c r="C2218" s="1" t="n">
        <v>46165</v>
      </c>
      <c r="D2218" t="inlineStr">
        <is>
          <t>VÄSTERNORRLANDS LÄN</t>
        </is>
      </c>
      <c r="E2218" t="inlineStr">
        <is>
          <t>SUNDSVALL</t>
        </is>
      </c>
      <c r="F2218" t="inlineStr">
        <is>
          <t>Naturvårdsverket</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17189-2024</t>
        </is>
      </c>
      <c r="B2219" s="1" t="n">
        <v>45412</v>
      </c>
      <c r="C2219" s="1" t="n">
        <v>46165</v>
      </c>
      <c r="D2219" t="inlineStr">
        <is>
          <t>VÄSTERNORRLANDS LÄN</t>
        </is>
      </c>
      <c r="E2219" t="inlineStr">
        <is>
          <t>SUNDSVALL</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28172-2024</t>
        </is>
      </c>
      <c r="B2220" s="1" t="n">
        <v>45476</v>
      </c>
      <c r="C2220" s="1" t="n">
        <v>46165</v>
      </c>
      <c r="D2220" t="inlineStr">
        <is>
          <t>VÄSTERNORRLANDS LÄN</t>
        </is>
      </c>
      <c r="E2220" t="inlineStr">
        <is>
          <t>SUNDSVALL</t>
        </is>
      </c>
      <c r="F2220" t="inlineStr">
        <is>
          <t>Kyrkan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22470-2025</t>
        </is>
      </c>
      <c r="B2221" s="1" t="n">
        <v>45786.61554398148</v>
      </c>
      <c r="C2221" s="1" t="n">
        <v>46165</v>
      </c>
      <c r="D2221" t="inlineStr">
        <is>
          <t>VÄSTERNORRLANDS LÄN</t>
        </is>
      </c>
      <c r="E2221" t="inlineStr">
        <is>
          <t>SUNDSVALL</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16941-2025</t>
        </is>
      </c>
      <c r="B2222" s="1" t="n">
        <v>45755</v>
      </c>
      <c r="C2222" s="1" t="n">
        <v>46165</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22322-2025</t>
        </is>
      </c>
      <c r="B2223" s="1" t="n">
        <v>45786.40657407408</v>
      </c>
      <c r="C2223" s="1" t="n">
        <v>46165</v>
      </c>
      <c r="D2223" t="inlineStr">
        <is>
          <t>VÄSTERNORRLANDS LÄN</t>
        </is>
      </c>
      <c r="E2223" t="inlineStr">
        <is>
          <t>SUNDSVALL</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22321-2025</t>
        </is>
      </c>
      <c r="B2224" s="1" t="n">
        <v>45786.4065162037</v>
      </c>
      <c r="C2224" s="1" t="n">
        <v>46165</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22347-2025</t>
        </is>
      </c>
      <c r="B2225" s="1" t="n">
        <v>45786.44875</v>
      </c>
      <c r="C2225" s="1" t="n">
        <v>46165</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22349-2025</t>
        </is>
      </c>
      <c r="B2226" s="1" t="n">
        <v>45786.4488425926</v>
      </c>
      <c r="C2226" s="1" t="n">
        <v>46165</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22350-2025</t>
        </is>
      </c>
      <c r="B2227" s="1" t="n">
        <v>45786.44888888889</v>
      </c>
      <c r="C2227" s="1" t="n">
        <v>46165</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22348-2025</t>
        </is>
      </c>
      <c r="B2228" s="1" t="n">
        <v>45786.44878472222</v>
      </c>
      <c r="C2228" s="1" t="n">
        <v>46165</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60399-2022</t>
        </is>
      </c>
      <c r="B2229" s="1" t="n">
        <v>44910</v>
      </c>
      <c r="C2229" s="1" t="n">
        <v>46165</v>
      </c>
      <c r="D2229" t="inlineStr">
        <is>
          <t>VÄSTERNORRLANDS LÄN</t>
        </is>
      </c>
      <c r="E2229" t="inlineStr">
        <is>
          <t>SUNDSVALL</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22445-2025</t>
        </is>
      </c>
      <c r="B2230" s="1" t="n">
        <v>45786.59431712963</v>
      </c>
      <c r="C2230" s="1" t="n">
        <v>46165</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10539-2023</t>
        </is>
      </c>
      <c r="B2231" s="1" t="n">
        <v>44987</v>
      </c>
      <c r="C2231" s="1" t="n">
        <v>46165</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59997-2023</t>
        </is>
      </c>
      <c r="B2232" s="1" t="n">
        <v>45257.97215277778</v>
      </c>
      <c r="C2232" s="1" t="n">
        <v>46165</v>
      </c>
      <c r="D2232" t="inlineStr">
        <is>
          <t>VÄSTERNORRLANDS LÄN</t>
        </is>
      </c>
      <c r="E2232" t="inlineStr">
        <is>
          <t>SUNDSVALL</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22775-2025</t>
        </is>
      </c>
      <c r="B2233" s="1" t="n">
        <v>45789.63674768519</v>
      </c>
      <c r="C2233" s="1" t="n">
        <v>46165</v>
      </c>
      <c r="D2233" t="inlineStr">
        <is>
          <t>VÄSTERNORRLANDS LÄN</t>
        </is>
      </c>
      <c r="E2233" t="inlineStr">
        <is>
          <t>SUNDSVALL</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7515-2023</t>
        </is>
      </c>
      <c r="B2234" s="1" t="n">
        <v>44971</v>
      </c>
      <c r="C2234" s="1" t="n">
        <v>46165</v>
      </c>
      <c r="D2234" t="inlineStr">
        <is>
          <t>VÄSTERNORRLANDS LÄN</t>
        </is>
      </c>
      <c r="E2234" t="inlineStr">
        <is>
          <t>SUNDSVALL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38287-2024</t>
        </is>
      </c>
      <c r="B2235" s="1" t="n">
        <v>45545.61619212963</v>
      </c>
      <c r="C2235" s="1" t="n">
        <v>46165</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4584-2024</t>
        </is>
      </c>
      <c r="B2236" s="1" t="n">
        <v>45327.92819444444</v>
      </c>
      <c r="C2236" s="1" t="n">
        <v>46165</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22471-2025</t>
        </is>
      </c>
      <c r="B2237" s="1" t="n">
        <v>45786.61559027778</v>
      </c>
      <c r="C2237" s="1" t="n">
        <v>46165</v>
      </c>
      <c r="D2237" t="inlineStr">
        <is>
          <t>VÄSTERNORRLANDS LÄN</t>
        </is>
      </c>
      <c r="E2237" t="inlineStr">
        <is>
          <t>SUNDSVALL</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2711-2025</t>
        </is>
      </c>
      <c r="B2238" s="1" t="n">
        <v>45677</v>
      </c>
      <c r="C2238" s="1" t="n">
        <v>46165</v>
      </c>
      <c r="D2238" t="inlineStr">
        <is>
          <t>VÄSTERNORRLANDS LÄN</t>
        </is>
      </c>
      <c r="E2238" t="inlineStr">
        <is>
          <t>SUNDSVALL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23095-2025</t>
        </is>
      </c>
      <c r="B2239" s="1" t="n">
        <v>45791.34487268519</v>
      </c>
      <c r="C2239" s="1" t="n">
        <v>46165</v>
      </c>
      <c r="D2239" t="inlineStr">
        <is>
          <t>VÄSTERNORRLANDS LÄN</t>
        </is>
      </c>
      <c r="E2239" t="inlineStr">
        <is>
          <t>SUNDSVALL</t>
        </is>
      </c>
      <c r="F2239" t="inlineStr">
        <is>
          <t>SCA</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22837-2025</t>
        </is>
      </c>
      <c r="B2240" s="1" t="n">
        <v>45789.91606481482</v>
      </c>
      <c r="C2240" s="1" t="n">
        <v>46165</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23334-2025</t>
        </is>
      </c>
      <c r="B2241" s="1" t="n">
        <v>45791.65145833333</v>
      </c>
      <c r="C2241" s="1" t="n">
        <v>46165</v>
      </c>
      <c r="D2241" t="inlineStr">
        <is>
          <t>VÄSTERNORRLANDS LÄN</t>
        </is>
      </c>
      <c r="E2241" t="inlineStr">
        <is>
          <t>SUNDSVALL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22884-2025</t>
        </is>
      </c>
      <c r="B2242" s="1" t="n">
        <v>45790.38577546296</v>
      </c>
      <c r="C2242" s="1" t="n">
        <v>46165</v>
      </c>
      <c r="D2242" t="inlineStr">
        <is>
          <t>VÄSTERNORRLANDS LÄN</t>
        </is>
      </c>
      <c r="E2242" t="inlineStr">
        <is>
          <t>SUNDSVALL</t>
        </is>
      </c>
      <c r="F2242" t="inlineStr">
        <is>
          <t>SCA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23152-2025</t>
        </is>
      </c>
      <c r="B2243" s="1" t="n">
        <v>45791.40515046296</v>
      </c>
      <c r="C2243" s="1" t="n">
        <v>46165</v>
      </c>
      <c r="D2243" t="inlineStr">
        <is>
          <t>VÄSTERNORRLANDS LÄN</t>
        </is>
      </c>
      <c r="E2243" t="inlineStr">
        <is>
          <t>SUNDSVALL</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23156-2025</t>
        </is>
      </c>
      <c r="B2244" s="1" t="n">
        <v>45791.40693287037</v>
      </c>
      <c r="C2244" s="1" t="n">
        <v>46165</v>
      </c>
      <c r="D2244" t="inlineStr">
        <is>
          <t>VÄSTERNORRLANDS LÄN</t>
        </is>
      </c>
      <c r="E2244" t="inlineStr">
        <is>
          <t>SUNDSVALL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23157-2025</t>
        </is>
      </c>
      <c r="B2245" s="1" t="n">
        <v>45791.40707175926</v>
      </c>
      <c r="C2245" s="1" t="n">
        <v>46165</v>
      </c>
      <c r="D2245" t="inlineStr">
        <is>
          <t>VÄSTERNORRLANDS LÄN</t>
        </is>
      </c>
      <c r="E2245" t="inlineStr">
        <is>
          <t>SUNDSVALL</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23162-2025</t>
        </is>
      </c>
      <c r="B2246" s="1" t="n">
        <v>45791.40846064815</v>
      </c>
      <c r="C2246" s="1" t="n">
        <v>46165</v>
      </c>
      <c r="D2246" t="inlineStr">
        <is>
          <t>VÄSTERNORRLANDS LÄN</t>
        </is>
      </c>
      <c r="E2246" t="inlineStr">
        <is>
          <t>SUNDSVALL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56681-2023</t>
        </is>
      </c>
      <c r="B2247" s="1" t="n">
        <v>45243</v>
      </c>
      <c r="C2247" s="1" t="n">
        <v>46165</v>
      </c>
      <c r="D2247" t="inlineStr">
        <is>
          <t>VÄSTERNORRLANDS LÄN</t>
        </is>
      </c>
      <c r="E2247" t="inlineStr">
        <is>
          <t>SUNDSVALL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23765-2025</t>
        </is>
      </c>
      <c r="B2248" s="1" t="n">
        <v>45793.46952546296</v>
      </c>
      <c r="C2248" s="1" t="n">
        <v>46165</v>
      </c>
      <c r="D2248" t="inlineStr">
        <is>
          <t>VÄSTERNORRLANDS LÄN</t>
        </is>
      </c>
      <c r="E2248" t="inlineStr">
        <is>
          <t>SUNDSVALL</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23691-2025</t>
        </is>
      </c>
      <c r="B2249" s="1" t="n">
        <v>45793.34472222222</v>
      </c>
      <c r="C2249" s="1" t="n">
        <v>46165</v>
      </c>
      <c r="D2249" t="inlineStr">
        <is>
          <t>VÄSTERNORRLANDS LÄN</t>
        </is>
      </c>
      <c r="E2249" t="inlineStr">
        <is>
          <t>SUNDSVALL</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23736-2025</t>
        </is>
      </c>
      <c r="B2250" s="1" t="n">
        <v>45793.42796296296</v>
      </c>
      <c r="C2250" s="1" t="n">
        <v>46165</v>
      </c>
      <c r="D2250" t="inlineStr">
        <is>
          <t>VÄSTERNORRLANDS LÄN</t>
        </is>
      </c>
      <c r="E2250" t="inlineStr">
        <is>
          <t>SUNDSVALL</t>
        </is>
      </c>
      <c r="F2250" t="inlineStr">
        <is>
          <t>SCA</t>
        </is>
      </c>
      <c r="G2250" t="n">
        <v>22.8</v>
      </c>
      <c r="H2250" t="n">
        <v>0</v>
      </c>
      <c r="I2250" t="n">
        <v>0</v>
      </c>
      <c r="J2250" t="n">
        <v>0</v>
      </c>
      <c r="K2250" t="n">
        <v>0</v>
      </c>
      <c r="L2250" t="n">
        <v>0</v>
      </c>
      <c r="M2250" t="n">
        <v>0</v>
      </c>
      <c r="N2250" t="n">
        <v>0</v>
      </c>
      <c r="O2250" t="n">
        <v>0</v>
      </c>
      <c r="P2250" t="n">
        <v>0</v>
      </c>
      <c r="Q2250" t="n">
        <v>0</v>
      </c>
      <c r="R2250" s="2" t="inlineStr"/>
    </row>
    <row r="2251" ht="15" customHeight="1">
      <c r="A2251" t="inlineStr">
        <is>
          <t>A 23637-2025</t>
        </is>
      </c>
      <c r="B2251" s="1" t="n">
        <v>45792.67971064815</v>
      </c>
      <c r="C2251" s="1" t="n">
        <v>46165</v>
      </c>
      <c r="D2251" t="inlineStr">
        <is>
          <t>VÄSTERNORRLANDS LÄN</t>
        </is>
      </c>
      <c r="E2251" t="inlineStr">
        <is>
          <t>SUNDSVALL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23653-2025</t>
        </is>
      </c>
      <c r="B2252" s="1" t="n">
        <v>45792</v>
      </c>
      <c r="C2252" s="1" t="n">
        <v>46165</v>
      </c>
      <c r="D2252" t="inlineStr">
        <is>
          <t>VÄSTERNORRLANDS LÄN</t>
        </is>
      </c>
      <c r="E2252" t="inlineStr">
        <is>
          <t>SUNDSVALL</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23410-2025</t>
        </is>
      </c>
      <c r="B2253" s="1" t="n">
        <v>45792.34569444445</v>
      </c>
      <c r="C2253" s="1" t="n">
        <v>46165</v>
      </c>
      <c r="D2253" t="inlineStr">
        <is>
          <t>VÄSTERNORRLANDS LÄN</t>
        </is>
      </c>
      <c r="E2253" t="inlineStr">
        <is>
          <t>SUNDSVALL</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30299-2024</t>
        </is>
      </c>
      <c r="B2254" s="1" t="n">
        <v>45490</v>
      </c>
      <c r="C2254" s="1" t="n">
        <v>46165</v>
      </c>
      <c r="D2254" t="inlineStr">
        <is>
          <t>VÄSTERNORRLANDS LÄN</t>
        </is>
      </c>
      <c r="E2254" t="inlineStr">
        <is>
          <t>SUNDSVALL</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24339-2025</t>
        </is>
      </c>
      <c r="B2255" s="1" t="n">
        <v>45797.57395833333</v>
      </c>
      <c r="C2255" s="1" t="n">
        <v>46165</v>
      </c>
      <c r="D2255" t="inlineStr">
        <is>
          <t>VÄSTERNORRLANDS LÄN</t>
        </is>
      </c>
      <c r="E2255" t="inlineStr">
        <is>
          <t>SUNDSVALL</t>
        </is>
      </c>
      <c r="F2255" t="inlineStr">
        <is>
          <t>Naturvårdsverket</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15143-2024</t>
        </is>
      </c>
      <c r="B2256" s="1" t="n">
        <v>45399.94331018518</v>
      </c>
      <c r="C2256" s="1" t="n">
        <v>46165</v>
      </c>
      <c r="D2256" t="inlineStr">
        <is>
          <t>VÄSTERNORRLANDS LÄN</t>
        </is>
      </c>
      <c r="E2256" t="inlineStr">
        <is>
          <t>SUNDSVALL</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27470-2023</t>
        </is>
      </c>
      <c r="B2257" s="1" t="n">
        <v>45097</v>
      </c>
      <c r="C2257" s="1" t="n">
        <v>46165</v>
      </c>
      <c r="D2257" t="inlineStr">
        <is>
          <t>VÄSTERNORRLANDS LÄN</t>
        </is>
      </c>
      <c r="E2257" t="inlineStr">
        <is>
          <t>SUNDSVALL</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29663-2024</t>
        </is>
      </c>
      <c r="B2258" s="1" t="n">
        <v>45484.94004629629</v>
      </c>
      <c r="C2258" s="1" t="n">
        <v>46165</v>
      </c>
      <c r="D2258" t="inlineStr">
        <is>
          <t>VÄSTERNORRLANDS LÄN</t>
        </is>
      </c>
      <c r="E2258" t="inlineStr">
        <is>
          <t>SUNDSVALL</t>
        </is>
      </c>
      <c r="F2258" t="inlineStr">
        <is>
          <t>SCA</t>
        </is>
      </c>
      <c r="G2258" t="n">
        <v>44.6</v>
      </c>
      <c r="H2258" t="n">
        <v>0</v>
      </c>
      <c r="I2258" t="n">
        <v>0</v>
      </c>
      <c r="J2258" t="n">
        <v>0</v>
      </c>
      <c r="K2258" t="n">
        <v>0</v>
      </c>
      <c r="L2258" t="n">
        <v>0</v>
      </c>
      <c r="M2258" t="n">
        <v>0</v>
      </c>
      <c r="N2258" t="n">
        <v>0</v>
      </c>
      <c r="O2258" t="n">
        <v>0</v>
      </c>
      <c r="P2258" t="n">
        <v>0</v>
      </c>
      <c r="Q2258" t="n">
        <v>0</v>
      </c>
      <c r="R2258" s="2" t="inlineStr"/>
    </row>
    <row r="2259" ht="15" customHeight="1">
      <c r="A2259" t="inlineStr">
        <is>
          <t>A 47959-2024</t>
        </is>
      </c>
      <c r="B2259" s="1" t="n">
        <v>45589</v>
      </c>
      <c r="C2259" s="1" t="n">
        <v>46165</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49929-2024</t>
        </is>
      </c>
      <c r="B2260" s="1" t="n">
        <v>45597.57927083333</v>
      </c>
      <c r="C2260" s="1" t="n">
        <v>46165</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51047-2024</t>
        </is>
      </c>
      <c r="B2261" s="1" t="n">
        <v>45603.44611111111</v>
      </c>
      <c r="C2261" s="1" t="n">
        <v>46165</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24291-2025</t>
        </is>
      </c>
      <c r="B2262" s="1" t="n">
        <v>45797.46469907407</v>
      </c>
      <c r="C2262" s="1" t="n">
        <v>46165</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24426-2025</t>
        </is>
      </c>
      <c r="B2263" s="1" t="n">
        <v>45797.69824074074</v>
      </c>
      <c r="C2263" s="1" t="n">
        <v>46165</v>
      </c>
      <c r="D2263" t="inlineStr">
        <is>
          <t>VÄSTERNORRLANDS LÄN</t>
        </is>
      </c>
      <c r="E2263" t="inlineStr">
        <is>
          <t>SUNDSVALL</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24090-2025</t>
        </is>
      </c>
      <c r="B2264" s="1" t="n">
        <v>45796.57068287037</v>
      </c>
      <c r="C2264" s="1" t="n">
        <v>46165</v>
      </c>
      <c r="D2264" t="inlineStr">
        <is>
          <t>VÄSTERNORRLANDS LÄN</t>
        </is>
      </c>
      <c r="E2264" t="inlineStr">
        <is>
          <t>SUNDSVALL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40749-2023</t>
        </is>
      </c>
      <c r="B2265" s="1" t="n">
        <v>45170</v>
      </c>
      <c r="C2265" s="1" t="n">
        <v>46165</v>
      </c>
      <c r="D2265" t="inlineStr">
        <is>
          <t>VÄSTERNORRLANDS LÄN</t>
        </is>
      </c>
      <c r="E2265" t="inlineStr">
        <is>
          <t>SUNDSVALL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13071-2025</t>
        </is>
      </c>
      <c r="B2266" s="1" t="n">
        <v>45734.61527777778</v>
      </c>
      <c r="C2266" s="1" t="n">
        <v>46165</v>
      </c>
      <c r="D2266" t="inlineStr">
        <is>
          <t>VÄSTERNORRLANDS LÄN</t>
        </is>
      </c>
      <c r="E2266" t="inlineStr">
        <is>
          <t>SUNDSVALL</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24293-2025</t>
        </is>
      </c>
      <c r="B2267" s="1" t="n">
        <v>45797.46899305555</v>
      </c>
      <c r="C2267" s="1" t="n">
        <v>46165</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14914-2024</t>
        </is>
      </c>
      <c r="B2268" s="1" t="n">
        <v>45398</v>
      </c>
      <c r="C2268" s="1" t="n">
        <v>46165</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16975-2024</t>
        </is>
      </c>
      <c r="B2269" s="1" t="n">
        <v>45411</v>
      </c>
      <c r="C2269" s="1" t="n">
        <v>46165</v>
      </c>
      <c r="D2269" t="inlineStr">
        <is>
          <t>VÄSTERNORRLANDS LÄN</t>
        </is>
      </c>
      <c r="E2269" t="inlineStr">
        <is>
          <t>SUNDSVALL</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9470-2025</t>
        </is>
      </c>
      <c r="B2270" s="1" t="n">
        <v>45715.46928240741</v>
      </c>
      <c r="C2270" s="1" t="n">
        <v>46165</v>
      </c>
      <c r="D2270" t="inlineStr">
        <is>
          <t>VÄSTERNORRLANDS LÄN</t>
        </is>
      </c>
      <c r="E2270" t="inlineStr">
        <is>
          <t>SUNDSVALL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24028-2024</t>
        </is>
      </c>
      <c r="B2271" s="1" t="n">
        <v>45456</v>
      </c>
      <c r="C2271" s="1" t="n">
        <v>46165</v>
      </c>
      <c r="D2271" t="inlineStr">
        <is>
          <t>VÄSTERNORRLANDS LÄN</t>
        </is>
      </c>
      <c r="E2271" t="inlineStr">
        <is>
          <t>SUNDSVALL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7149-2024</t>
        </is>
      </c>
      <c r="B2272" s="1" t="n">
        <v>45344</v>
      </c>
      <c r="C2272" s="1" t="n">
        <v>46165</v>
      </c>
      <c r="D2272" t="inlineStr">
        <is>
          <t>VÄSTERNORRLANDS LÄN</t>
        </is>
      </c>
      <c r="E2272" t="inlineStr">
        <is>
          <t>SUNDSVALL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61735-2022</t>
        </is>
      </c>
      <c r="B2273" s="1" t="n">
        <v>44917</v>
      </c>
      <c r="C2273" s="1" t="n">
        <v>46165</v>
      </c>
      <c r="D2273" t="inlineStr">
        <is>
          <t>VÄSTERNORRLANDS LÄN</t>
        </is>
      </c>
      <c r="E2273" t="inlineStr">
        <is>
          <t>SUNDSVALL</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53716-2023</t>
        </is>
      </c>
      <c r="B2274" s="1" t="n">
        <v>45230.71146990741</v>
      </c>
      <c r="C2274" s="1" t="n">
        <v>46165</v>
      </c>
      <c r="D2274" t="inlineStr">
        <is>
          <t>VÄSTERNORRLANDS LÄN</t>
        </is>
      </c>
      <c r="E2274" t="inlineStr">
        <is>
          <t>SUNDSVALL</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54550-2024</t>
        </is>
      </c>
      <c r="B2275" s="1" t="n">
        <v>45617.61696759259</v>
      </c>
      <c r="C2275" s="1" t="n">
        <v>46165</v>
      </c>
      <c r="D2275" t="inlineStr">
        <is>
          <t>VÄSTERNORRLANDS LÄN</t>
        </is>
      </c>
      <c r="E2275" t="inlineStr">
        <is>
          <t>SUNDSVALL</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50324-2024</t>
        </is>
      </c>
      <c r="B2276" s="1" t="n">
        <v>45600</v>
      </c>
      <c r="C2276" s="1" t="n">
        <v>46165</v>
      </c>
      <c r="D2276" t="inlineStr">
        <is>
          <t>VÄSTERNORRLANDS LÄN</t>
        </is>
      </c>
      <c r="E2276" t="inlineStr">
        <is>
          <t>SUNDSVALL</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27009-2022</t>
        </is>
      </c>
      <c r="B2277" s="1" t="n">
        <v>44740</v>
      </c>
      <c r="C2277" s="1" t="n">
        <v>46165</v>
      </c>
      <c r="D2277" t="inlineStr">
        <is>
          <t>VÄSTERNORRLANDS LÄN</t>
        </is>
      </c>
      <c r="E2277" t="inlineStr">
        <is>
          <t>SUNDSVALL</t>
        </is>
      </c>
      <c r="F2277" t="inlineStr">
        <is>
          <t>SCA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5646-2025</t>
        </is>
      </c>
      <c r="B2278" s="1" t="n">
        <v>45693</v>
      </c>
      <c r="C2278" s="1" t="n">
        <v>46165</v>
      </c>
      <c r="D2278" t="inlineStr">
        <is>
          <t>VÄSTERNORRLANDS LÄN</t>
        </is>
      </c>
      <c r="E2278" t="inlineStr">
        <is>
          <t>SUNDSVALL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41652-2024</t>
        </is>
      </c>
      <c r="B2279" s="1" t="n">
        <v>45560.63778935185</v>
      </c>
      <c r="C2279" s="1" t="n">
        <v>46165</v>
      </c>
      <c r="D2279" t="inlineStr">
        <is>
          <t>VÄSTERNORRLANDS LÄN</t>
        </is>
      </c>
      <c r="E2279" t="inlineStr">
        <is>
          <t>SUNDSVALL</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60149-2023</t>
        </is>
      </c>
      <c r="B2280" s="1" t="n">
        <v>45258</v>
      </c>
      <c r="C2280" s="1" t="n">
        <v>46165</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50627-2023</t>
        </is>
      </c>
      <c r="B2281" s="1" t="n">
        <v>45210</v>
      </c>
      <c r="C2281" s="1" t="n">
        <v>46165</v>
      </c>
      <c r="D2281" t="inlineStr">
        <is>
          <t>VÄSTERNORRLANDS LÄN</t>
        </is>
      </c>
      <c r="E2281" t="inlineStr">
        <is>
          <t>SUNDSVALL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1188-2025</t>
        </is>
      </c>
      <c r="B2282" s="1" t="n">
        <v>45667.37030092593</v>
      </c>
      <c r="C2282" s="1" t="n">
        <v>46165</v>
      </c>
      <c r="D2282" t="inlineStr">
        <is>
          <t>VÄSTERNORRLANDS LÄN</t>
        </is>
      </c>
      <c r="E2282" t="inlineStr">
        <is>
          <t>SUNDSVALL</t>
        </is>
      </c>
      <c r="F2282" t="inlineStr">
        <is>
          <t>Holmen skog AB</t>
        </is>
      </c>
      <c r="G2282" t="n">
        <v>25.4</v>
      </c>
      <c r="H2282" t="n">
        <v>0</v>
      </c>
      <c r="I2282" t="n">
        <v>0</v>
      </c>
      <c r="J2282" t="n">
        <v>0</v>
      </c>
      <c r="K2282" t="n">
        <v>0</v>
      </c>
      <c r="L2282" t="n">
        <v>0</v>
      </c>
      <c r="M2282" t="n">
        <v>0</v>
      </c>
      <c r="N2282" t="n">
        <v>0</v>
      </c>
      <c r="O2282" t="n">
        <v>0</v>
      </c>
      <c r="P2282" t="n">
        <v>0</v>
      </c>
      <c r="Q2282" t="n">
        <v>0</v>
      </c>
      <c r="R2282" s="2" t="inlineStr"/>
    </row>
    <row r="2283" ht="15" customHeight="1">
      <c r="A2283" t="inlineStr">
        <is>
          <t>A 18213-2025</t>
        </is>
      </c>
      <c r="B2283" s="1" t="n">
        <v>45761.69885416667</v>
      </c>
      <c r="C2283" s="1" t="n">
        <v>46165</v>
      </c>
      <c r="D2283" t="inlineStr">
        <is>
          <t>VÄSTERNORRLANDS LÄN</t>
        </is>
      </c>
      <c r="E2283" t="inlineStr">
        <is>
          <t>SUNDSVALL</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26341-2023</t>
        </is>
      </c>
      <c r="B2284" s="1" t="n">
        <v>45091.92548611111</v>
      </c>
      <c r="C2284" s="1" t="n">
        <v>46165</v>
      </c>
      <c r="D2284" t="inlineStr">
        <is>
          <t>VÄSTERNORRLANDS LÄN</t>
        </is>
      </c>
      <c r="E2284" t="inlineStr">
        <is>
          <t>SUNDSVALL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25586-2025</t>
        </is>
      </c>
      <c r="B2285" s="1" t="n">
        <v>45803</v>
      </c>
      <c r="C2285" s="1" t="n">
        <v>46165</v>
      </c>
      <c r="D2285" t="inlineStr">
        <is>
          <t>VÄSTERNORRLANDS LÄN</t>
        </is>
      </c>
      <c r="E2285" t="inlineStr">
        <is>
          <t>SUNDSVALL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56647-2024</t>
        </is>
      </c>
      <c r="B2286" s="1" t="n">
        <v>45625.76469907408</v>
      </c>
      <c r="C2286" s="1" t="n">
        <v>46165</v>
      </c>
      <c r="D2286" t="inlineStr">
        <is>
          <t>VÄSTERNORRLANDS LÄN</t>
        </is>
      </c>
      <c r="E2286" t="inlineStr">
        <is>
          <t>SUNDSVALL</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25422-2025</t>
        </is>
      </c>
      <c r="B2287" s="1" t="n">
        <v>45800.69635416667</v>
      </c>
      <c r="C2287" s="1" t="n">
        <v>46165</v>
      </c>
      <c r="D2287" t="inlineStr">
        <is>
          <t>VÄSTERNORRLANDS LÄN</t>
        </is>
      </c>
      <c r="E2287" t="inlineStr">
        <is>
          <t>SUNDSVALL</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48931-2022</t>
        </is>
      </c>
      <c r="B2288" s="1" t="n">
        <v>44859</v>
      </c>
      <c r="C2288" s="1" t="n">
        <v>46165</v>
      </c>
      <c r="D2288" t="inlineStr">
        <is>
          <t>VÄSTERNORRLANDS LÄN</t>
        </is>
      </c>
      <c r="E2288" t="inlineStr">
        <is>
          <t>SUNDSVALL</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25722-2025</t>
        </is>
      </c>
      <c r="B2289" s="1" t="n">
        <v>45800</v>
      </c>
      <c r="C2289" s="1" t="n">
        <v>46165</v>
      </c>
      <c r="D2289" t="inlineStr">
        <is>
          <t>VÄSTERNORRLANDS LÄN</t>
        </is>
      </c>
      <c r="E2289" t="inlineStr">
        <is>
          <t>SUNDSVALL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25196-2025</t>
        </is>
      </c>
      <c r="B2290" s="1" t="n">
        <v>45800.46025462963</v>
      </c>
      <c r="C2290" s="1" t="n">
        <v>46165</v>
      </c>
      <c r="D2290" t="inlineStr">
        <is>
          <t>VÄSTERNORRLANDS LÄN</t>
        </is>
      </c>
      <c r="E2290" t="inlineStr">
        <is>
          <t>SUNDSVALL</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20975-2022</t>
        </is>
      </c>
      <c r="B2291" s="1" t="n">
        <v>44701</v>
      </c>
      <c r="C2291" s="1" t="n">
        <v>46165</v>
      </c>
      <c r="D2291" t="inlineStr">
        <is>
          <t>VÄSTERNORRLANDS LÄN</t>
        </is>
      </c>
      <c r="E2291" t="inlineStr">
        <is>
          <t>SUNDSVALL</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25154-2025</t>
        </is>
      </c>
      <c r="B2292" s="1" t="n">
        <v>45800.42770833334</v>
      </c>
      <c r="C2292" s="1" t="n">
        <v>46165</v>
      </c>
      <c r="D2292" t="inlineStr">
        <is>
          <t>VÄSTERNORRLANDS LÄN</t>
        </is>
      </c>
      <c r="E2292" t="inlineStr">
        <is>
          <t>SUNDSVALL</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47897-2022</t>
        </is>
      </c>
      <c r="B2293" s="1" t="n">
        <v>44855</v>
      </c>
      <c r="C2293" s="1" t="n">
        <v>46165</v>
      </c>
      <c r="D2293" t="inlineStr">
        <is>
          <t>VÄSTERNORRLANDS LÄN</t>
        </is>
      </c>
      <c r="E2293" t="inlineStr">
        <is>
          <t>SUNDSVALL</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25258-2025</t>
        </is>
      </c>
      <c r="B2294" s="1" t="n">
        <v>45800.51092592593</v>
      </c>
      <c r="C2294" s="1" t="n">
        <v>46165</v>
      </c>
      <c r="D2294" t="inlineStr">
        <is>
          <t>VÄSTERNORRLANDS LÄN</t>
        </is>
      </c>
      <c r="E2294" t="inlineStr">
        <is>
          <t>SUNDSVALL</t>
        </is>
      </c>
      <c r="F2294" t="inlineStr">
        <is>
          <t>Naturvårdsverket</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25329-2025</t>
        </is>
      </c>
      <c r="B2295" s="1" t="n">
        <v>45800.58971064815</v>
      </c>
      <c r="C2295" s="1" t="n">
        <v>46165</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25351-2025</t>
        </is>
      </c>
      <c r="B2296" s="1" t="n">
        <v>45800.61526620371</v>
      </c>
      <c r="C2296" s="1" t="n">
        <v>46165</v>
      </c>
      <c r="D2296" t="inlineStr">
        <is>
          <t>VÄSTERNORRLANDS LÄN</t>
        </is>
      </c>
      <c r="E2296" t="inlineStr">
        <is>
          <t>SUNDSVALL</t>
        </is>
      </c>
      <c r="F2296" t="inlineStr">
        <is>
          <t>Kyrkan</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9385-2022</t>
        </is>
      </c>
      <c r="B2297" s="1" t="n">
        <v>44616.63796296297</v>
      </c>
      <c r="C2297" s="1" t="n">
        <v>46165</v>
      </c>
      <c r="D2297" t="inlineStr">
        <is>
          <t>VÄSTERNORRLANDS LÄN</t>
        </is>
      </c>
      <c r="E2297" t="inlineStr">
        <is>
          <t>SUNDSVALL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26012-2025</t>
        </is>
      </c>
      <c r="B2298" s="1" t="n">
        <v>45804.67744212963</v>
      </c>
      <c r="C2298" s="1" t="n">
        <v>46165</v>
      </c>
      <c r="D2298" t="inlineStr">
        <is>
          <t>VÄSTERNORRLANDS LÄN</t>
        </is>
      </c>
      <c r="E2298" t="inlineStr">
        <is>
          <t>SUNDSVALL</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26296-2025</t>
        </is>
      </c>
      <c r="B2299" s="1" t="n">
        <v>45805.6360300926</v>
      </c>
      <c r="C2299" s="1" t="n">
        <v>46165</v>
      </c>
      <c r="D2299" t="inlineStr">
        <is>
          <t>VÄSTERNORRLANDS LÄN</t>
        </is>
      </c>
      <c r="E2299" t="inlineStr">
        <is>
          <t>SUNDSVALL</t>
        </is>
      </c>
      <c r="F2299" t="inlineStr">
        <is>
          <t>SCA</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26313-2025</t>
        </is>
      </c>
      <c r="B2300" s="1" t="n">
        <v>45805.65674768519</v>
      </c>
      <c r="C2300" s="1" t="n">
        <v>46165</v>
      </c>
      <c r="D2300" t="inlineStr">
        <is>
          <t>VÄSTERNORRLANDS LÄN</t>
        </is>
      </c>
      <c r="E2300" t="inlineStr">
        <is>
          <t>SUNDSVALL</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30307-2023</t>
        </is>
      </c>
      <c r="B2301" s="1" t="n">
        <v>45110.94157407407</v>
      </c>
      <c r="C2301" s="1" t="n">
        <v>46165</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52651-2021</t>
        </is>
      </c>
      <c r="B2302" s="1" t="n">
        <v>44466.65153935185</v>
      </c>
      <c r="C2302" s="1" t="n">
        <v>46165</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26337-2025</t>
        </is>
      </c>
      <c r="B2303" s="1" t="n">
        <v>45805.69826388889</v>
      </c>
      <c r="C2303" s="1" t="n">
        <v>46165</v>
      </c>
      <c r="D2303" t="inlineStr">
        <is>
          <t>VÄSTERNORRLANDS LÄN</t>
        </is>
      </c>
      <c r="E2303" t="inlineStr">
        <is>
          <t>SUNDSVALL</t>
        </is>
      </c>
      <c r="F2303" t="inlineStr">
        <is>
          <t>Naturvårdsverket</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34118-2022</t>
        </is>
      </c>
      <c r="B2304" s="1" t="n">
        <v>44791</v>
      </c>
      <c r="C2304" s="1" t="n">
        <v>46165</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25873-2025</t>
        </is>
      </c>
      <c r="B2305" s="1" t="n">
        <v>45804.49041666667</v>
      </c>
      <c r="C2305" s="1" t="n">
        <v>46165</v>
      </c>
      <c r="D2305" t="inlineStr">
        <is>
          <t>VÄSTERNORRLANDS LÄN</t>
        </is>
      </c>
      <c r="E2305" t="inlineStr">
        <is>
          <t>SUNDSVALL</t>
        </is>
      </c>
      <c r="F2305" t="inlineStr">
        <is>
          <t>Naturvårdsverket</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26343-2025</t>
        </is>
      </c>
      <c r="B2306" s="1" t="n">
        <v>45805.71907407408</v>
      </c>
      <c r="C2306" s="1" t="n">
        <v>46165</v>
      </c>
      <c r="D2306" t="inlineStr">
        <is>
          <t>VÄSTERNORRLANDS LÄN</t>
        </is>
      </c>
      <c r="E2306" t="inlineStr">
        <is>
          <t>SUNDSVALL</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25869-2025</t>
        </is>
      </c>
      <c r="B2307" s="1" t="n">
        <v>45804.48995370371</v>
      </c>
      <c r="C2307" s="1" t="n">
        <v>46165</v>
      </c>
      <c r="D2307" t="inlineStr">
        <is>
          <t>VÄSTERNORRLANDS LÄN</t>
        </is>
      </c>
      <c r="E2307" t="inlineStr">
        <is>
          <t>SUNDSVALL</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25834-2025</t>
        </is>
      </c>
      <c r="B2308" s="1" t="n">
        <v>45804.44841435185</v>
      </c>
      <c r="C2308" s="1" t="n">
        <v>46165</v>
      </c>
      <c r="D2308" t="inlineStr">
        <is>
          <t>VÄSTERNORRLANDS LÄN</t>
        </is>
      </c>
      <c r="E2308" t="inlineStr">
        <is>
          <t>SUNDSVALL</t>
        </is>
      </c>
      <c r="F2308" t="inlineStr">
        <is>
          <t>Naturvårdsverket</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26317-2025</t>
        </is>
      </c>
      <c r="B2309" s="1" t="n">
        <v>45805.65710648148</v>
      </c>
      <c r="C2309" s="1" t="n">
        <v>46165</v>
      </c>
      <c r="D2309" t="inlineStr">
        <is>
          <t>VÄSTERNORRLANDS LÄN</t>
        </is>
      </c>
      <c r="E2309" t="inlineStr">
        <is>
          <t>SUNDSVALL</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26575-2025</t>
        </is>
      </c>
      <c r="B2310" s="1" t="n">
        <v>45807.68700231481</v>
      </c>
      <c r="C2310" s="1" t="n">
        <v>46165</v>
      </c>
      <c r="D2310" t="inlineStr">
        <is>
          <t>VÄSTERNORRLANDS LÄN</t>
        </is>
      </c>
      <c r="E2310" t="inlineStr">
        <is>
          <t>SUNDSVALL</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26390-2025</t>
        </is>
      </c>
      <c r="B2311" s="1" t="n">
        <v>45806.5733912037</v>
      </c>
      <c r="C2311" s="1" t="n">
        <v>46165</v>
      </c>
      <c r="D2311" t="inlineStr">
        <is>
          <t>VÄSTERNORRLANDS LÄN</t>
        </is>
      </c>
      <c r="E2311" t="inlineStr">
        <is>
          <t>SUNDSVALL</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26407-2025</t>
        </is>
      </c>
      <c r="B2312" s="1" t="n">
        <v>45807.34410879629</v>
      </c>
      <c r="C2312" s="1" t="n">
        <v>46165</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26459-2025</t>
        </is>
      </c>
      <c r="B2313" s="1" t="n">
        <v>45807.43045138889</v>
      </c>
      <c r="C2313" s="1" t="n">
        <v>46165</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26428-2025</t>
        </is>
      </c>
      <c r="B2314" s="1" t="n">
        <v>45807.38597222222</v>
      </c>
      <c r="C2314" s="1" t="n">
        <v>46165</v>
      </c>
      <c r="D2314" t="inlineStr">
        <is>
          <t>VÄSTERNORRLANDS LÄN</t>
        </is>
      </c>
      <c r="E2314" t="inlineStr">
        <is>
          <t>SUNDSVALL</t>
        </is>
      </c>
      <c r="F2314" t="inlineStr">
        <is>
          <t>SCA</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27099-2025</t>
        </is>
      </c>
      <c r="B2315" s="1" t="n">
        <v>45811.67792824074</v>
      </c>
      <c r="C2315" s="1" t="n">
        <v>46165</v>
      </c>
      <c r="D2315" t="inlineStr">
        <is>
          <t>VÄSTERNORRLANDS LÄN</t>
        </is>
      </c>
      <c r="E2315" t="inlineStr">
        <is>
          <t>SUNDSVALL</t>
        </is>
      </c>
      <c r="F2315" t="inlineStr">
        <is>
          <t>Naturvårdsverket</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18217-2025</t>
        </is>
      </c>
      <c r="B2316" s="1" t="n">
        <v>45761.71212962963</v>
      </c>
      <c r="C2316" s="1" t="n">
        <v>46165</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27095-2025</t>
        </is>
      </c>
      <c r="B2317" s="1" t="n">
        <v>45811.67743055556</v>
      </c>
      <c r="C2317" s="1" t="n">
        <v>46165</v>
      </c>
      <c r="D2317" t="inlineStr">
        <is>
          <t>VÄSTERNORRLANDS LÄN</t>
        </is>
      </c>
      <c r="E2317" t="inlineStr">
        <is>
          <t>SUNDSVALL</t>
        </is>
      </c>
      <c r="F2317" t="inlineStr">
        <is>
          <t>Naturvårdsverket</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40044-2024</t>
        </is>
      </c>
      <c r="B2318" s="1" t="n">
        <v>45553.75064814815</v>
      </c>
      <c r="C2318" s="1" t="n">
        <v>46165</v>
      </c>
      <c r="D2318" t="inlineStr">
        <is>
          <t>VÄSTERNORRLANDS LÄN</t>
        </is>
      </c>
      <c r="E2318" t="inlineStr">
        <is>
          <t>SUNDSVALL</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26835-2025</t>
        </is>
      </c>
      <c r="B2319" s="1" t="n">
        <v>45810.65728009259</v>
      </c>
      <c r="C2319" s="1" t="n">
        <v>46165</v>
      </c>
      <c r="D2319" t="inlineStr">
        <is>
          <t>VÄSTERNORRLANDS LÄN</t>
        </is>
      </c>
      <c r="E2319" t="inlineStr">
        <is>
          <t>SUNDSVALL</t>
        </is>
      </c>
      <c r="F2319" t="inlineStr">
        <is>
          <t>SCA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26836-2025</t>
        </is>
      </c>
      <c r="B2320" s="1" t="n">
        <v>45810.65738425926</v>
      </c>
      <c r="C2320" s="1" t="n">
        <v>46165</v>
      </c>
      <c r="D2320" t="inlineStr">
        <is>
          <t>VÄSTERNORRLANDS LÄN</t>
        </is>
      </c>
      <c r="E2320" t="inlineStr">
        <is>
          <t>SUNDSVALL</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27065-2025</t>
        </is>
      </c>
      <c r="B2321" s="1" t="n">
        <v>45811.63635416667</v>
      </c>
      <c r="C2321" s="1" t="n">
        <v>46165</v>
      </c>
      <c r="D2321" t="inlineStr">
        <is>
          <t>VÄSTERNORRLANDS LÄN</t>
        </is>
      </c>
      <c r="E2321" t="inlineStr">
        <is>
          <t>SUNDSVALL</t>
        </is>
      </c>
      <c r="F2321" t="inlineStr">
        <is>
          <t>Naturvårdsverket</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21776-2023</t>
        </is>
      </c>
      <c r="B2322" s="1" t="n">
        <v>45065.9264699074</v>
      </c>
      <c r="C2322" s="1" t="n">
        <v>46165</v>
      </c>
      <c r="D2322" t="inlineStr">
        <is>
          <t>VÄSTERNORRLANDS LÄN</t>
        </is>
      </c>
      <c r="E2322" t="inlineStr">
        <is>
          <t>SUNDSVALL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27046-2025</t>
        </is>
      </c>
      <c r="B2323" s="1" t="n">
        <v>45811.61524305555</v>
      </c>
      <c r="C2323" s="1" t="n">
        <v>46165</v>
      </c>
      <c r="D2323" t="inlineStr">
        <is>
          <t>VÄSTERNORRLANDS LÄN</t>
        </is>
      </c>
      <c r="E2323" t="inlineStr">
        <is>
          <t>SUNDSVALL</t>
        </is>
      </c>
      <c r="F2323" t="inlineStr">
        <is>
          <t>Naturvårdsverket</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27096-2025</t>
        </is>
      </c>
      <c r="B2324" s="1" t="n">
        <v>45811.67756944444</v>
      </c>
      <c r="C2324" s="1" t="n">
        <v>46165</v>
      </c>
      <c r="D2324" t="inlineStr">
        <is>
          <t>VÄSTERNORRLANDS LÄN</t>
        </is>
      </c>
      <c r="E2324" t="inlineStr">
        <is>
          <t>SUNDSVALL</t>
        </is>
      </c>
      <c r="F2324" t="inlineStr">
        <is>
          <t>Naturvårdsverket</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4933-2025</t>
        </is>
      </c>
      <c r="B2325" s="1" t="n">
        <v>45688.68486111111</v>
      </c>
      <c r="C2325" s="1" t="n">
        <v>46165</v>
      </c>
      <c r="D2325" t="inlineStr">
        <is>
          <t>VÄSTERNORRLANDS LÄN</t>
        </is>
      </c>
      <c r="E2325" t="inlineStr">
        <is>
          <t>SUNDSVALL</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26746-2025</t>
        </is>
      </c>
      <c r="B2326" s="1" t="n">
        <v>45810</v>
      </c>
      <c r="C2326" s="1" t="n">
        <v>46165</v>
      </c>
      <c r="D2326" t="inlineStr">
        <is>
          <t>VÄSTERNORRLANDS LÄN</t>
        </is>
      </c>
      <c r="E2326" t="inlineStr">
        <is>
          <t>SUNDSVALL</t>
        </is>
      </c>
      <c r="G2326" t="n">
        <v>23.1</v>
      </c>
      <c r="H2326" t="n">
        <v>0</v>
      </c>
      <c r="I2326" t="n">
        <v>0</v>
      </c>
      <c r="J2326" t="n">
        <v>0</v>
      </c>
      <c r="K2326" t="n">
        <v>0</v>
      </c>
      <c r="L2326" t="n">
        <v>0</v>
      </c>
      <c r="M2326" t="n">
        <v>0</v>
      </c>
      <c r="N2326" t="n">
        <v>0</v>
      </c>
      <c r="O2326" t="n">
        <v>0</v>
      </c>
      <c r="P2326" t="n">
        <v>0</v>
      </c>
      <c r="Q2326" t="n">
        <v>0</v>
      </c>
      <c r="R2326" s="2" t="inlineStr"/>
    </row>
    <row r="2327" ht="15" customHeight="1">
      <c r="A2327" t="inlineStr">
        <is>
          <t>A 19896-2023</t>
        </is>
      </c>
      <c r="B2327" s="1" t="n">
        <v>45054</v>
      </c>
      <c r="C2327" s="1" t="n">
        <v>46165</v>
      </c>
      <c r="D2327" t="inlineStr">
        <is>
          <t>VÄSTERNORRLANDS LÄN</t>
        </is>
      </c>
      <c r="E2327" t="inlineStr">
        <is>
          <t>SUNDSVALL</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23513-2023</t>
        </is>
      </c>
      <c r="B2328" s="1" t="n">
        <v>45076</v>
      </c>
      <c r="C2328" s="1" t="n">
        <v>46165</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50325-2024</t>
        </is>
      </c>
      <c r="B2329" s="1" t="n">
        <v>45600</v>
      </c>
      <c r="C2329" s="1" t="n">
        <v>46165</v>
      </c>
      <c r="D2329" t="inlineStr">
        <is>
          <t>VÄSTERNORRLANDS LÄN</t>
        </is>
      </c>
      <c r="E2329" t="inlineStr">
        <is>
          <t>SUNDSVALL</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27340-2025</t>
        </is>
      </c>
      <c r="B2330" s="1" t="n">
        <v>45812.61524305555</v>
      </c>
      <c r="C2330" s="1" t="n">
        <v>46165</v>
      </c>
      <c r="D2330" t="inlineStr">
        <is>
          <t>VÄSTERNORRLANDS LÄN</t>
        </is>
      </c>
      <c r="E2330" t="inlineStr">
        <is>
          <t>SUNDSVALL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27210-2025</t>
        </is>
      </c>
      <c r="B2331" s="1" t="n">
        <v>45812.40680555555</v>
      </c>
      <c r="C2331" s="1" t="n">
        <v>46165</v>
      </c>
      <c r="D2331" t="inlineStr">
        <is>
          <t>VÄSTERNORRLANDS LÄN</t>
        </is>
      </c>
      <c r="E2331" t="inlineStr">
        <is>
          <t>SUNDSVALL</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4815-2025</t>
        </is>
      </c>
      <c r="B2332" s="1" t="n">
        <v>45688</v>
      </c>
      <c r="C2332" s="1" t="n">
        <v>46165</v>
      </c>
      <c r="D2332" t="inlineStr">
        <is>
          <t>VÄSTERNORRLANDS LÄN</t>
        </is>
      </c>
      <c r="E2332" t="inlineStr">
        <is>
          <t>SUNDSVALL</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16404-2025</t>
        </is>
      </c>
      <c r="B2333" s="1" t="n">
        <v>45751</v>
      </c>
      <c r="C2333" s="1" t="n">
        <v>46165</v>
      </c>
      <c r="D2333" t="inlineStr">
        <is>
          <t>VÄSTERNORRLANDS LÄN</t>
        </is>
      </c>
      <c r="E2333" t="inlineStr">
        <is>
          <t>SUNDSVALL</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56015-2024</t>
        </is>
      </c>
      <c r="B2334" s="1" t="n">
        <v>45623.87550925926</v>
      </c>
      <c r="C2334" s="1" t="n">
        <v>46165</v>
      </c>
      <c r="D2334" t="inlineStr">
        <is>
          <t>VÄSTERNORRLANDS LÄN</t>
        </is>
      </c>
      <c r="E2334" t="inlineStr">
        <is>
          <t>SUNDSVALL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27169-2025</t>
        </is>
      </c>
      <c r="B2335" s="1" t="n">
        <v>45812.34481481482</v>
      </c>
      <c r="C2335" s="1" t="n">
        <v>46165</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19092-2025</t>
        </is>
      </c>
      <c r="B2336" s="1" t="n">
        <v>45767</v>
      </c>
      <c r="C2336" s="1" t="n">
        <v>46165</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27754-2025</t>
        </is>
      </c>
      <c r="B2337" s="1" t="n">
        <v>45815.69635416667</v>
      </c>
      <c r="C2337" s="1" t="n">
        <v>46165</v>
      </c>
      <c r="D2337" t="inlineStr">
        <is>
          <t>VÄSTERNORRLANDS LÄN</t>
        </is>
      </c>
      <c r="E2337" t="inlineStr">
        <is>
          <t>SUNDSVALL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27753-2025</t>
        </is>
      </c>
      <c r="B2338" s="1" t="n">
        <v>45815.69273148148</v>
      </c>
      <c r="C2338" s="1" t="n">
        <v>46165</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39916-2024</t>
        </is>
      </c>
      <c r="B2339" s="1" t="n">
        <v>45553</v>
      </c>
      <c r="C2339" s="1" t="n">
        <v>46165</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17993-2022</t>
        </is>
      </c>
      <c r="B2340" s="1" t="n">
        <v>44683</v>
      </c>
      <c r="C2340" s="1" t="n">
        <v>46165</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23690-2025</t>
        </is>
      </c>
      <c r="B2341" s="1" t="n">
        <v>45793.34466435185</v>
      </c>
      <c r="C2341" s="1" t="n">
        <v>46165</v>
      </c>
      <c r="D2341" t="inlineStr">
        <is>
          <t>VÄSTERNORRLANDS LÄN</t>
        </is>
      </c>
      <c r="E2341" t="inlineStr">
        <is>
          <t>SUNDSVALL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27823-2025</t>
        </is>
      </c>
      <c r="B2342" s="1" t="n">
        <v>45817.34424768519</v>
      </c>
      <c r="C2342" s="1" t="n">
        <v>46165</v>
      </c>
      <c r="D2342" t="inlineStr">
        <is>
          <t>VÄSTERNORRLANDS LÄN</t>
        </is>
      </c>
      <c r="E2342" t="inlineStr">
        <is>
          <t>SUNDSVALL</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25037-2023</t>
        </is>
      </c>
      <c r="B2343" s="1" t="n">
        <v>45085.92905092592</v>
      </c>
      <c r="C2343" s="1" t="n">
        <v>46165</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4810-2025</t>
        </is>
      </c>
      <c r="B2344" s="1" t="n">
        <v>45688</v>
      </c>
      <c r="C2344" s="1" t="n">
        <v>46165</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60651-2022</t>
        </is>
      </c>
      <c r="B2345" s="1" t="n">
        <v>44911</v>
      </c>
      <c r="C2345" s="1" t="n">
        <v>46165</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27944-2025</t>
        </is>
      </c>
      <c r="B2346" s="1" t="n">
        <v>45817.51094907407</v>
      </c>
      <c r="C2346" s="1" t="n">
        <v>46165</v>
      </c>
      <c r="D2346" t="inlineStr">
        <is>
          <t>VÄSTERNORRLANDS LÄN</t>
        </is>
      </c>
      <c r="E2346" t="inlineStr">
        <is>
          <t>SUNDSVALL</t>
        </is>
      </c>
      <c r="F2346" t="inlineStr">
        <is>
          <t>Naturvårdsverket</t>
        </is>
      </c>
      <c r="G2346" t="n">
        <v>3.1</v>
      </c>
      <c r="H2346" t="n">
        <v>0</v>
      </c>
      <c r="I2346" t="n">
        <v>0</v>
      </c>
      <c r="J2346" t="n">
        <v>0</v>
      </c>
      <c r="K2346" t="n">
        <v>0</v>
      </c>
      <c r="L2346" t="n">
        <v>0</v>
      </c>
      <c r="M2346" t="n">
        <v>0</v>
      </c>
      <c r="N2346" t="n">
        <v>0</v>
      </c>
      <c r="O2346" t="n">
        <v>0</v>
      </c>
      <c r="P2346" t="n">
        <v>0</v>
      </c>
      <c r="Q2346" t="n">
        <v>0</v>
      </c>
      <c r="R2346" s="2" t="inlineStr"/>
      <c r="U2346">
        <f>HYPERLINK("https://klasma.github.io/Logging_2281/knärot/A 27944-2025 karta knärot.png", "A 27944-2025")</f>
        <v/>
      </c>
      <c r="V2346">
        <f>HYPERLINK("https://klasma.github.io/Logging_2281/klagomål/A 27944-2025 FSC-klagomål.docx", "A 27944-2025")</f>
        <v/>
      </c>
      <c r="W2346">
        <f>HYPERLINK("https://klasma.github.io/Logging_2281/klagomålsmail/A 27944-2025 FSC-klagomål mail.docx", "A 27944-2025")</f>
        <v/>
      </c>
      <c r="X2346">
        <f>HYPERLINK("https://klasma.github.io/Logging_2281/tillsyn/A 27944-2025 tillsynsbegäran.docx", "A 27944-2025")</f>
        <v/>
      </c>
      <c r="Y2346">
        <f>HYPERLINK("https://klasma.github.io/Logging_2281/tillsynsmail/A 27944-2025 tillsynsbegäran mail.docx", "A 27944-2025")</f>
        <v/>
      </c>
    </row>
    <row r="2347" ht="15" customHeight="1">
      <c r="A2347" t="inlineStr">
        <is>
          <t>A 7416-2025</t>
        </is>
      </c>
      <c r="B2347" s="1" t="n">
        <v>45705</v>
      </c>
      <c r="C2347" s="1" t="n">
        <v>46165</v>
      </c>
      <c r="D2347" t="inlineStr">
        <is>
          <t>VÄSTERNORRLANDS LÄN</t>
        </is>
      </c>
      <c r="E2347" t="inlineStr">
        <is>
          <t>SUNDSVALL</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28407-2025</t>
        </is>
      </c>
      <c r="B2348" s="1" t="n">
        <v>45819.34581018519</v>
      </c>
      <c r="C2348" s="1" t="n">
        <v>46165</v>
      </c>
      <c r="D2348" t="inlineStr">
        <is>
          <t>VÄSTERNORRLANDS LÄN</t>
        </is>
      </c>
      <c r="E2348" t="inlineStr">
        <is>
          <t>SUNDSVALL</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21188-2025</t>
        </is>
      </c>
      <c r="B2349" s="1" t="n">
        <v>45777</v>
      </c>
      <c r="C2349" s="1" t="n">
        <v>46165</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57838-2022</t>
        </is>
      </c>
      <c r="B2350" s="1" t="n">
        <v>44897</v>
      </c>
      <c r="C2350" s="1" t="n">
        <v>46165</v>
      </c>
      <c r="D2350" t="inlineStr">
        <is>
          <t>VÄSTERNORRLANDS LÄN</t>
        </is>
      </c>
      <c r="E2350" t="inlineStr">
        <is>
          <t>SUNDSVALL</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29700-2025</t>
        </is>
      </c>
      <c r="B2351" s="1" t="n">
        <v>45825.55259259259</v>
      </c>
      <c r="C2351" s="1" t="n">
        <v>46165</v>
      </c>
      <c r="D2351" t="inlineStr">
        <is>
          <t>VÄSTERNORRLANDS LÄN</t>
        </is>
      </c>
      <c r="E2351" t="inlineStr">
        <is>
          <t>SUNDSVALL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52368-2024</t>
        </is>
      </c>
      <c r="B2352" s="1" t="n">
        <v>45608</v>
      </c>
      <c r="C2352" s="1" t="n">
        <v>46165</v>
      </c>
      <c r="D2352" t="inlineStr">
        <is>
          <t>VÄSTERNORRLANDS LÄN</t>
        </is>
      </c>
      <c r="E2352" t="inlineStr">
        <is>
          <t>SUNDSVALL</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29370-2025</t>
        </is>
      </c>
      <c r="B2353" s="1" t="n">
        <v>45824.57320601852</v>
      </c>
      <c r="C2353" s="1" t="n">
        <v>46165</v>
      </c>
      <c r="D2353" t="inlineStr">
        <is>
          <t>VÄSTERNORRLANDS LÄN</t>
        </is>
      </c>
      <c r="E2353" t="inlineStr">
        <is>
          <t>SUNDSVALL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29231-2025</t>
        </is>
      </c>
      <c r="B2354" s="1" t="n">
        <v>45824.34424768519</v>
      </c>
      <c r="C2354" s="1" t="n">
        <v>46165</v>
      </c>
      <c r="D2354" t="inlineStr">
        <is>
          <t>VÄSTERNORRLANDS LÄN</t>
        </is>
      </c>
      <c r="E2354" t="inlineStr">
        <is>
          <t>SUNDSVALL</t>
        </is>
      </c>
      <c r="F2354" t="inlineStr">
        <is>
          <t>Naturvårdsverket</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29711-2025</t>
        </is>
      </c>
      <c r="B2355" s="1" t="n">
        <v>45825</v>
      </c>
      <c r="C2355" s="1" t="n">
        <v>46165</v>
      </c>
      <c r="D2355" t="inlineStr">
        <is>
          <t>VÄSTERNORRLANDS LÄN</t>
        </is>
      </c>
      <c r="E2355" t="inlineStr">
        <is>
          <t>SUNDSVALL</t>
        </is>
      </c>
      <c r="F2355" t="inlineStr">
        <is>
          <t>Kyrkan</t>
        </is>
      </c>
      <c r="G2355" t="n">
        <v>43.8</v>
      </c>
      <c r="H2355" t="n">
        <v>0</v>
      </c>
      <c r="I2355" t="n">
        <v>0</v>
      </c>
      <c r="J2355" t="n">
        <v>0</v>
      </c>
      <c r="K2355" t="n">
        <v>0</v>
      </c>
      <c r="L2355" t="n">
        <v>0</v>
      </c>
      <c r="M2355" t="n">
        <v>0</v>
      </c>
      <c r="N2355" t="n">
        <v>0</v>
      </c>
      <c r="O2355" t="n">
        <v>0</v>
      </c>
      <c r="P2355" t="n">
        <v>0</v>
      </c>
      <c r="Q2355" t="n">
        <v>0</v>
      </c>
      <c r="R2355" s="2" t="inlineStr"/>
    </row>
    <row r="2356" ht="15" customHeight="1">
      <c r="A2356" t="inlineStr">
        <is>
          <t>A 29881-2025</t>
        </is>
      </c>
      <c r="B2356" s="1" t="n">
        <v>45826.3653125</v>
      </c>
      <c r="C2356" s="1" t="n">
        <v>46165</v>
      </c>
      <c r="D2356" t="inlineStr">
        <is>
          <t>VÄSTERNORRLANDS LÄN</t>
        </is>
      </c>
      <c r="E2356" t="inlineStr">
        <is>
          <t>SUNDSVALL</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29923-2025</t>
        </is>
      </c>
      <c r="B2357" s="1" t="n">
        <v>45826.42758101852</v>
      </c>
      <c r="C2357" s="1" t="n">
        <v>46165</v>
      </c>
      <c r="D2357" t="inlineStr">
        <is>
          <t>VÄSTERNORRLANDS LÄN</t>
        </is>
      </c>
      <c r="E2357" t="inlineStr">
        <is>
          <t>SUNDSVALL</t>
        </is>
      </c>
      <c r="F2357" t="inlineStr">
        <is>
          <t>Naturvårdsverket</t>
        </is>
      </c>
      <c r="G2357" t="n">
        <v>16.6</v>
      </c>
      <c r="H2357" t="n">
        <v>0</v>
      </c>
      <c r="I2357" t="n">
        <v>0</v>
      </c>
      <c r="J2357" t="n">
        <v>0</v>
      </c>
      <c r="K2357" t="n">
        <v>0</v>
      </c>
      <c r="L2357" t="n">
        <v>0</v>
      </c>
      <c r="M2357" t="n">
        <v>0</v>
      </c>
      <c r="N2357" t="n">
        <v>0</v>
      </c>
      <c r="O2357" t="n">
        <v>0</v>
      </c>
      <c r="P2357" t="n">
        <v>0</v>
      </c>
      <c r="Q2357" t="n">
        <v>0</v>
      </c>
      <c r="R2357" s="2" t="inlineStr"/>
    </row>
    <row r="2358" ht="15" customHeight="1">
      <c r="A2358" t="inlineStr">
        <is>
          <t>A 29955-2025</t>
        </is>
      </c>
      <c r="B2358" s="1" t="n">
        <v>45826.47030092592</v>
      </c>
      <c r="C2358" s="1" t="n">
        <v>46165</v>
      </c>
      <c r="D2358" t="inlineStr">
        <is>
          <t>VÄSTERNORRLANDS LÄN</t>
        </is>
      </c>
      <c r="E2358" t="inlineStr">
        <is>
          <t>SUNDSVALL</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29952-2025</t>
        </is>
      </c>
      <c r="B2359" s="1" t="n">
        <v>45826.46950231482</v>
      </c>
      <c r="C2359" s="1" t="n">
        <v>46165</v>
      </c>
      <c r="D2359" t="inlineStr">
        <is>
          <t>VÄSTERNORRLANDS LÄN</t>
        </is>
      </c>
      <c r="E2359" t="inlineStr">
        <is>
          <t>SUNDSVALL</t>
        </is>
      </c>
      <c r="F2359" t="inlineStr">
        <is>
          <t>Naturvårdsverket</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30259-2025</t>
        </is>
      </c>
      <c r="B2360" s="1" t="n">
        <v>45827.42768518518</v>
      </c>
      <c r="C2360" s="1" t="n">
        <v>46165</v>
      </c>
      <c r="D2360" t="inlineStr">
        <is>
          <t>VÄSTERNORRLANDS LÄN</t>
        </is>
      </c>
      <c r="E2360" t="inlineStr">
        <is>
          <t>SUNDSVALL</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29954-2025</t>
        </is>
      </c>
      <c r="B2361" s="1" t="n">
        <v>45826.47004629629</v>
      </c>
      <c r="C2361" s="1" t="n">
        <v>46165</v>
      </c>
      <c r="D2361" t="inlineStr">
        <is>
          <t>VÄSTERNORRLANDS LÄN</t>
        </is>
      </c>
      <c r="E2361" t="inlineStr">
        <is>
          <t>SUNDSVALL</t>
        </is>
      </c>
      <c r="F2361" t="inlineStr">
        <is>
          <t>Naturvårdsverket</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30268-2025</t>
        </is>
      </c>
      <c r="B2362" s="1" t="n">
        <v>45827.44883101852</v>
      </c>
      <c r="C2362" s="1" t="n">
        <v>46165</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30464-2025</t>
        </is>
      </c>
      <c r="B2363" s="1" t="n">
        <v>45827.72248842593</v>
      </c>
      <c r="C2363" s="1" t="n">
        <v>46165</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29970-2025</t>
        </is>
      </c>
      <c r="B2364" s="1" t="n">
        <v>45826.49003472222</v>
      </c>
      <c r="C2364" s="1" t="n">
        <v>46165</v>
      </c>
      <c r="D2364" t="inlineStr">
        <is>
          <t>VÄSTERNORRLANDS LÄN</t>
        </is>
      </c>
      <c r="E2364" t="inlineStr">
        <is>
          <t>SUNDSVALL</t>
        </is>
      </c>
      <c r="F2364" t="inlineStr">
        <is>
          <t>Naturvårdsverket</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29973-2025</t>
        </is>
      </c>
      <c r="B2365" s="1" t="n">
        <v>45826.49049768518</v>
      </c>
      <c r="C2365" s="1" t="n">
        <v>46165</v>
      </c>
      <c r="D2365" t="inlineStr">
        <is>
          <t>VÄSTERNORRLANDS LÄN</t>
        </is>
      </c>
      <c r="E2365" t="inlineStr">
        <is>
          <t>SUNDSVALL</t>
        </is>
      </c>
      <c r="F2365" t="inlineStr">
        <is>
          <t>Naturvårdsverket</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30810-2025</t>
        </is>
      </c>
      <c r="B2366" s="1" t="n">
        <v>45831.65712962963</v>
      </c>
      <c r="C2366" s="1" t="n">
        <v>46165</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31115-2025</t>
        </is>
      </c>
      <c r="B2367" s="1" t="n">
        <v>45832.61564814814</v>
      </c>
      <c r="C2367" s="1" t="n">
        <v>46165</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31486-2025</t>
        </is>
      </c>
      <c r="B2368" s="1" t="n">
        <v>45833.57436342593</v>
      </c>
      <c r="C2368" s="1" t="n">
        <v>46165</v>
      </c>
      <c r="D2368" t="inlineStr">
        <is>
          <t>VÄSTERNORRLANDS LÄN</t>
        </is>
      </c>
      <c r="E2368" t="inlineStr">
        <is>
          <t>SUNDSVALL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31319-2025</t>
        </is>
      </c>
      <c r="B2369" s="1" t="n">
        <v>45833</v>
      </c>
      <c r="C2369" s="1" t="n">
        <v>46165</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31382-2025</t>
        </is>
      </c>
      <c r="B2370" s="1" t="n">
        <v>45833.4502199074</v>
      </c>
      <c r="C2370" s="1" t="n">
        <v>46165</v>
      </c>
      <c r="D2370" t="inlineStr">
        <is>
          <t>VÄSTERNORRLANDS LÄN</t>
        </is>
      </c>
      <c r="E2370" t="inlineStr">
        <is>
          <t>SUNDSVALL</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31229-2025</t>
        </is>
      </c>
      <c r="B2371" s="1" t="n">
        <v>45832.81157407408</v>
      </c>
      <c r="C2371" s="1" t="n">
        <v>46165</v>
      </c>
      <c r="D2371" t="inlineStr">
        <is>
          <t>VÄSTERNORRLANDS LÄN</t>
        </is>
      </c>
      <c r="E2371" t="inlineStr">
        <is>
          <t>SUNDSVALL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31388-2025</t>
        </is>
      </c>
      <c r="B2372" s="1" t="n">
        <v>45833.45306712963</v>
      </c>
      <c r="C2372" s="1" t="n">
        <v>46165</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31270-2025</t>
        </is>
      </c>
      <c r="B2373" s="1" t="n">
        <v>45833.33703703704</v>
      </c>
      <c r="C2373" s="1" t="n">
        <v>46165</v>
      </c>
      <c r="D2373" t="inlineStr">
        <is>
          <t>VÄSTERNORRLANDS LÄN</t>
        </is>
      </c>
      <c r="E2373" t="inlineStr">
        <is>
          <t>SUNDSVALL</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31385-2025</t>
        </is>
      </c>
      <c r="B2374" s="1" t="n">
        <v>45833.45167824074</v>
      </c>
      <c r="C2374" s="1" t="n">
        <v>46165</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31322-2025</t>
        </is>
      </c>
      <c r="B2375" s="1" t="n">
        <v>45833</v>
      </c>
      <c r="C2375" s="1" t="n">
        <v>46165</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31114-2025</t>
        </is>
      </c>
      <c r="B2376" s="1" t="n">
        <v>45832.61521990741</v>
      </c>
      <c r="C2376" s="1" t="n">
        <v>46165</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31261-2025</t>
        </is>
      </c>
      <c r="B2377" s="1" t="n">
        <v>45833.32525462963</v>
      </c>
      <c r="C2377" s="1" t="n">
        <v>46165</v>
      </c>
      <c r="D2377" t="inlineStr">
        <is>
          <t>VÄSTERNORRLANDS LÄN</t>
        </is>
      </c>
      <c r="E2377" t="inlineStr">
        <is>
          <t>SUNDSVALL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31295-2025</t>
        </is>
      </c>
      <c r="B2378" s="1" t="n">
        <v>45833.36490740741</v>
      </c>
      <c r="C2378" s="1" t="n">
        <v>46165</v>
      </c>
      <c r="D2378" t="inlineStr">
        <is>
          <t>VÄSTERNORRLANDS LÄN</t>
        </is>
      </c>
      <c r="E2378" t="inlineStr">
        <is>
          <t>SUNDSVALL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31932-2025</t>
        </is>
      </c>
      <c r="B2379" s="1" t="n">
        <v>45834.95900462963</v>
      </c>
      <c r="C2379" s="1" t="n">
        <v>46165</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32285-2025</t>
        </is>
      </c>
      <c r="B2380" s="1" t="n">
        <v>45835.68939814815</v>
      </c>
      <c r="C2380" s="1" t="n">
        <v>46165</v>
      </c>
      <c r="D2380" t="inlineStr">
        <is>
          <t>VÄSTERNORRLANDS LÄN</t>
        </is>
      </c>
      <c r="E2380" t="inlineStr">
        <is>
          <t>SUNDSVALL</t>
        </is>
      </c>
      <c r="F2380" t="inlineStr">
        <is>
          <t>Kyrkan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32288-2025</t>
        </is>
      </c>
      <c r="B2381" s="1" t="n">
        <v>45835.69495370371</v>
      </c>
      <c r="C2381" s="1" t="n">
        <v>46165</v>
      </c>
      <c r="D2381" t="inlineStr">
        <is>
          <t>VÄSTERNORRLANDS LÄN</t>
        </is>
      </c>
      <c r="E2381" t="inlineStr">
        <is>
          <t>SUNDSVALL</t>
        </is>
      </c>
      <c r="F2381" t="inlineStr">
        <is>
          <t>Kyrkan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32068-2025</t>
        </is>
      </c>
      <c r="B2382" s="1" t="n">
        <v>45835.44856481482</v>
      </c>
      <c r="C2382" s="1" t="n">
        <v>46165</v>
      </c>
      <c r="D2382" t="inlineStr">
        <is>
          <t>VÄSTERNORRLANDS LÄN</t>
        </is>
      </c>
      <c r="E2382" t="inlineStr">
        <is>
          <t>SUNDSVALL</t>
        </is>
      </c>
      <c r="F2382" t="inlineStr">
        <is>
          <t>Naturvårdsverket</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28492-2025</t>
        </is>
      </c>
      <c r="B2383" s="1" t="n">
        <v>45819</v>
      </c>
      <c r="C2383" s="1" t="n">
        <v>46165</v>
      </c>
      <c r="D2383" t="inlineStr">
        <is>
          <t>VÄSTERNORRLANDS LÄN</t>
        </is>
      </c>
      <c r="E2383" t="inlineStr">
        <is>
          <t>SUNDSVALL</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31695-2025</t>
        </is>
      </c>
      <c r="B2384" s="1" t="n">
        <v>45834.40709490741</v>
      </c>
      <c r="C2384" s="1" t="n">
        <v>46165</v>
      </c>
      <c r="D2384" t="inlineStr">
        <is>
          <t>VÄSTERNORRLANDS LÄN</t>
        </is>
      </c>
      <c r="E2384" t="inlineStr">
        <is>
          <t>SUNDSVALL</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31931-2025</t>
        </is>
      </c>
      <c r="B2385" s="1" t="n">
        <v>45834.95619212963</v>
      </c>
      <c r="C2385" s="1" t="n">
        <v>46165</v>
      </c>
      <c r="D2385" t="inlineStr">
        <is>
          <t>VÄSTERNORRLANDS LÄN</t>
        </is>
      </c>
      <c r="E2385" t="inlineStr">
        <is>
          <t>SUNDSVALL</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31708-2025</t>
        </is>
      </c>
      <c r="B2386" s="1" t="n">
        <v>45834.42398148148</v>
      </c>
      <c r="C2386" s="1" t="n">
        <v>46165</v>
      </c>
      <c r="D2386" t="inlineStr">
        <is>
          <t>VÄSTERNORRLANDS LÄN</t>
        </is>
      </c>
      <c r="E2386" t="inlineStr">
        <is>
          <t>SUNDSVALL</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32275-2025</t>
        </is>
      </c>
      <c r="B2387" s="1" t="n">
        <v>45835.65856481482</v>
      </c>
      <c r="C2387" s="1" t="n">
        <v>46165</v>
      </c>
      <c r="D2387" t="inlineStr">
        <is>
          <t>VÄSTERNORRLANDS LÄN</t>
        </is>
      </c>
      <c r="E2387" t="inlineStr">
        <is>
          <t>SUNDSVALL</t>
        </is>
      </c>
      <c r="F2387" t="inlineStr">
        <is>
          <t>Kyrkan</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31933-2025</t>
        </is>
      </c>
      <c r="B2388" s="1" t="n">
        <v>45834.96138888889</v>
      </c>
      <c r="C2388" s="1" t="n">
        <v>46165</v>
      </c>
      <c r="D2388" t="inlineStr">
        <is>
          <t>VÄSTERNORRLANDS LÄN</t>
        </is>
      </c>
      <c r="E2388" t="inlineStr">
        <is>
          <t>SUNDSVALL</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31934-2025</t>
        </is>
      </c>
      <c r="B2389" s="1" t="n">
        <v>45834.96792824074</v>
      </c>
      <c r="C2389" s="1" t="n">
        <v>46165</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32360-2025</t>
        </is>
      </c>
      <c r="B2390" s="1" t="n">
        <v>45837.59423611111</v>
      </c>
      <c r="C2390" s="1" t="n">
        <v>46165</v>
      </c>
      <c r="D2390" t="inlineStr">
        <is>
          <t>VÄSTERNORRLANDS LÄN</t>
        </is>
      </c>
      <c r="E2390" t="inlineStr">
        <is>
          <t>SUNDSVALL</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32356-2025</t>
        </is>
      </c>
      <c r="B2391" s="1" t="n">
        <v>45837.57331018519</v>
      </c>
      <c r="C2391" s="1" t="n">
        <v>46165</v>
      </c>
      <c r="D2391" t="inlineStr">
        <is>
          <t>VÄSTERNORRLANDS LÄN</t>
        </is>
      </c>
      <c r="E2391" t="inlineStr">
        <is>
          <t>SUNDSVALL</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32357-2025</t>
        </is>
      </c>
      <c r="B2392" s="1" t="n">
        <v>45837.5734375</v>
      </c>
      <c r="C2392" s="1" t="n">
        <v>46165</v>
      </c>
      <c r="D2392" t="inlineStr">
        <is>
          <t>VÄSTERNORRLANDS LÄN</t>
        </is>
      </c>
      <c r="E2392" t="inlineStr">
        <is>
          <t>SUNDSVALL</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32351-2025</t>
        </is>
      </c>
      <c r="B2393" s="1" t="n">
        <v>45837.4900462963</v>
      </c>
      <c r="C2393" s="1" t="n">
        <v>46165</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32350-2025</t>
        </is>
      </c>
      <c r="B2394" s="1" t="n">
        <v>45837.48990740741</v>
      </c>
      <c r="C2394" s="1" t="n">
        <v>46165</v>
      </c>
      <c r="D2394" t="inlineStr">
        <is>
          <t>VÄSTERNORRLANDS LÄN</t>
        </is>
      </c>
      <c r="E2394" t="inlineStr">
        <is>
          <t>SUNDSVALL</t>
        </is>
      </c>
      <c r="F2394" t="inlineStr">
        <is>
          <t>SCA</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32359-2025</t>
        </is>
      </c>
      <c r="B2395" s="1" t="n">
        <v>45837.59410879629</v>
      </c>
      <c r="C2395" s="1" t="n">
        <v>46165</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32383-2025</t>
        </is>
      </c>
      <c r="B2396" s="1" t="n">
        <v>45837.80671296296</v>
      </c>
      <c r="C2396" s="1" t="n">
        <v>46165</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32492-2025</t>
        </is>
      </c>
      <c r="B2397" s="1" t="n">
        <v>45838.44849537037</v>
      </c>
      <c r="C2397" s="1" t="n">
        <v>46165</v>
      </c>
      <c r="D2397" t="inlineStr">
        <is>
          <t>VÄSTERNORRLANDS LÄN</t>
        </is>
      </c>
      <c r="E2397" t="inlineStr">
        <is>
          <t>SUNDSVALL</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32385-2025</t>
        </is>
      </c>
      <c r="B2398" s="1" t="n">
        <v>45837.80767361111</v>
      </c>
      <c r="C2398" s="1" t="n">
        <v>46165</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33646-2025</t>
        </is>
      </c>
      <c r="B2399" s="1" t="n">
        <v>45841.65662037037</v>
      </c>
      <c r="C2399" s="1" t="n">
        <v>46165</v>
      </c>
      <c r="D2399" t="inlineStr">
        <is>
          <t>VÄSTERNORRLANDS LÄN</t>
        </is>
      </c>
      <c r="E2399" t="inlineStr">
        <is>
          <t>SUNDSVALL</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33649-2025</t>
        </is>
      </c>
      <c r="B2400" s="1" t="n">
        <v>45841.65697916667</v>
      </c>
      <c r="C2400" s="1" t="n">
        <v>46165</v>
      </c>
      <c r="D2400" t="inlineStr">
        <is>
          <t>VÄSTERNORRLANDS LÄN</t>
        </is>
      </c>
      <c r="E2400" t="inlineStr">
        <is>
          <t>SUNDSVALL</t>
        </is>
      </c>
      <c r="F2400" t="inlineStr">
        <is>
          <t>SCA</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34261-2025</t>
        </is>
      </c>
      <c r="B2401" s="1" t="n">
        <v>45845.71960648148</v>
      </c>
      <c r="C2401" s="1" t="n">
        <v>46165</v>
      </c>
      <c r="D2401" t="inlineStr">
        <is>
          <t>VÄSTERNORRLANDS LÄN</t>
        </is>
      </c>
      <c r="E2401" t="inlineStr">
        <is>
          <t>SUNDSVALL</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33934-2025</t>
        </is>
      </c>
      <c r="B2402" s="1" t="n">
        <v>45842.63596064815</v>
      </c>
      <c r="C2402" s="1" t="n">
        <v>46165</v>
      </c>
      <c r="D2402" t="inlineStr">
        <is>
          <t>VÄSTERNORRLANDS LÄN</t>
        </is>
      </c>
      <c r="E2402" t="inlineStr">
        <is>
          <t>SUNDSVALL</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5267-2025</t>
        </is>
      </c>
      <c r="B2403" s="1" t="n">
        <v>45692.38988425926</v>
      </c>
      <c r="C2403" s="1" t="n">
        <v>46165</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33899-2025</t>
        </is>
      </c>
      <c r="B2404" s="1" t="n">
        <v>45842.59440972222</v>
      </c>
      <c r="C2404" s="1" t="n">
        <v>46165</v>
      </c>
      <c r="D2404" t="inlineStr">
        <is>
          <t>VÄSTERNORRLANDS LÄN</t>
        </is>
      </c>
      <c r="E2404" t="inlineStr">
        <is>
          <t>SUNDSVALL</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34389-2025</t>
        </is>
      </c>
      <c r="B2405" s="1" t="n">
        <v>45846.57326388889</v>
      </c>
      <c r="C2405" s="1" t="n">
        <v>46165</v>
      </c>
      <c r="D2405" t="inlineStr">
        <is>
          <t>VÄSTERNORRLANDS LÄN</t>
        </is>
      </c>
      <c r="E2405" t="inlineStr">
        <is>
          <t>SUNDSVALL</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34390-2025</t>
        </is>
      </c>
      <c r="B2406" s="1" t="n">
        <v>45846.57333333333</v>
      </c>
      <c r="C2406" s="1" t="n">
        <v>46165</v>
      </c>
      <c r="D2406" t="inlineStr">
        <is>
          <t>VÄSTERNORRLANDS LÄN</t>
        </is>
      </c>
      <c r="E2406" t="inlineStr">
        <is>
          <t>SUNDSVALL</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34556-2025</t>
        </is>
      </c>
      <c r="B2407" s="1" t="n">
        <v>45847.57347222222</v>
      </c>
      <c r="C2407" s="1" t="n">
        <v>46165</v>
      </c>
      <c r="D2407" t="inlineStr">
        <is>
          <t>VÄSTERNORRLANDS LÄN</t>
        </is>
      </c>
      <c r="E2407" t="inlineStr">
        <is>
          <t>SUNDSVALL</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34557-2025</t>
        </is>
      </c>
      <c r="B2408" s="1" t="n">
        <v>45847.57372685185</v>
      </c>
      <c r="C2408" s="1" t="n">
        <v>46165</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c r="A2409" t="inlineStr">
        <is>
          <t>A 34383-2025</t>
        </is>
      </c>
      <c r="B2409" s="1" t="n">
        <v>45846.55236111111</v>
      </c>
      <c r="C2409" s="1" t="n">
        <v>46165</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2026-05-23T10:53:33Z</dcterms:created>
  <dcterms:modified xmlns:dcterms="http://purl.org/dc/terms/" xmlns:xsi="http://www.w3.org/2001/XMLSchema-instance" xsi:type="dcterms:W3CDTF">2026-05-23T10:53:35Z</dcterms:modified>
</cp:coreProperties>
</file>