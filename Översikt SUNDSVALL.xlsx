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45704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45704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45704</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45704</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45704</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45704</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45704</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45704</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45704</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45704</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45704</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45704</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45704</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45704</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45704</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45704</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45704</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45704</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45704</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45704</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45704</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45704</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45704</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45704</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45704</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45704</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45704</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45704</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45704</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45704</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45704</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45704</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45704</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45704</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45704</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45704</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45704</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45704</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45704</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45704</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45704</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45704</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45704</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45704</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45704</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45704</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45704</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45704</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45704</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45704</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45704</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45704</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45704</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45704</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45704</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45704</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45704</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45704</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45704</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45704</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45704</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45704</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45704</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45704</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45704</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45704</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45704</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45704</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45704</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45704</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45704</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45704</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45704</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45704</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45704</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45704</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45704</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45704</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45704</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45704</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45704</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45704</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45704</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45704</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45704</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45704</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45704</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45704</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45704</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45704</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45704</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45704</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45704</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45704</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45704</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45704</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45704</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45704</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45704</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45704</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45704</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45704</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45704</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45704</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45704</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45704</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45704</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45704</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45704</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45704</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45704</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45704</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45704</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45704</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45704</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45704</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45704</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45704</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45704</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45704</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45704</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45704</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45704</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45704</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45704</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45704</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45704</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45704</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45704</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45704</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45704</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45704</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45704</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45704</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45704</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45704</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45704</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45704</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45704</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45704</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45704</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45704</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45704</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45704</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45704</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45704</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45704</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45704</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45704</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45704</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45704</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45704</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45704</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45704</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45704</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45704</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45704</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45704</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45704</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45704</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45704</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45704</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45704</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45704</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45704</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45704</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45704</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45704</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45704</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45704</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45704</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45704</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59870-2023</t>
        </is>
      </c>
      <c r="B174" s="1" t="n">
        <v>45254</v>
      </c>
      <c r="C174" s="1" t="n">
        <v>45704</v>
      </c>
      <c r="D174" t="inlineStr">
        <is>
          <t>VÄSTERNORRLANDS LÄN</t>
        </is>
      </c>
      <c r="E174" t="inlineStr">
        <is>
          <t>SUNDSVALL</t>
        </is>
      </c>
      <c r="G174" t="n">
        <v>3.2</v>
      </c>
      <c r="H174" t="n">
        <v>0</v>
      </c>
      <c r="I174" t="n">
        <v>0</v>
      </c>
      <c r="J174" t="n">
        <v>1</v>
      </c>
      <c r="K174" t="n">
        <v>0</v>
      </c>
      <c r="L174" t="n">
        <v>0</v>
      </c>
      <c r="M174" t="n">
        <v>0</v>
      </c>
      <c r="N174" t="n">
        <v>0</v>
      </c>
      <c r="O174" t="n">
        <v>1</v>
      </c>
      <c r="P174" t="n">
        <v>0</v>
      </c>
      <c r="Q174" t="n">
        <v>1</v>
      </c>
      <c r="R174" s="2" t="inlineStr">
        <is>
          <t>Lunglav</t>
        </is>
      </c>
      <c r="S174">
        <f>HYPERLINK("https://klasma.github.io/Logging_2281/artfynd/A 59870-2023 artfynd.xlsx", "A 59870-2023")</f>
        <v/>
      </c>
      <c r="T174">
        <f>HYPERLINK("https://klasma.github.io/Logging_2281/kartor/A 59870-2023 karta.png", "A 59870-2023")</f>
        <v/>
      </c>
      <c r="V174">
        <f>HYPERLINK("https://klasma.github.io/Logging_2281/klagomål/A 59870-2023 FSC-klagomål.docx", "A 59870-2023")</f>
        <v/>
      </c>
      <c r="W174">
        <f>HYPERLINK("https://klasma.github.io/Logging_2281/klagomålsmail/A 59870-2023 FSC-klagomål mail.docx", "A 59870-2023")</f>
        <v/>
      </c>
      <c r="X174">
        <f>HYPERLINK("https://klasma.github.io/Logging_2281/tillsyn/A 59870-2023 tillsynsbegäran.docx", "A 59870-2023")</f>
        <v/>
      </c>
      <c r="Y174">
        <f>HYPERLINK("https://klasma.github.io/Logging_2281/tillsynsmail/A 59870-2023 tillsynsbegäran mail.docx", "A 59870-2023")</f>
        <v/>
      </c>
    </row>
    <row r="175" ht="15" customHeight="1">
      <c r="A175" t="inlineStr">
        <is>
          <t>A 233-2024</t>
        </is>
      </c>
      <c r="B175" s="1" t="n">
        <v>45294</v>
      </c>
      <c r="C175" s="1" t="n">
        <v>45704</v>
      </c>
      <c r="D175" t="inlineStr">
        <is>
          <t>VÄSTERNORRLANDS LÄN</t>
        </is>
      </c>
      <c r="E175" t="inlineStr">
        <is>
          <t>SUNDSVALL</t>
        </is>
      </c>
      <c r="G175" t="n">
        <v>2.4</v>
      </c>
      <c r="H175" t="n">
        <v>1</v>
      </c>
      <c r="I175" t="n">
        <v>0</v>
      </c>
      <c r="J175" t="n">
        <v>1</v>
      </c>
      <c r="K175" t="n">
        <v>0</v>
      </c>
      <c r="L175" t="n">
        <v>0</v>
      </c>
      <c r="M175" t="n">
        <v>0</v>
      </c>
      <c r="N175" t="n">
        <v>0</v>
      </c>
      <c r="O175" t="n">
        <v>1</v>
      </c>
      <c r="P175" t="n">
        <v>0</v>
      </c>
      <c r="Q175" t="n">
        <v>1</v>
      </c>
      <c r="R175" s="2" t="inlineStr">
        <is>
          <t>Duvhök</t>
        </is>
      </c>
      <c r="S175">
        <f>HYPERLINK("https://klasma.github.io/Logging_2281/artfynd/A 233-2024 artfynd.xlsx", "A 233-2024")</f>
        <v/>
      </c>
      <c r="T175">
        <f>HYPERLINK("https://klasma.github.io/Logging_2281/kartor/A 233-2024 karta.png", "A 233-2024")</f>
        <v/>
      </c>
      <c r="V175">
        <f>HYPERLINK("https://klasma.github.io/Logging_2281/klagomål/A 233-2024 FSC-klagomål.docx", "A 233-2024")</f>
        <v/>
      </c>
      <c r="W175">
        <f>HYPERLINK("https://klasma.github.io/Logging_2281/klagomålsmail/A 233-2024 FSC-klagomål mail.docx", "A 233-2024")</f>
        <v/>
      </c>
      <c r="X175">
        <f>HYPERLINK("https://klasma.github.io/Logging_2281/tillsyn/A 233-2024 tillsynsbegäran.docx", "A 233-2024")</f>
        <v/>
      </c>
      <c r="Y175">
        <f>HYPERLINK("https://klasma.github.io/Logging_2281/tillsynsmail/A 233-2024 tillsynsbegäran mail.docx", "A 233-2024")</f>
        <v/>
      </c>
      <c r="Z175">
        <f>HYPERLINK("https://klasma.github.io/Logging_2281/fåglar/A 233-2024 prioriterade fågelarter.docx", "A 233-2024")</f>
        <v/>
      </c>
    </row>
    <row r="176" ht="15" customHeight="1">
      <c r="A176" t="inlineStr">
        <is>
          <t>A 1058-2024</t>
        </is>
      </c>
      <c r="B176" s="1" t="n">
        <v>45301</v>
      </c>
      <c r="C176" s="1" t="n">
        <v>45704</v>
      </c>
      <c r="D176" t="inlineStr">
        <is>
          <t>VÄSTERNORRLANDS LÄN</t>
        </is>
      </c>
      <c r="E176" t="inlineStr">
        <is>
          <t>SUNDSVALL</t>
        </is>
      </c>
      <c r="F176" t="inlineStr">
        <is>
          <t>SCA</t>
        </is>
      </c>
      <c r="G176" t="n">
        <v>8</v>
      </c>
      <c r="H176" t="n">
        <v>0</v>
      </c>
      <c r="I176" t="n">
        <v>0</v>
      </c>
      <c r="J176" t="n">
        <v>1</v>
      </c>
      <c r="K176" t="n">
        <v>0</v>
      </c>
      <c r="L176" t="n">
        <v>0</v>
      </c>
      <c r="M176" t="n">
        <v>0</v>
      </c>
      <c r="N176" t="n">
        <v>0</v>
      </c>
      <c r="O176" t="n">
        <v>1</v>
      </c>
      <c r="P176" t="n">
        <v>0</v>
      </c>
      <c r="Q176" t="n">
        <v>1</v>
      </c>
      <c r="R176" s="2" t="inlineStr">
        <is>
          <t>Garnlav</t>
        </is>
      </c>
      <c r="S176">
        <f>HYPERLINK("https://klasma.github.io/Logging_2281/artfynd/A 1058-2024 artfynd.xlsx", "A 1058-2024")</f>
        <v/>
      </c>
      <c r="T176">
        <f>HYPERLINK("https://klasma.github.io/Logging_2281/kartor/A 1058-2024 karta.png", "A 1058-2024")</f>
        <v/>
      </c>
      <c r="V176">
        <f>HYPERLINK("https://klasma.github.io/Logging_2281/klagomål/A 1058-2024 FSC-klagomål.docx", "A 1058-2024")</f>
        <v/>
      </c>
      <c r="W176">
        <f>HYPERLINK("https://klasma.github.io/Logging_2281/klagomålsmail/A 1058-2024 FSC-klagomål mail.docx", "A 1058-2024")</f>
        <v/>
      </c>
      <c r="X176">
        <f>HYPERLINK("https://klasma.github.io/Logging_2281/tillsyn/A 1058-2024 tillsynsbegäran.docx", "A 1058-2024")</f>
        <v/>
      </c>
      <c r="Y176">
        <f>HYPERLINK("https://klasma.github.io/Logging_2281/tillsynsmail/A 1058-2024 tillsynsbegäran mail.docx", "A 1058-2024")</f>
        <v/>
      </c>
    </row>
    <row r="177" ht="15" customHeight="1">
      <c r="A177" t="inlineStr">
        <is>
          <t>A 3819-2024</t>
        </is>
      </c>
      <c r="B177" s="1" t="n">
        <v>45321</v>
      </c>
      <c r="C177" s="1" t="n">
        <v>45704</v>
      </c>
      <c r="D177" t="inlineStr">
        <is>
          <t>VÄSTERNORRLANDS LÄN</t>
        </is>
      </c>
      <c r="E177" t="inlineStr">
        <is>
          <t>SUNDSVALL</t>
        </is>
      </c>
      <c r="G177" t="n">
        <v>13.5</v>
      </c>
      <c r="H177" t="n">
        <v>1</v>
      </c>
      <c r="I177" t="n">
        <v>0</v>
      </c>
      <c r="J177" t="n">
        <v>0</v>
      </c>
      <c r="K177" t="n">
        <v>1</v>
      </c>
      <c r="L177" t="n">
        <v>0</v>
      </c>
      <c r="M177" t="n">
        <v>0</v>
      </c>
      <c r="N177" t="n">
        <v>0</v>
      </c>
      <c r="O177" t="n">
        <v>1</v>
      </c>
      <c r="P177" t="n">
        <v>1</v>
      </c>
      <c r="Q177" t="n">
        <v>1</v>
      </c>
      <c r="R177" s="2" t="inlineStr">
        <is>
          <t>Bombmurkla</t>
        </is>
      </c>
      <c r="S177">
        <f>HYPERLINK("https://klasma.github.io/Logging_2281/artfynd/A 3819-2024 artfynd.xlsx", "A 3819-2024")</f>
        <v/>
      </c>
      <c r="T177">
        <f>HYPERLINK("https://klasma.github.io/Logging_2281/kartor/A 3819-2024 karta.png", "A 3819-2024")</f>
        <v/>
      </c>
      <c r="V177">
        <f>HYPERLINK("https://klasma.github.io/Logging_2281/klagomål/A 3819-2024 FSC-klagomål.docx", "A 3819-2024")</f>
        <v/>
      </c>
      <c r="W177">
        <f>HYPERLINK("https://klasma.github.io/Logging_2281/klagomålsmail/A 3819-2024 FSC-klagomål mail.docx", "A 3819-2024")</f>
        <v/>
      </c>
      <c r="X177">
        <f>HYPERLINK("https://klasma.github.io/Logging_2281/tillsyn/A 3819-2024 tillsynsbegäran.docx", "A 3819-2024")</f>
        <v/>
      </c>
      <c r="Y177">
        <f>HYPERLINK("https://klasma.github.io/Logging_2281/tillsynsmail/A 3819-2024 tillsynsbegäran mail.docx", "A 3819-2024")</f>
        <v/>
      </c>
    </row>
    <row r="178" ht="15" customHeight="1">
      <c r="A178" t="inlineStr">
        <is>
          <t>A 6629-2024</t>
        </is>
      </c>
      <c r="B178" s="1" t="n">
        <v>45341</v>
      </c>
      <c r="C178" s="1" t="n">
        <v>45704</v>
      </c>
      <c r="D178" t="inlineStr">
        <is>
          <t>VÄSTERNORRLANDS LÄN</t>
        </is>
      </c>
      <c r="E178" t="inlineStr">
        <is>
          <t>SUNDSVALL</t>
        </is>
      </c>
      <c r="G178" t="n">
        <v>0.7</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6629-2024 artfynd.xlsx", "A 6629-2024")</f>
        <v/>
      </c>
      <c r="T178">
        <f>HYPERLINK("https://klasma.github.io/Logging_2281/kartor/A 6629-2024 karta.png", "A 6629-2024")</f>
        <v/>
      </c>
      <c r="V178">
        <f>HYPERLINK("https://klasma.github.io/Logging_2281/klagomål/A 6629-2024 FSC-klagomål.docx", "A 6629-2024")</f>
        <v/>
      </c>
      <c r="W178">
        <f>HYPERLINK("https://klasma.github.io/Logging_2281/klagomålsmail/A 6629-2024 FSC-klagomål mail.docx", "A 6629-2024")</f>
        <v/>
      </c>
      <c r="X178">
        <f>HYPERLINK("https://klasma.github.io/Logging_2281/tillsyn/A 6629-2024 tillsynsbegäran.docx", "A 6629-2024")</f>
        <v/>
      </c>
      <c r="Y178">
        <f>HYPERLINK("https://klasma.github.io/Logging_2281/tillsynsmail/A 6629-2024 tillsynsbegäran mail.docx", "A 6629-2024")</f>
        <v/>
      </c>
      <c r="Z178">
        <f>HYPERLINK("https://klasma.github.io/Logging_2281/fåglar/A 6629-2024 prioriterade fågelarter.docx", "A 6629-2024")</f>
        <v/>
      </c>
    </row>
    <row r="179" ht="15" customHeight="1">
      <c r="A179" t="inlineStr">
        <is>
          <t>A 6897-2024</t>
        </is>
      </c>
      <c r="B179" s="1" t="n">
        <v>45342</v>
      </c>
      <c r="C179" s="1" t="n">
        <v>45704</v>
      </c>
      <c r="D179" t="inlineStr">
        <is>
          <t>VÄSTERNORRLANDS LÄN</t>
        </is>
      </c>
      <c r="E179" t="inlineStr">
        <is>
          <t>SUNDSVALL</t>
        </is>
      </c>
      <c r="G179" t="n">
        <v>22.7</v>
      </c>
      <c r="H179" t="n">
        <v>1</v>
      </c>
      <c r="I179" t="n">
        <v>0</v>
      </c>
      <c r="J179" t="n">
        <v>1</v>
      </c>
      <c r="K179" t="n">
        <v>0</v>
      </c>
      <c r="L179" t="n">
        <v>0</v>
      </c>
      <c r="M179" t="n">
        <v>0</v>
      </c>
      <c r="N179" t="n">
        <v>0</v>
      </c>
      <c r="O179" t="n">
        <v>1</v>
      </c>
      <c r="P179" t="n">
        <v>0</v>
      </c>
      <c r="Q179" t="n">
        <v>1</v>
      </c>
      <c r="R179" s="2" t="inlineStr">
        <is>
          <t>Utter</t>
        </is>
      </c>
      <c r="S179">
        <f>HYPERLINK("https://klasma.github.io/Logging_2281/artfynd/A 6897-2024 artfynd.xlsx", "A 6897-2024")</f>
        <v/>
      </c>
      <c r="T179">
        <f>HYPERLINK("https://klasma.github.io/Logging_2281/kartor/A 6897-2024 karta.png", "A 6897-2024")</f>
        <v/>
      </c>
      <c r="V179">
        <f>HYPERLINK("https://klasma.github.io/Logging_2281/klagomål/A 6897-2024 FSC-klagomål.docx", "A 6897-2024")</f>
        <v/>
      </c>
      <c r="W179">
        <f>HYPERLINK("https://klasma.github.io/Logging_2281/klagomålsmail/A 6897-2024 FSC-klagomål mail.docx", "A 6897-2024")</f>
        <v/>
      </c>
      <c r="X179">
        <f>HYPERLINK("https://klasma.github.io/Logging_2281/tillsyn/A 6897-2024 tillsynsbegäran.docx", "A 6897-2024")</f>
        <v/>
      </c>
      <c r="Y179">
        <f>HYPERLINK("https://klasma.github.io/Logging_2281/tillsynsmail/A 6897-2024 tillsynsbegäran mail.docx", "A 6897-2024")</f>
        <v/>
      </c>
    </row>
    <row r="180" ht="15" customHeight="1">
      <c r="A180" t="inlineStr">
        <is>
          <t>A 11681-2024</t>
        </is>
      </c>
      <c r="B180" s="1" t="n">
        <v>45373</v>
      </c>
      <c r="C180" s="1" t="n">
        <v>45704</v>
      </c>
      <c r="D180" t="inlineStr">
        <is>
          <t>VÄSTERNORRLANDS LÄN</t>
        </is>
      </c>
      <c r="E180" t="inlineStr">
        <is>
          <t>SUNDSVALL</t>
        </is>
      </c>
      <c r="F180" t="inlineStr">
        <is>
          <t>Holmen skog AB</t>
        </is>
      </c>
      <c r="G180" t="n">
        <v>9</v>
      </c>
      <c r="H180" t="n">
        <v>1</v>
      </c>
      <c r="I180" t="n">
        <v>0</v>
      </c>
      <c r="J180" t="n">
        <v>0</v>
      </c>
      <c r="K180" t="n">
        <v>0</v>
      </c>
      <c r="L180" t="n">
        <v>0</v>
      </c>
      <c r="M180" t="n">
        <v>0</v>
      </c>
      <c r="N180" t="n">
        <v>0</v>
      </c>
      <c r="O180" t="n">
        <v>0</v>
      </c>
      <c r="P180" t="n">
        <v>0</v>
      </c>
      <c r="Q180" t="n">
        <v>1</v>
      </c>
      <c r="R180" s="2" t="inlineStr">
        <is>
          <t>Tjäder</t>
        </is>
      </c>
      <c r="S180">
        <f>HYPERLINK("https://klasma.github.io/Logging_2281/artfynd/A 11681-2024 artfynd.xlsx", "A 11681-2024")</f>
        <v/>
      </c>
      <c r="T180">
        <f>HYPERLINK("https://klasma.github.io/Logging_2281/kartor/A 11681-2024 karta.png", "A 11681-2024")</f>
        <v/>
      </c>
      <c r="V180">
        <f>HYPERLINK("https://klasma.github.io/Logging_2281/klagomål/A 11681-2024 FSC-klagomål.docx", "A 11681-2024")</f>
        <v/>
      </c>
      <c r="W180">
        <f>HYPERLINK("https://klasma.github.io/Logging_2281/klagomålsmail/A 11681-2024 FSC-klagomål mail.docx", "A 11681-2024")</f>
        <v/>
      </c>
      <c r="X180">
        <f>HYPERLINK("https://klasma.github.io/Logging_2281/tillsyn/A 11681-2024 tillsynsbegäran.docx", "A 11681-2024")</f>
        <v/>
      </c>
      <c r="Y180">
        <f>HYPERLINK("https://klasma.github.io/Logging_2281/tillsynsmail/A 11681-2024 tillsynsbegäran mail.docx", "A 11681-2024")</f>
        <v/>
      </c>
      <c r="Z180">
        <f>HYPERLINK("https://klasma.github.io/Logging_2281/fåglar/A 11681-2024 prioriterade fågelarter.docx", "A 11681-2024")</f>
        <v/>
      </c>
    </row>
    <row r="181" ht="15" customHeight="1">
      <c r="A181" t="inlineStr">
        <is>
          <t>A 15151-2024</t>
        </is>
      </c>
      <c r="B181" s="1" t="n">
        <v>45400</v>
      </c>
      <c r="C181" s="1" t="n">
        <v>45704</v>
      </c>
      <c r="D181" t="inlineStr">
        <is>
          <t>VÄSTERNORRLANDS LÄN</t>
        </is>
      </c>
      <c r="E181" t="inlineStr">
        <is>
          <t>SUNDSVALL</t>
        </is>
      </c>
      <c r="F181" t="inlineStr">
        <is>
          <t>Naturvårdsverket</t>
        </is>
      </c>
      <c r="G181" t="n">
        <v>17.2</v>
      </c>
      <c r="H181" t="n">
        <v>1</v>
      </c>
      <c r="I181" t="n">
        <v>0</v>
      </c>
      <c r="J181" t="n">
        <v>0</v>
      </c>
      <c r="K181" t="n">
        <v>1</v>
      </c>
      <c r="L181" t="n">
        <v>0</v>
      </c>
      <c r="M181" t="n">
        <v>0</v>
      </c>
      <c r="N181" t="n">
        <v>0</v>
      </c>
      <c r="O181" t="n">
        <v>1</v>
      </c>
      <c r="P181" t="n">
        <v>1</v>
      </c>
      <c r="Q181" t="n">
        <v>1</v>
      </c>
      <c r="R181" s="2" t="inlineStr">
        <is>
          <t>Knärot</t>
        </is>
      </c>
      <c r="S181">
        <f>HYPERLINK("https://klasma.github.io/Logging_2281/artfynd/A 15151-2024 artfynd.xlsx", "A 15151-2024")</f>
        <v/>
      </c>
      <c r="T181">
        <f>HYPERLINK("https://klasma.github.io/Logging_2281/kartor/A 15151-2024 karta.png", "A 15151-2024")</f>
        <v/>
      </c>
      <c r="U181">
        <f>HYPERLINK("https://klasma.github.io/Logging_2281/knärot/A 15151-2024 karta knärot.png", "A 15151-2024")</f>
        <v/>
      </c>
      <c r="V181">
        <f>HYPERLINK("https://klasma.github.io/Logging_2281/klagomål/A 15151-2024 FSC-klagomål.docx", "A 15151-2024")</f>
        <v/>
      </c>
      <c r="W181">
        <f>HYPERLINK("https://klasma.github.io/Logging_2281/klagomålsmail/A 15151-2024 FSC-klagomål mail.docx", "A 15151-2024")</f>
        <v/>
      </c>
      <c r="X181">
        <f>HYPERLINK("https://klasma.github.io/Logging_2281/tillsyn/A 15151-2024 tillsynsbegäran.docx", "A 15151-2024")</f>
        <v/>
      </c>
      <c r="Y181">
        <f>HYPERLINK("https://klasma.github.io/Logging_2281/tillsynsmail/A 15151-2024 tillsynsbegäran mail.docx", "A 15151-2024")</f>
        <v/>
      </c>
    </row>
    <row r="182" ht="15" customHeight="1">
      <c r="A182" t="inlineStr">
        <is>
          <t>A 15376-2024</t>
        </is>
      </c>
      <c r="B182" s="1" t="n">
        <v>45400</v>
      </c>
      <c r="C182" s="1" t="n">
        <v>45704</v>
      </c>
      <c r="D182" t="inlineStr">
        <is>
          <t>VÄSTERNORRLANDS LÄN</t>
        </is>
      </c>
      <c r="E182" t="inlineStr">
        <is>
          <t>SUNDSVALL</t>
        </is>
      </c>
      <c r="F182" t="inlineStr">
        <is>
          <t>Naturvårdsverket</t>
        </is>
      </c>
      <c r="G182" t="n">
        <v>1.2</v>
      </c>
      <c r="H182" t="n">
        <v>0</v>
      </c>
      <c r="I182" t="n">
        <v>0</v>
      </c>
      <c r="J182" t="n">
        <v>1</v>
      </c>
      <c r="K182" t="n">
        <v>0</v>
      </c>
      <c r="L182" t="n">
        <v>0</v>
      </c>
      <c r="M182" t="n">
        <v>0</v>
      </c>
      <c r="N182" t="n">
        <v>0</v>
      </c>
      <c r="O182" t="n">
        <v>1</v>
      </c>
      <c r="P182" t="n">
        <v>0</v>
      </c>
      <c r="Q182" t="n">
        <v>1</v>
      </c>
      <c r="R182" s="2" t="inlineStr">
        <is>
          <t>Granticka</t>
        </is>
      </c>
      <c r="S182">
        <f>HYPERLINK("https://klasma.github.io/Logging_2281/artfynd/A 15376-2024 artfynd.xlsx", "A 15376-2024")</f>
        <v/>
      </c>
      <c r="T182">
        <f>HYPERLINK("https://klasma.github.io/Logging_2281/kartor/A 15376-2024 karta.png", "A 15376-2024")</f>
        <v/>
      </c>
      <c r="V182">
        <f>HYPERLINK("https://klasma.github.io/Logging_2281/klagomål/A 15376-2024 FSC-klagomål.docx", "A 15376-2024")</f>
        <v/>
      </c>
      <c r="W182">
        <f>HYPERLINK("https://klasma.github.io/Logging_2281/klagomålsmail/A 15376-2024 FSC-klagomål mail.docx", "A 15376-2024")</f>
        <v/>
      </c>
      <c r="X182">
        <f>HYPERLINK("https://klasma.github.io/Logging_2281/tillsyn/A 15376-2024 tillsynsbegäran.docx", "A 15376-2024")</f>
        <v/>
      </c>
      <c r="Y182">
        <f>HYPERLINK("https://klasma.github.io/Logging_2281/tillsynsmail/A 15376-2024 tillsynsbegäran mail.docx", "A 15376-2024")</f>
        <v/>
      </c>
    </row>
    <row r="183" ht="15" customHeight="1">
      <c r="A183" t="inlineStr">
        <is>
          <t>A 20517-2024</t>
        </is>
      </c>
      <c r="B183" s="1" t="n">
        <v>45435</v>
      </c>
      <c r="C183" s="1" t="n">
        <v>45704</v>
      </c>
      <c r="D183" t="inlineStr">
        <is>
          <t>VÄSTERNORRLANDS LÄN</t>
        </is>
      </c>
      <c r="E183" t="inlineStr">
        <is>
          <t>SUNDSVALL</t>
        </is>
      </c>
      <c r="G183" t="n">
        <v>4.6</v>
      </c>
      <c r="H183" t="n">
        <v>0</v>
      </c>
      <c r="I183" t="n">
        <v>0</v>
      </c>
      <c r="J183" t="n">
        <v>1</v>
      </c>
      <c r="K183" t="n">
        <v>0</v>
      </c>
      <c r="L183" t="n">
        <v>0</v>
      </c>
      <c r="M183" t="n">
        <v>0</v>
      </c>
      <c r="N183" t="n">
        <v>0</v>
      </c>
      <c r="O183" t="n">
        <v>1</v>
      </c>
      <c r="P183" t="n">
        <v>0</v>
      </c>
      <c r="Q183" t="n">
        <v>1</v>
      </c>
      <c r="R183" s="2" t="inlineStr">
        <is>
          <t>Lunglav</t>
        </is>
      </c>
      <c r="S183">
        <f>HYPERLINK("https://klasma.github.io/Logging_2281/artfynd/A 20517-2024 artfynd.xlsx", "A 20517-2024")</f>
        <v/>
      </c>
      <c r="T183">
        <f>HYPERLINK("https://klasma.github.io/Logging_2281/kartor/A 20517-2024 karta.png", "A 20517-2024")</f>
        <v/>
      </c>
      <c r="V183">
        <f>HYPERLINK("https://klasma.github.io/Logging_2281/klagomål/A 20517-2024 FSC-klagomål.docx", "A 20517-2024")</f>
        <v/>
      </c>
      <c r="W183">
        <f>HYPERLINK("https://klasma.github.io/Logging_2281/klagomålsmail/A 20517-2024 FSC-klagomål mail.docx", "A 20517-2024")</f>
        <v/>
      </c>
      <c r="X183">
        <f>HYPERLINK("https://klasma.github.io/Logging_2281/tillsyn/A 20517-2024 tillsynsbegäran.docx", "A 20517-2024")</f>
        <v/>
      </c>
      <c r="Y183">
        <f>HYPERLINK("https://klasma.github.io/Logging_2281/tillsynsmail/A 20517-2024 tillsynsbegäran mail.docx", "A 20517-2024")</f>
        <v/>
      </c>
    </row>
    <row r="184" ht="15" customHeight="1">
      <c r="A184" t="inlineStr">
        <is>
          <t>A 25380-2024</t>
        </is>
      </c>
      <c r="B184" s="1" t="n">
        <v>45463</v>
      </c>
      <c r="C184" s="1" t="n">
        <v>45704</v>
      </c>
      <c r="D184" t="inlineStr">
        <is>
          <t>VÄSTERNORRLANDS LÄN</t>
        </is>
      </c>
      <c r="E184" t="inlineStr">
        <is>
          <t>SUNDSVALL</t>
        </is>
      </c>
      <c r="F184" t="inlineStr">
        <is>
          <t>SCA</t>
        </is>
      </c>
      <c r="G184" t="n">
        <v>3.3</v>
      </c>
      <c r="H184" t="n">
        <v>1</v>
      </c>
      <c r="I184" t="n">
        <v>0</v>
      </c>
      <c r="J184" t="n">
        <v>1</v>
      </c>
      <c r="K184" t="n">
        <v>0</v>
      </c>
      <c r="L184" t="n">
        <v>0</v>
      </c>
      <c r="M184" t="n">
        <v>0</v>
      </c>
      <c r="N184" t="n">
        <v>0</v>
      </c>
      <c r="O184" t="n">
        <v>1</v>
      </c>
      <c r="P184" t="n">
        <v>0</v>
      </c>
      <c r="Q184" t="n">
        <v>1</v>
      </c>
      <c r="R184" s="2" t="inlineStr">
        <is>
          <t>Nordfladdermus</t>
        </is>
      </c>
      <c r="S184">
        <f>HYPERLINK("https://klasma.github.io/Logging_2281/artfynd/A 25380-2024 artfynd.xlsx", "A 25380-2024")</f>
        <v/>
      </c>
      <c r="T184">
        <f>HYPERLINK("https://klasma.github.io/Logging_2281/kartor/A 25380-2024 karta.png", "A 25380-2024")</f>
        <v/>
      </c>
      <c r="V184">
        <f>HYPERLINK("https://klasma.github.io/Logging_2281/klagomål/A 25380-2024 FSC-klagomål.docx", "A 25380-2024")</f>
        <v/>
      </c>
      <c r="W184">
        <f>HYPERLINK("https://klasma.github.io/Logging_2281/klagomålsmail/A 25380-2024 FSC-klagomål mail.docx", "A 25380-2024")</f>
        <v/>
      </c>
      <c r="X184">
        <f>HYPERLINK("https://klasma.github.io/Logging_2281/tillsyn/A 25380-2024 tillsynsbegäran.docx", "A 25380-2024")</f>
        <v/>
      </c>
      <c r="Y184">
        <f>HYPERLINK("https://klasma.github.io/Logging_2281/tillsynsmail/A 25380-2024 tillsynsbegäran mail.docx", "A 25380-2024")</f>
        <v/>
      </c>
    </row>
    <row r="185" ht="15" customHeight="1">
      <c r="A185" t="inlineStr">
        <is>
          <t>A 26080-2024</t>
        </is>
      </c>
      <c r="B185" s="1" t="n">
        <v>45468</v>
      </c>
      <c r="C185" s="1" t="n">
        <v>45704</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45704</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45704</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45704</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45704</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45704</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45704</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45704</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45704</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45704</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45704</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4896-2025</t>
        </is>
      </c>
      <c r="B196" s="1" t="n">
        <v>45688</v>
      </c>
      <c r="C196" s="1" t="n">
        <v>45704</v>
      </c>
      <c r="D196" t="inlineStr">
        <is>
          <t>VÄSTERNORRLANDS LÄN</t>
        </is>
      </c>
      <c r="E196" t="inlineStr">
        <is>
          <t>SUNDSVALL</t>
        </is>
      </c>
      <c r="F196" t="inlineStr">
        <is>
          <t>SCA</t>
        </is>
      </c>
      <c r="G196" t="n">
        <v>6.9</v>
      </c>
      <c r="H196" t="n">
        <v>0</v>
      </c>
      <c r="I196" t="n">
        <v>1</v>
      </c>
      <c r="J196" t="n">
        <v>0</v>
      </c>
      <c r="K196" t="n">
        <v>0</v>
      </c>
      <c r="L196" t="n">
        <v>0</v>
      </c>
      <c r="M196" t="n">
        <v>0</v>
      </c>
      <c r="N196" t="n">
        <v>0</v>
      </c>
      <c r="O196" t="n">
        <v>0</v>
      </c>
      <c r="P196" t="n">
        <v>0</v>
      </c>
      <c r="Q196" t="n">
        <v>1</v>
      </c>
      <c r="R196" s="2" t="inlineStr">
        <is>
          <t>Tibast</t>
        </is>
      </c>
      <c r="S196">
        <f>HYPERLINK("https://klasma.github.io/Logging_2281/artfynd/A 4896-2025 artfynd.xlsx", "A 4896-2025")</f>
        <v/>
      </c>
      <c r="T196">
        <f>HYPERLINK("https://klasma.github.io/Logging_2281/kartor/A 4896-2025 karta.png", "A 4896-2025")</f>
        <v/>
      </c>
      <c r="U196">
        <f>HYPERLINK("https://klasma.github.io/Logging_2281/knärot/A 4896-2025 karta knärot.png", "A 4896-2025")</f>
        <v/>
      </c>
      <c r="V196">
        <f>HYPERLINK("https://klasma.github.io/Logging_2281/klagomål/A 4896-2025 FSC-klagomål.docx", "A 4896-2025")</f>
        <v/>
      </c>
      <c r="W196">
        <f>HYPERLINK("https://klasma.github.io/Logging_2281/klagomålsmail/A 4896-2025 FSC-klagomål mail.docx", "A 4896-2025")</f>
        <v/>
      </c>
      <c r="X196">
        <f>HYPERLINK("https://klasma.github.io/Logging_2281/tillsyn/A 4896-2025 tillsynsbegäran.docx", "A 4896-2025")</f>
        <v/>
      </c>
      <c r="Y196">
        <f>HYPERLINK("https://klasma.github.io/Logging_2281/tillsynsmail/A 4896-2025 tillsynsbegäran mail.docx", "A 4896-2025")</f>
        <v/>
      </c>
    </row>
    <row r="197" ht="15" customHeight="1">
      <c r="A197" t="inlineStr">
        <is>
          <t>A 4856-2025</t>
        </is>
      </c>
      <c r="B197" s="1" t="n">
        <v>45688</v>
      </c>
      <c r="C197" s="1" t="n">
        <v>45704</v>
      </c>
      <c r="D197" t="inlineStr">
        <is>
          <t>VÄSTERNORRLANDS LÄN</t>
        </is>
      </c>
      <c r="E197" t="inlineStr">
        <is>
          <t>SUNDSVALL</t>
        </is>
      </c>
      <c r="F197" t="inlineStr">
        <is>
          <t>SCA</t>
        </is>
      </c>
      <c r="G197" t="n">
        <v>3.5</v>
      </c>
      <c r="H197" t="n">
        <v>0</v>
      </c>
      <c r="I197" t="n">
        <v>1</v>
      </c>
      <c r="J197" t="n">
        <v>0</v>
      </c>
      <c r="K197" t="n">
        <v>0</v>
      </c>
      <c r="L197" t="n">
        <v>0</v>
      </c>
      <c r="M197" t="n">
        <v>0</v>
      </c>
      <c r="N197" t="n">
        <v>0</v>
      </c>
      <c r="O197" t="n">
        <v>0</v>
      </c>
      <c r="P197" t="n">
        <v>0</v>
      </c>
      <c r="Q197" t="n">
        <v>1</v>
      </c>
      <c r="R197" s="2" t="inlineStr">
        <is>
          <t>Grönpyrola</t>
        </is>
      </c>
      <c r="S197">
        <f>HYPERLINK("https://klasma.github.io/Logging_2281/artfynd/A 4856-2025 artfynd.xlsx", "A 4856-2025")</f>
        <v/>
      </c>
      <c r="T197">
        <f>HYPERLINK("https://klasma.github.io/Logging_2281/kartor/A 4856-2025 karta.png", "A 4856-2025")</f>
        <v/>
      </c>
      <c r="V197">
        <f>HYPERLINK("https://klasma.github.io/Logging_2281/klagomål/A 4856-2025 FSC-klagomål.docx", "A 4856-2025")</f>
        <v/>
      </c>
      <c r="W197">
        <f>HYPERLINK("https://klasma.github.io/Logging_2281/klagomålsmail/A 4856-2025 FSC-klagomål mail.docx", "A 4856-2025")</f>
        <v/>
      </c>
      <c r="X197">
        <f>HYPERLINK("https://klasma.github.io/Logging_2281/tillsyn/A 4856-2025 tillsynsbegäran.docx", "A 4856-2025")</f>
        <v/>
      </c>
      <c r="Y197">
        <f>HYPERLINK("https://klasma.github.io/Logging_2281/tillsynsmail/A 4856-2025 tillsynsbegäran mail.docx", "A 4856-2025")</f>
        <v/>
      </c>
    </row>
    <row r="198" ht="15" customHeight="1">
      <c r="A198" t="inlineStr">
        <is>
          <t>A 4878-2025</t>
        </is>
      </c>
      <c r="B198" s="1" t="n">
        <v>45688</v>
      </c>
      <c r="C198" s="1" t="n">
        <v>45704</v>
      </c>
      <c r="D198" t="inlineStr">
        <is>
          <t>VÄSTERNORRLANDS LÄN</t>
        </is>
      </c>
      <c r="E198" t="inlineStr">
        <is>
          <t>SUNDSVALL</t>
        </is>
      </c>
      <c r="F198" t="inlineStr">
        <is>
          <t>SCA</t>
        </is>
      </c>
      <c r="G198" t="n">
        <v>4.2</v>
      </c>
      <c r="H198" t="n">
        <v>1</v>
      </c>
      <c r="I198" t="n">
        <v>0</v>
      </c>
      <c r="J198" t="n">
        <v>0</v>
      </c>
      <c r="K198" t="n">
        <v>1</v>
      </c>
      <c r="L198" t="n">
        <v>0</v>
      </c>
      <c r="M198" t="n">
        <v>0</v>
      </c>
      <c r="N198" t="n">
        <v>0</v>
      </c>
      <c r="O198" t="n">
        <v>1</v>
      </c>
      <c r="P198" t="n">
        <v>1</v>
      </c>
      <c r="Q198" t="n">
        <v>1</v>
      </c>
      <c r="R198" s="2" t="inlineStr">
        <is>
          <t>Knärot</t>
        </is>
      </c>
      <c r="S198">
        <f>HYPERLINK("https://klasma.github.io/Logging_2281/artfynd/A 4878-2025 artfynd.xlsx", "A 4878-2025")</f>
        <v/>
      </c>
      <c r="T198">
        <f>HYPERLINK("https://klasma.github.io/Logging_2281/kartor/A 4878-2025 karta.png", "A 4878-2025")</f>
        <v/>
      </c>
      <c r="U198">
        <f>HYPERLINK("https://klasma.github.io/Logging_2281/knärot/A 4878-2025 karta knärot.png", "A 4878-2025")</f>
        <v/>
      </c>
      <c r="V198">
        <f>HYPERLINK("https://klasma.github.io/Logging_2281/klagomål/A 4878-2025 FSC-klagomål.docx", "A 4878-2025")</f>
        <v/>
      </c>
      <c r="W198">
        <f>HYPERLINK("https://klasma.github.io/Logging_2281/klagomålsmail/A 4878-2025 FSC-klagomål mail.docx", "A 4878-2025")</f>
        <v/>
      </c>
      <c r="X198">
        <f>HYPERLINK("https://klasma.github.io/Logging_2281/tillsyn/A 4878-2025 tillsynsbegäran.docx", "A 4878-2025")</f>
        <v/>
      </c>
      <c r="Y198">
        <f>HYPERLINK("https://klasma.github.io/Logging_2281/tillsynsmail/A 4878-2025 tillsynsbegäran mail.docx", "A 4878-2025")</f>
        <v/>
      </c>
    </row>
    <row r="199" ht="15" customHeight="1">
      <c r="A199" t="inlineStr">
        <is>
          <t>A 18070-2019</t>
        </is>
      </c>
      <c r="B199" s="1" t="n">
        <v>43557</v>
      </c>
      <c r="C199" s="1" t="n">
        <v>45704</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45704</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45704</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45704</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45704</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45704</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45704</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45704</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45704</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45704</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45704</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45704</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45704</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45704</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45704</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45704</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45704</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45704</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45704</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45704</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45704</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45704</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45704</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45704</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45704</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45704</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45704</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45704</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45704</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45704</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45704</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45704</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45704</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45704</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45704</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45704</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45704</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45704</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45704</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45704</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45704</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45704</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45704</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45704</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45704</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45704</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45704</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45704</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45704</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45704</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45704</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45704</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45704</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45704</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45704</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45704</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45704</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45704</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45704</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45704</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45704</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45704</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45704</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45704</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45704</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45704</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45704</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45704</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45704</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45704</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45704</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45704</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45704</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45704</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45704</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45704</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45704</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45704</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45704</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45704</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45704</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45704</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45704</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45704</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45704</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45704</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45704</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45704</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45704</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45704</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45704</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45704</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45704</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45704</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45704</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45704</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45704</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45704</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45704</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45704</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45704</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45704</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45704</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45704</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45704</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45704</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45704</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45704</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45704</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45704</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45704</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45704</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45704</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45704</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45704</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45704</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45704</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45704</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45704</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45704</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45704</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45704</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45704</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45704</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45704</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45704</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45704</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45704</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45704</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45704</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45704</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45704</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45704</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45704</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45704</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45704</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45704</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45704</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45704</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45704</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45704</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45704</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45704</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45704</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45704</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45704</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45704</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45704</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45704</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45704</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45704</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45704</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45704</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45704</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45704</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45704</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45704</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45704</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45704</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45704</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45704</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45704</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45704</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45704</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45704</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45704</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45704</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45704</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45704</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45704</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45704</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45704</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45704</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45704</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45704</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45704</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45704</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45704</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45704</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45704</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45704</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45704</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45704</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45704</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45704</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45704</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45704</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45704</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45704</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45704</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45704</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45704</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45704</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45704</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45704</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45704</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45704</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45704</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45704</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45704</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45704</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45704</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45704</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45704</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45704</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45704</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45704</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45704</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45704</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45704</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45704</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45704</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45704</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45704</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45704</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45704</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45704</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45704</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45704</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45704</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45704</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45704</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45704</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45704</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45704</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45704</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45704</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45704</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45704</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45704</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45704</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45704</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45704</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45704</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45704</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45704</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45704</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45704</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45704</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45704</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45704</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45704</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45704</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45704</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45704</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45704</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45704</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45704</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45704</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45704</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45704</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45704</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45704</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45704</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45704</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45704</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45704</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45704</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45704</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45704</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45704</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45704</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45704</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45704</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45704</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45704</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45704</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45704</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45704</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45704</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45704</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45704</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45704</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45704</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45704</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45704</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45704</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45704</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45704</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45704</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45704</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45704</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45704</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45704</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45704</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45704</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45704</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45704</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45704</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45704</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45704</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45704</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45704</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45704</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45704</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45704</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45704</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45704</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45704</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45704</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45704</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45704</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45704</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45704</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45704</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45704</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45704</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45704</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45704</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45704</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45704</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45704</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45704</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45704</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45704</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45704</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45704</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45704</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45704</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45704</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45704</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45704</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45704</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45704</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45704</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45704</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45704</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45704</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45704</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45704</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45704</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45704</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45704</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45704</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45704</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45704</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45704</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45704</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45704</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45704</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45704</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45704</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45704</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45704</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45704</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45704</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45704</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45704</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45704</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45704</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45704</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45704</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45704</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45704</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45704</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45704</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45704</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45704</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45704</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45704</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45704</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45704</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45704</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45704</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45704</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45704</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45704</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45704</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45704</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45704</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45704</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45704</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45704</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45704</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45704</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45704</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45704</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45704</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45704</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45704</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45704</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45704</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45704</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45704</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45704</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45704</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45704</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45704</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45704</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45704</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45704</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45704</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45704</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45704</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45704</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45704</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45704</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45704</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45704</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45704</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45704</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45704</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45704</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45704</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45704</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45704</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45704</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45704</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45704</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45704</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45704</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45704</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45704</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45704</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45704</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45704</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45704</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45704</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45704</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45704</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45704</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45704</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45704</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45704</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45704</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45704</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45704</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45704</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45704</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45704</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45704</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45704</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45704</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45704</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45704</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45704</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45704</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45704</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45704</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45704</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45704</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45704</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45704</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45704</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45704</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45704</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45704</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45704</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45704</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45704</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45704</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45704</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45704</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45704</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45704</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45704</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45704</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45704</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45704</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45704</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45704</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45704</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45704</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45704</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45704</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45704</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45704</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45704</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45704</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45704</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45704</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45704</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45704</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45704</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45704</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45704</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45704</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45704</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45704</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45704</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45704</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45704</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45704</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45704</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45704</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45704</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45704</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45704</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45704</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45704</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45704</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45704</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45704</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45704</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45704</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45704</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45704</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45704</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45704</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45704</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45704</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45704</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45704</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45704</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45704</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45704</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45704</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45704</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45704</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45704</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45704</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45704</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45704</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45704</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45704</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45704</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45704</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45704</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45704</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45704</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45704</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45704</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45704</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45704</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45704</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45704</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45704</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45704</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45704</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45704</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45704</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45704</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45704</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45704</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45704</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45704</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45704</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45704</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45704</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45704</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45704</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45704</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45704</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45704</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45704</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45704</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45704</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45704</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45704</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45704</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45704</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45704</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45704</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45704</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45704</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45704</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45704</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45704</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45704</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45704</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45704</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45704</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45704</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45704</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45704</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45704</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45704</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45704</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45704</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45704</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45704</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45704</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45704</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45704</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45704</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45704</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45704</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45704</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45704</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45704</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45704</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45704</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45704</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45704</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45704</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45704</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45704</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45704</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45704</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45704</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45704</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45704</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45704</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45704</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45704</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45704</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45704</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45704</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45704</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45704</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45704</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45704</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45704</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45704</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45704</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45704</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45704</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45704</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45704</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45704</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45704</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45704</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45704</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45704</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45704</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45704</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45704</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45704</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45704</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45704</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45704</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45704</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45704</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45704</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45704</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45704</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45704</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45704</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45704</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45704</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45704</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45704</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45704</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45704</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45704</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45704</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45704</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45704</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45704</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45704</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45704</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45704</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45704</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45704</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45704</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45704</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45704</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45704</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45704</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45704</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45704</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45704</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45704</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45704</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45704</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45704</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45704</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45704</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45704</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45704</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45704</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45704</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45704</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45704</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45704</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45704</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45704</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45704</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45704</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45704</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45704</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45704</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45704</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45704</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45704</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45704</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45704</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45704</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45704</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45704</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45704</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45704</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45704</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45704</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45704</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45704</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45704</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45704</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45704</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45704</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45704</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45704</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45704</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45704</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45704</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45704</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45704</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45704</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45704</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45704</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45704</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45704</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45704</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45704</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45704</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45704</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45704</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45704</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45704</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45704</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45704</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45704</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45704</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45704</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45704</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45704</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45704</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45704</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45704</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45704</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45704</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45704</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45704</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45704</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45704</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45704</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45704</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45704</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45704</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45704</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45704</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45704</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45704</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45704</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45704</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45704</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45704</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45704</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45704</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45704</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45704</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45704</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45704</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45704</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45704</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45704</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45704</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45704</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45704</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45704</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45704</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45704</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45704</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45704</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45704</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45704</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45704</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45704</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45704</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45704</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45704</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45704</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45704</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45704</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45704</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45704</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45704</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45704</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45704</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45704</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45704</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45704</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45704</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45704</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45704</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45704</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45704</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45704</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45704</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45704</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45704</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45704</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45704</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45704</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45704</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45704</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45704</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45704</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45704</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45704</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45704</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45704</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45704</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45704</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45704</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45704</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45704</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45704</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45704</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45704</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45704</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45704</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45704</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45704</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45704</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45704</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45704</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45704</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45704</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45704</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45704</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45704</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45704</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45704</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45704</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45704</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45704</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45704</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45704</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45704</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45704</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45704</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45704</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45704</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45704</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45704</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45704</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45704</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45704</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45704</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45704</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45704</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45704</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45704</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45704</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45704</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45704</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45704</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45704</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45704</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45704</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45704</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45704</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45704</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45704</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45704</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45704</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45704</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45704</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45704</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45704</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45704</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45704</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45704</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45704</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45704</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45704</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45704</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45704</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45704</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45704</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45704</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45704</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45704</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45704</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45704</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45704</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45704</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45704</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45704</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45704</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45704</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45704</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45704</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45704</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45704</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45704</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45704</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45704</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45704</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45704</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45704</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45704</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45704</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45704</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45704</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45704</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45704</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45704</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45704</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45704</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45704</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45704</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45704</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45704</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45704</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45704</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45704</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45704</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45704</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45704</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45704</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45704</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45704</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45704</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45704</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45704</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45704</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45704</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45704</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45704</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45704</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45704</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45704</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45704</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45704</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45704</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45704</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45704</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45704</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45704</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45704</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45704</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45704</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45704</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45704</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45704</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45704</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45704</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45704</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45704</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45704</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45704</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45704</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45704</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45704</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45704</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45704</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45704</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45704</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45704</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45704</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45704</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45704</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45704</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45704</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45704</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45704</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45704</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45704</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45704</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45704</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45704</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45704</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45704</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45704</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45704</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45704</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45704</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45704</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45704</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45704</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45704</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45704</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45704</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45704</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45704</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45704</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45704</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45704</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45704</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45704</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45704</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45704</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45704</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45704</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45704</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45704</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45704</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45704</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45704</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45704</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45704</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45704</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45704</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45704</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45704</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45704</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45704</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45704</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45704</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45704</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45704</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45704</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45704</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45704</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45704</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45704</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45704</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45704</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45704</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45704</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45704</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45704</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45704</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45704</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45704</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45704</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45704</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45704</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45704</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45704</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45704</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45704</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45704</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45704</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45704</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45704</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45704</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45704</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45704</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45704</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45704</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45704</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45704</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45704</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45704</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45704</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45704</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45704</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45704</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45704</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45704</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45704</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45704</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45704</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45704</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45704</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45704</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45704</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45704</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45704</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45704</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45704</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45704</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45704</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45704</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45704</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45704</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45704</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45704</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45704</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45704</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45704</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45704</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45704</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45704</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45704</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45704</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45704</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45704</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45704</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45704</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45704</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45704</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45704</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45704</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45704</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45704</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45704</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45704</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45704</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45704</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45704</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45704</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45704</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45704</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45704</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45704</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45704</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45704</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45704</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45704</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45704</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45704</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45704</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45704</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45704</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45704</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45704</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45704</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45704</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45704</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45704</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45704</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45704</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45704</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45704</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45704</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45704</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45704</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45704</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45704</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45704</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45704</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45704</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45704</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45704</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45704</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45704</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45704</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45704</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45704</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45704</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45704</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45704</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45704</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45704</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45704</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45704</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45704</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45704</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45704</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45704</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45704</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45704</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45704</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45704</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45704</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45704</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45704</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45704</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45704</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45704</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45704</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45704</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45704</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45704</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45704</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45704</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45704</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45704</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45704</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45704</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45704</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45704</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45704</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45704</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45704</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45704</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45704</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45704</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45704</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45704</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45704</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45704</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45704</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45704</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45704</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45704</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45704</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45704</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45704</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45704</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45704</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45704</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45704</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45704</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45704</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45704</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45704</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45704</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45704</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45704</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45704</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45704</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45704</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45704</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45704</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45704</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45704</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45704</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45704</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45704</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45704</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45704</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45704</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45704</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45704</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45704</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45704</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45704</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45704</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45704</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45704</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45704</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45704</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45704</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45704</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45704</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45704</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45704</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45704</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45704</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45704</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45704</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45704</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45704</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45704</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45704</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45704</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45704</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45704</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45704</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45704</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45704</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45704</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45704</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45704</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45704</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45704</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45704</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45704</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45704</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45704</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45704</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45704</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45704</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45704</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45704</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45704</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45704</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45704</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45704</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45704</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45704</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45704</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45704</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45704</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45704</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45704</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45704</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45704</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45704</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45704</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45704</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45704</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45704</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45704</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45704</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45704</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45704</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45704</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45704</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45704</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45704</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45704</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45704</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45704</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45704</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45704</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45704</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45704</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45704</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45704</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45704</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45704</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45704</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45704</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45704</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45704</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45704</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45704</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45704</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45704</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45704</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45704</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45704</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45704</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45704</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45704</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45704</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45704</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45704</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45704</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45704</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45704</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45704</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45704</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45704</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45704</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45704</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45704</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45704</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45704</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45704</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45704</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45704</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45704</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45704</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45704</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45704</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45704</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45704</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45704</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45704</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45704</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45704</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45704</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45704</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45704</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45704</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45704</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45704</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45704</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45704</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45704</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45704</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45704</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45704</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45704</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45704</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45704</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45704</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45704</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45704</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45704</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45704</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45704</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45704</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45704</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45704</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45704</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45704</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45704</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45704</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45704</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45704</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45704</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45704</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45704</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45704</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45704</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45704</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45704</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45704</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45704</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45704</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45704</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45704</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45704</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45704</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45704</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45704</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45704</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45704</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45704</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45704</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45704</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45704</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45704</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45704</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45704</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45704</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45704</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45704</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45704</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45704</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45704</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45704</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45704</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45704</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45704</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45704</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45704</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45704</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45704</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45704</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45704</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45704</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45704</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45704</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45704</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45704</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45704</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45704</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45704</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45704</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45704</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45704</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45704</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45704</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45704</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45704</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45704</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45704</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45704</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45704</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45704</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45704</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45704</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45704</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45704</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45704</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45704</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45704</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45704</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45704</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45704</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45704</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45704</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45704</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45704</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45704</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45704</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45704</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45704</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45704</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45704</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45704</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45704</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45704</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45704</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45704</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45704</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45704</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45704</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45704</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45704</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45704</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45704</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45704</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45704</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45704</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45704</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45704</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45704</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45704</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45704</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45704</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45704</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45704</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45704</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45704</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45704</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45704</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45704</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45704</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45704</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45704</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45704</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45704</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45704</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45704</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45704</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45704</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45704</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45704</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45704</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45704</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45704</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45704</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45704</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45704</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45704</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45704</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45704</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45704</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45704</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45704</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45704</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45704</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45704</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45704</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45704</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45704</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45704</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45704</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45704</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45704</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45704</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45704</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45704</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45704</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45704</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45704</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45704</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45704</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45704</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45704</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45704</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45704</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45704</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45704</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45704</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45704</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45704</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45704</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45704</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45704</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45704</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45704</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45704</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45704</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45704</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45704</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45704</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45704</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45704</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45704</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45704</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45704</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45704</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45704</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45704</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45704</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45704</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45704</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45704</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45704</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45704</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45704</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45704</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45704</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45704</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45704</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45704</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45704</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45704</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45704</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45704</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45704</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45704</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45704</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45704</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45704</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45704</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45704</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45704</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45704</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45704</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45704</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45704</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45704</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45704</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45704</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45704</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45704</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45704</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45704</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45704</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45704</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45704</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45704</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45704</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45704</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45704</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45704</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45704</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45704</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45704</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45704</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45704</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45704</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45704</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45704</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45704</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45704</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45704</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45704</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45704</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45704</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45704</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45704</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45704</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45704</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45704</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45704</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45704</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45704</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45704</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45704</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45704</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45704</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45704</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45704</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45704</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45704</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45704</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45704</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45704</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45704</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45704</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45704</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45704</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45704</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45704</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45704</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45704</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45704</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45704</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45704</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45704</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45704</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45704</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45704</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45704</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45704</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45704</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45704</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45704</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45704</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45704</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45704</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45704</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45704</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45704</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45704</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45704</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45704</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45704</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45704</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45704</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45704</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45704</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45704</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45704</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45704</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45704</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45704</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45704</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45704</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45704</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45704</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45704</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45704</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45704</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45704</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45704</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45704</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45704</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45704</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45704</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45704</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45704</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45704</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45704</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45704</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45704</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45704</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45704</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45704</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45704</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45704</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45704</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45704</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45704</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45704</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45704</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45704</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45704</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45704</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45704</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45704</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45704</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45704</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45704</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45704</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45704</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45704</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45704</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45704</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45704</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45704</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45704</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45704</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45704</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45704</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45704</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45704</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45704</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45704</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45704</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45704</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45704</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45704</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45704</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45704</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45704</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45704</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45704</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45704</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45704</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45704</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45704</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45704</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45704</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45704</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45704</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45704</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45704</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45704</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45704</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45704</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45704</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45704</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45704</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45704</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45704</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45704</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45704</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45704</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45704</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45704</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45704</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45704</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45704</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45704</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45704</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45704</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45704</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45704</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45704</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45704</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45704</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45704</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45704</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45704</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45704</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45704</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45704</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45704</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45704</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45704</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45704</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45704</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45704</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45704</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45704</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45704</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45704</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45704</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45704</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45704</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45704</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45704</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45704</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45704</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45704</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45704</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45704</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45704</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45704</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45704</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45704</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45704</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45704</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45704</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45704</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45704</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45704</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45704</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45704</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45704</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45704</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45704</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45704</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45704</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45704</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45704</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45704</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45704</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45704</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45704</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45704</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45704</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45704</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45704</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45704</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45704</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45704</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45704</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45704</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45704</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45704</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45704</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45704</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45704</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45704</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45704</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45704</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45704</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45704</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45704</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45704</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45704</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45704</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45704</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45704</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45704</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45704</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45704</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45704</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45704</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45704</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45704</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45704</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45704</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45704</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45704</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45704</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45704</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45704</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45704</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45704</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45704</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45704</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45704</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45704</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45704</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45704</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45704</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45704</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45704</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45704</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45704</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45704</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45704</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45704</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45704</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45704</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45704</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45704</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45704</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45704</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45704</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45704</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45704</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45704</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45704</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45704</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45704</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45704</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45704</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45704</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45704</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45704</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45704</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45704</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45704</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45704</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45704</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45704</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45704</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45704</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45704</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45704</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45704</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45704</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45704</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45704</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45704</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45704</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45704</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45704</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45704</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45704</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45704</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45704</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45704</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45704</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45704</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45704</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45704</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45704</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45704</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45704</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45704</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45704</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45704</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45704</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45704</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45704</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45704</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45704</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45704</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45704</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45704</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45704</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45704</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45704</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45704</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45704</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45704</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45704</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45704</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45704</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45704</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45704</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45704</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45704</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45704</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45704</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45704</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45704</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45704</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45704</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45704</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45704</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45704</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45704</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45704</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45704</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45704</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45704</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45704</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45704</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45704</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45704</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45704</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45704</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45704</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45704</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45704</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45704</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45704</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45704</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45704</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45704</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45704</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45704</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45704</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45704</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45704</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45704</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45704</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45704</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45704</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45704</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45704</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45704</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45704</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45704</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45704</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45704</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45704</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45704</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45704</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45704</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45704</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45704</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45704</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45704</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45704</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45704</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45704</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45704</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45704</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45704</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45704</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45704</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45704</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45704</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45704</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45704</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45704</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45704</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45704</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45704</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45704</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45704</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45704</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45704</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45704</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45704</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45704</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45704</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45704</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45704</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45704</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45704</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45704</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45704</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45704</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45704</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45704</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45704</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45704</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45704</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45704</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45704</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45704</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45704</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45704</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45704</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45704</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45704</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45704</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45704</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45704</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45704</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45704</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45704</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45704</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45704</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45704</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45704</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45704</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45704</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45704</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45704</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45704</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45704</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45704</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45704</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45704</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45704</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45704</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45704</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45704</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45704</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45704</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45704</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45704</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45704</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45704</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45704</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45704</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45704</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45704</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45704</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45704</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45704</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45704</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45704</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45704</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45704</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45704</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45704</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45704</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45704</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45704</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45704</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45704</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45704</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45704</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45704</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45704</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45704</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45704</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45704</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45704</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45704</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45704</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45704</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45704</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45704</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45704</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45704</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45704</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45704</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45704</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45704</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45704</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45704</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45704</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45704</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45704</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45704</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45704</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45704</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45704</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45704</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45704</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45704</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45704</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45704</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45704</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45704</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45704</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45704</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45704</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45704</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45704</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45704</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45704</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45704</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45704</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45704</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45704</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45704</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45704</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45704</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45704</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45704</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45704</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45704</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45704</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45704</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45704</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45704</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45704</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45704</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45704</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45704</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45704</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45704</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45704</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45704</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45704</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45704</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45704</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45704</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45704</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45704</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45704</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45704</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45704</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45704</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45704</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45704</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45704</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45704</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45704</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45704</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45704</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45704</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45704</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45704</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45704</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45704</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45704</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45704</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45704</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45704</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45704</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45704</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45704</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45704</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45704</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45704</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45704</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45704</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45704</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45704</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45704</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45704</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45704</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45704</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45704</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45704</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45704</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45704</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45704</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45704</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45704</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45704</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45704</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45704</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45704</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45704</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45704</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45704</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45704</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45704</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45704</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45704</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45704</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45704</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45704</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45704</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45704</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45704</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45704</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45704</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45704</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45704</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45704</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45704</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45704</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45704</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45704</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45704</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45704</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45704</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45704</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45704</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45704</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45704</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45704</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45704</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45704</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45704</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45704</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45704</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45704</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45704</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45704</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45704</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45704</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45704</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45704</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45704</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45704</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45704</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45704</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45704</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45704</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45704</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45704</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45704</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45704</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45704</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45704</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45704</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45704</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45704</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45704</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45704</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45704</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45704</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45704</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45704</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45704</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45704</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45704</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45704</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45704</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45704</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45704</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45704</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45704</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45704</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45704</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45704</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45704</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45704</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45704</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45704</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45704</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45704</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45704</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45704</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45704</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45704</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45704</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45704</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45704</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45704</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45704</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45704</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45704</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45704</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45704</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45704</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45704</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45704</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45704</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45704</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45704</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45704</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45704</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45704</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45704</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45704</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45704</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45704</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45704</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45704</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45704</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45704</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45704</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45704</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45704</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45704</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45704</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45704</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45704</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45704</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45704</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45704</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45704</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45704</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45704</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45704</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45704</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45704</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45704</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45704</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45704</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45704</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45704</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45704</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45704</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45704</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45704</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45704</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45704</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45704</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45704</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45704</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45704</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45704</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45704</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45704</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45704</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45704</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45704</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45704</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45704</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45704</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45704</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45704</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45704</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45704</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45704</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45704</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45704</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45704</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45704</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45704</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45704</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45704</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45704</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45704</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45704</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45704</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45704</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45704</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45704</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45704</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45704</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45704</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45704</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45704</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45704</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45704</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45704</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45704</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45704</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45704</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45704</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45704</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45704</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45704</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45704</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45704</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45704</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45704</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45704</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45704</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45704</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45704</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45704</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45704</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45704</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45704</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45704</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45704</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45704</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45704</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45704</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45704</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45704</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45704</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45704</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45704</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45704</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45704</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45704</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45704</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45704</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45704</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45704</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45704</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45704</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45704</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45704</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45704</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45704</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45704</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45704</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45704</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45704</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45704</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45704</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45704</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45704</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45704</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45704</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45704</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45704</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45704</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45704</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45704</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45704</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45704</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45704</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45704</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45704</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45704</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45704</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45704</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45704</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45704</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45704</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45704</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45704</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45704</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45704</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45704</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45704</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45704</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45704</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45704</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45704</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45704</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45704</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45704</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45704</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45704</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45704</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45704</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45704</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45704</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45704</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45704</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45704</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45704</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45704</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45704</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45704</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45704</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45704</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45704</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45704</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45704</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45704</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45704</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45704</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45704</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45704</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45704</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45704</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45704</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45704</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45704</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45704</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45704</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45704</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45704</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45704</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45704</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45704</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45704</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45704</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45704</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45704</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45704</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45704</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45704</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45704</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45704</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45704</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45704</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45704</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45704</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45704</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45704</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45704</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45704</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45704</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45704</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45704</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45704</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45704</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45704</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45704</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45704</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45704</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45704</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45704</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45704</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45704</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45704</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45704</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45704</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45704</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45704</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45704</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45704</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45704</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45704</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45704</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45704</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45704</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45704</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45704</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45704</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45704</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45704</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45704</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45704</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45704</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45704</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45704</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45704</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45704</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45704</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45704</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45704</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45704</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45704</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45704</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45704</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45704</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45704</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45704</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45704</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45704</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45704</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45704</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45704</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45704</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45704</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45704</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45704</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45704</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45704</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45704</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45704</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45704</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45704</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45704</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45704</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45704</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45704</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45704</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45704</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45704</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45704</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45704</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45704</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45704</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45704</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45704</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45704</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45704</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45704</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45704</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45704</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45704</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45704</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45704</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45704</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45704</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45704</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45704</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45704</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45704</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45704</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45704</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45704</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45704</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45704</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45704</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45704</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45704</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45704</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45704</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45704</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45704</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45704</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45704</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45704</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45704</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45704</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45704</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45704</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45704</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45704</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45704</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45704</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45704</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45704</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45704</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45704</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45704</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45704</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45704</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45704</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45704</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45704</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45704</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45704</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45704</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45704</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45704</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45704</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45704</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45704</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45704</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45704</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45704</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45704</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45704</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45704</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45704</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45704</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45704</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45704</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45704</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45704</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45704</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45704</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45704</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45704</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45704</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45704</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45704</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45704</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45704</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45704</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45704</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45704</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45704</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45704</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45704</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45704</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45704</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45704</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45704</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45704</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45704</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45704</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45704</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45704</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45704</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45704</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45704</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45704</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45704</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45704</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45704</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45704</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45704</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45704</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45704</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45704</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45704</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45704</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45704</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45704</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45704</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45704</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45704</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45704</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45704</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45704</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45704</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45704</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45704</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45704</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45704</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45704</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45704</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45704</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45704</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45704</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45704</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45704</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45704</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45704</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45704</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45704</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45704</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45704</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45704</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45704</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45704</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45704</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45704</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45704</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45704</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45704</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45704</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45704</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45704</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45704</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45704</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45704</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45704</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45704</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45704</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45704</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45704</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45704</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45704</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45704</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45704</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45704</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45704</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45704</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45704</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45704</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45704</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45704</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45704</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45704</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45704</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45704</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45704</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45704</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45704</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45704</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45704</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45704</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45704</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45704</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45704</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45704</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45704</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45704</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45704</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45704</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45704</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45704</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45704</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45704</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45704</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45704</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45704</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45704</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45704</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45704</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45704</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45704</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45704</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45704</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45704</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45704</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45704</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45704</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45704</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45704</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45704</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45704</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45704</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45704</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45704</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45704</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45704</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45704</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45704</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45704</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45704</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45704</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45704</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45704</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45704</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45704</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45704</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45704</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45704</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45704</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45704</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45704</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45704</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45704</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45704</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45704</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45704</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45704</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45704</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45704</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45704</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45704</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45704</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45704</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45704</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45704</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45704</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45704</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45704</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45704</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45704</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45704</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45704</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45704</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45704</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45704</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45704</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45704</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45704</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45704</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45704</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45704</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45704</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45704</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45704</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45704</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45704</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45704</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45704</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45704</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45704</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45704</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45704</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45704</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45704</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2711-2025</t>
        </is>
      </c>
      <c r="B3009" s="1" t="n">
        <v>45677</v>
      </c>
      <c r="C3009" s="1" t="n">
        <v>45704</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2779-2025</t>
        </is>
      </c>
      <c r="B3010" s="1" t="n">
        <v>45677</v>
      </c>
      <c r="C3010" s="1" t="n">
        <v>45704</v>
      </c>
      <c r="D3010" t="inlineStr">
        <is>
          <t>VÄSTERNORRLANDS LÄN</t>
        </is>
      </c>
      <c r="E3010" t="inlineStr">
        <is>
          <t>SUNDSVALL</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2785-2025</t>
        </is>
      </c>
      <c r="B3011" s="1" t="n">
        <v>45677</v>
      </c>
      <c r="C3011" s="1" t="n">
        <v>45704</v>
      </c>
      <c r="D3011" t="inlineStr">
        <is>
          <t>VÄSTERNORRLANDS LÄN</t>
        </is>
      </c>
      <c r="E3011" t="inlineStr">
        <is>
          <t>SUNDSVALL</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45704</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45704</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2831-2025</t>
        </is>
      </c>
      <c r="B3014" s="1" t="n">
        <v>45677</v>
      </c>
      <c r="C3014" s="1" t="n">
        <v>45704</v>
      </c>
      <c r="D3014" t="inlineStr">
        <is>
          <t>VÄSTERNORRLANDS LÄN</t>
        </is>
      </c>
      <c r="E3014" t="inlineStr">
        <is>
          <t>SUNDSVALL</t>
        </is>
      </c>
      <c r="G3014" t="n">
        <v>14.5</v>
      </c>
      <c r="H3014" t="n">
        <v>0</v>
      </c>
      <c r="I3014" t="n">
        <v>0</v>
      </c>
      <c r="J3014" t="n">
        <v>0</v>
      </c>
      <c r="K3014" t="n">
        <v>0</v>
      </c>
      <c r="L3014" t="n">
        <v>0</v>
      </c>
      <c r="M3014" t="n">
        <v>0</v>
      </c>
      <c r="N3014" t="n">
        <v>0</v>
      </c>
      <c r="O3014" t="n">
        <v>0</v>
      </c>
      <c r="P3014" t="n">
        <v>0</v>
      </c>
      <c r="Q3014" t="n">
        <v>0</v>
      </c>
      <c r="R3014" s="2" t="inlineStr"/>
    </row>
    <row r="3015" ht="15" customHeight="1">
      <c r="A3015" t="inlineStr">
        <is>
          <t>A 2881-2025</t>
        </is>
      </c>
      <c r="B3015" s="1" t="n">
        <v>45677</v>
      </c>
      <c r="C3015" s="1" t="n">
        <v>45704</v>
      </c>
      <c r="D3015" t="inlineStr">
        <is>
          <t>VÄSTERNORRLANDS LÄN</t>
        </is>
      </c>
      <c r="E3015" t="inlineStr">
        <is>
          <t>SUNDSVALL</t>
        </is>
      </c>
      <c r="F3015" t="inlineStr">
        <is>
          <t>SCA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45704</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45704</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3215-2025</t>
        </is>
      </c>
      <c r="B3018" s="1" t="n">
        <v>45679</v>
      </c>
      <c r="C3018" s="1" t="n">
        <v>45704</v>
      </c>
      <c r="D3018" t="inlineStr">
        <is>
          <t>VÄSTERNORRLANDS LÄN</t>
        </is>
      </c>
      <c r="E3018" t="inlineStr">
        <is>
          <t>SUNDSVALL</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3232-2025</t>
        </is>
      </c>
      <c r="B3019" s="1" t="n">
        <v>45679</v>
      </c>
      <c r="C3019" s="1" t="n">
        <v>45704</v>
      </c>
      <c r="D3019" t="inlineStr">
        <is>
          <t>VÄSTERNORRLANDS LÄN</t>
        </is>
      </c>
      <c r="E3019" t="inlineStr">
        <is>
          <t>SUNDSVALL</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3326-2025</t>
        </is>
      </c>
      <c r="B3020" s="1" t="n">
        <v>45679</v>
      </c>
      <c r="C3020" s="1" t="n">
        <v>45704</v>
      </c>
      <c r="D3020" t="inlineStr">
        <is>
          <t>VÄSTERNORRLANDS LÄN</t>
        </is>
      </c>
      <c r="E3020" t="inlineStr">
        <is>
          <t>SUNDSVALL</t>
        </is>
      </c>
      <c r="F3020" t="inlineStr">
        <is>
          <t>SCA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45704</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45704</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3293-2025</t>
        </is>
      </c>
      <c r="B3023" s="1" t="n">
        <v>45679</v>
      </c>
      <c r="C3023" s="1" t="n">
        <v>45704</v>
      </c>
      <c r="D3023" t="inlineStr">
        <is>
          <t>VÄSTERNORRLANDS LÄN</t>
        </is>
      </c>
      <c r="E3023" t="inlineStr">
        <is>
          <t>SUNDSVALL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3216-2025</t>
        </is>
      </c>
      <c r="B3024" s="1" t="n">
        <v>45679</v>
      </c>
      <c r="C3024" s="1" t="n">
        <v>45704</v>
      </c>
      <c r="D3024" t="inlineStr">
        <is>
          <t>VÄSTERNORRLANDS LÄN</t>
        </is>
      </c>
      <c r="E3024" t="inlineStr">
        <is>
          <t>SUNDSVALL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3214-2025</t>
        </is>
      </c>
      <c r="B3025" s="1" t="n">
        <v>45679</v>
      </c>
      <c r="C3025" s="1" t="n">
        <v>45704</v>
      </c>
      <c r="D3025" t="inlineStr">
        <is>
          <t>VÄSTERNORRLANDS LÄN</t>
        </is>
      </c>
      <c r="E3025" t="inlineStr">
        <is>
          <t>SUNDSVALL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45704</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3477-2025</t>
        </is>
      </c>
      <c r="B3027" s="1" t="n">
        <v>45680</v>
      </c>
      <c r="C3027" s="1" t="n">
        <v>45704</v>
      </c>
      <c r="D3027" t="inlineStr">
        <is>
          <t>VÄSTERNORRLANDS LÄN</t>
        </is>
      </c>
      <c r="E3027" t="inlineStr">
        <is>
          <t>SUNDSVALL</t>
        </is>
      </c>
      <c r="F3027" t="inlineStr">
        <is>
          <t>SCA</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45704</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45704</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3696-2025</t>
        </is>
      </c>
      <c r="B3030" s="1" t="n">
        <v>45681</v>
      </c>
      <c r="C3030" s="1" t="n">
        <v>45704</v>
      </c>
      <c r="D3030" t="inlineStr">
        <is>
          <t>VÄSTERNORRLANDS LÄN</t>
        </is>
      </c>
      <c r="E3030" t="inlineStr">
        <is>
          <t>SUNDSVALL</t>
        </is>
      </c>
      <c r="F3030" t="inlineStr">
        <is>
          <t>SCA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45704</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3670-2025</t>
        </is>
      </c>
      <c r="B3032" s="1" t="n">
        <v>45681</v>
      </c>
      <c r="C3032" s="1" t="n">
        <v>45704</v>
      </c>
      <c r="D3032" t="inlineStr">
        <is>
          <t>VÄSTERNORRLANDS LÄN</t>
        </is>
      </c>
      <c r="E3032" t="inlineStr">
        <is>
          <t>SUNDSVALL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45704</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3772-2025</t>
        </is>
      </c>
      <c r="B3034" s="1" t="n">
        <v>45681</v>
      </c>
      <c r="C3034" s="1" t="n">
        <v>45704</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45704</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3967-2025</t>
        </is>
      </c>
      <c r="B3036" s="1" t="n">
        <v>45684</v>
      </c>
      <c r="C3036" s="1" t="n">
        <v>45704</v>
      </c>
      <c r="D3036" t="inlineStr">
        <is>
          <t>VÄSTERNORRLANDS LÄN</t>
        </is>
      </c>
      <c r="E3036" t="inlineStr">
        <is>
          <t>SUNDSVALL</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3962-2025</t>
        </is>
      </c>
      <c r="B3037" s="1" t="n">
        <v>45684</v>
      </c>
      <c r="C3037" s="1" t="n">
        <v>45704</v>
      </c>
      <c r="D3037" t="inlineStr">
        <is>
          <t>VÄSTERNORRLANDS LÄN</t>
        </is>
      </c>
      <c r="E3037" t="inlineStr">
        <is>
          <t>SUNDSVALL</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3924-2025</t>
        </is>
      </c>
      <c r="B3038" s="1" t="n">
        <v>45684</v>
      </c>
      <c r="C3038" s="1" t="n">
        <v>45704</v>
      </c>
      <c r="D3038" t="inlineStr">
        <is>
          <t>VÄSTERNORRLANDS LÄN</t>
        </is>
      </c>
      <c r="E3038" t="inlineStr">
        <is>
          <t>SUNDSVALL</t>
        </is>
      </c>
      <c r="F3038" t="inlineStr">
        <is>
          <t>SCA</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3948-2025</t>
        </is>
      </c>
      <c r="B3039" s="1" t="n">
        <v>45684</v>
      </c>
      <c r="C3039" s="1" t="n">
        <v>45704</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45704</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4813-2025</t>
        </is>
      </c>
      <c r="B3041" s="1" t="n">
        <v>45688</v>
      </c>
      <c r="C3041" s="1" t="n">
        <v>45704</v>
      </c>
      <c r="D3041" t="inlineStr">
        <is>
          <t>VÄSTERNORRLANDS LÄN</t>
        </is>
      </c>
      <c r="E3041" t="inlineStr">
        <is>
          <t>SUNDSVALL</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45704</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4810-2025</t>
        </is>
      </c>
      <c r="B3043" s="1" t="n">
        <v>45688</v>
      </c>
      <c r="C3043" s="1" t="n">
        <v>45704</v>
      </c>
      <c r="D3043" t="inlineStr">
        <is>
          <t>VÄSTERNORRLANDS LÄN</t>
        </is>
      </c>
      <c r="E3043" t="inlineStr">
        <is>
          <t>SUNDSVALL</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4871-2025</t>
        </is>
      </c>
      <c r="B3044" s="1" t="n">
        <v>45688</v>
      </c>
      <c r="C3044" s="1" t="n">
        <v>45704</v>
      </c>
      <c r="D3044" t="inlineStr">
        <is>
          <t>VÄSTERNORRLANDS LÄN</t>
        </is>
      </c>
      <c r="E3044" t="inlineStr">
        <is>
          <t>SUNDSVALL</t>
        </is>
      </c>
      <c r="F3044" t="inlineStr">
        <is>
          <t>SCA</t>
        </is>
      </c>
      <c r="G3044" t="n">
        <v>11.5</v>
      </c>
      <c r="H3044" t="n">
        <v>0</v>
      </c>
      <c r="I3044" t="n">
        <v>0</v>
      </c>
      <c r="J3044" t="n">
        <v>0</v>
      </c>
      <c r="K3044" t="n">
        <v>0</v>
      </c>
      <c r="L3044" t="n">
        <v>0</v>
      </c>
      <c r="M3044" t="n">
        <v>0</v>
      </c>
      <c r="N3044" t="n">
        <v>0</v>
      </c>
      <c r="O3044" t="n">
        <v>0</v>
      </c>
      <c r="P3044" t="n">
        <v>0</v>
      </c>
      <c r="Q3044" t="n">
        <v>0</v>
      </c>
      <c r="R3044" s="2" t="inlineStr"/>
    </row>
    <row r="3045" ht="15" customHeight="1">
      <c r="A3045" t="inlineStr">
        <is>
          <t>A 4888-2025</t>
        </is>
      </c>
      <c r="B3045" s="1" t="n">
        <v>45688</v>
      </c>
      <c r="C3045" s="1" t="n">
        <v>45704</v>
      </c>
      <c r="D3045" t="inlineStr">
        <is>
          <t>VÄSTERNORRLANDS LÄN</t>
        </is>
      </c>
      <c r="E3045" t="inlineStr">
        <is>
          <t>SUNDSVALL</t>
        </is>
      </c>
      <c r="F3045" t="inlineStr">
        <is>
          <t>SCA</t>
        </is>
      </c>
      <c r="G3045" t="n">
        <v>8.6</v>
      </c>
      <c r="H3045" t="n">
        <v>0</v>
      </c>
      <c r="I3045" t="n">
        <v>0</v>
      </c>
      <c r="J3045" t="n">
        <v>0</v>
      </c>
      <c r="K3045" t="n">
        <v>0</v>
      </c>
      <c r="L3045" t="n">
        <v>0</v>
      </c>
      <c r="M3045" t="n">
        <v>0</v>
      </c>
      <c r="N3045" t="n">
        <v>0</v>
      </c>
      <c r="O3045" t="n">
        <v>0</v>
      </c>
      <c r="P3045" t="n">
        <v>0</v>
      </c>
      <c r="Q3045" t="n">
        <v>0</v>
      </c>
      <c r="R3045" s="2" t="inlineStr"/>
    </row>
    <row r="3046" ht="15" customHeight="1">
      <c r="A3046" t="inlineStr">
        <is>
          <t>A 4900-2025</t>
        </is>
      </c>
      <c r="B3046" s="1" t="n">
        <v>45688</v>
      </c>
      <c r="C3046" s="1" t="n">
        <v>45704</v>
      </c>
      <c r="D3046" t="inlineStr">
        <is>
          <t>VÄSTERNORRLANDS LÄN</t>
        </is>
      </c>
      <c r="E3046" t="inlineStr">
        <is>
          <t>SUNDSVALL</t>
        </is>
      </c>
      <c r="F3046" t="inlineStr">
        <is>
          <t>SCA</t>
        </is>
      </c>
      <c r="G3046" t="n">
        <v>10.4</v>
      </c>
      <c r="H3046" t="n">
        <v>0</v>
      </c>
      <c r="I3046" t="n">
        <v>0</v>
      </c>
      <c r="J3046" t="n">
        <v>0</v>
      </c>
      <c r="K3046" t="n">
        <v>0</v>
      </c>
      <c r="L3046" t="n">
        <v>0</v>
      </c>
      <c r="M3046" t="n">
        <v>0</v>
      </c>
      <c r="N3046" t="n">
        <v>0</v>
      </c>
      <c r="O3046" t="n">
        <v>0</v>
      </c>
      <c r="P3046" t="n">
        <v>0</v>
      </c>
      <c r="Q3046" t="n">
        <v>0</v>
      </c>
      <c r="R3046" s="2" t="inlineStr"/>
    </row>
    <row r="3047" ht="15" customHeight="1">
      <c r="A3047" t="inlineStr">
        <is>
          <t>A 4917-2025</t>
        </is>
      </c>
      <c r="B3047" s="1" t="n">
        <v>45688</v>
      </c>
      <c r="C3047" s="1" t="n">
        <v>45704</v>
      </c>
      <c r="D3047" t="inlineStr">
        <is>
          <t>VÄSTERNORRLANDS LÄN</t>
        </is>
      </c>
      <c r="E3047" t="inlineStr">
        <is>
          <t>SUNDSVALL</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4933-2025</t>
        </is>
      </c>
      <c r="B3048" s="1" t="n">
        <v>45688</v>
      </c>
      <c r="C3048" s="1" t="n">
        <v>45704</v>
      </c>
      <c r="D3048" t="inlineStr">
        <is>
          <t>VÄSTERNORRLANDS LÄN</t>
        </is>
      </c>
      <c r="E3048" t="inlineStr">
        <is>
          <t>SUNDSVALL</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4932-2025</t>
        </is>
      </c>
      <c r="B3049" s="1" t="n">
        <v>45688</v>
      </c>
      <c r="C3049" s="1" t="n">
        <v>45704</v>
      </c>
      <c r="D3049" t="inlineStr">
        <is>
          <t>VÄSTERNORRLANDS LÄN</t>
        </is>
      </c>
      <c r="E3049" t="inlineStr">
        <is>
          <t>SUNDSVALL</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4784-2025</t>
        </is>
      </c>
      <c r="B3050" s="1" t="n">
        <v>45688</v>
      </c>
      <c r="C3050" s="1" t="n">
        <v>45704</v>
      </c>
      <c r="D3050" t="inlineStr">
        <is>
          <t>VÄSTERNORRLANDS LÄN</t>
        </is>
      </c>
      <c r="E3050" t="inlineStr">
        <is>
          <t>SUNDSVALL</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4853-2025</t>
        </is>
      </c>
      <c r="B3051" s="1" t="n">
        <v>45688</v>
      </c>
      <c r="C3051" s="1" t="n">
        <v>45704</v>
      </c>
      <c r="D3051" t="inlineStr">
        <is>
          <t>VÄSTERNORRLANDS LÄN</t>
        </is>
      </c>
      <c r="E3051" t="inlineStr">
        <is>
          <t>SUNDSVALL</t>
        </is>
      </c>
      <c r="F3051" t="inlineStr">
        <is>
          <t>SCA</t>
        </is>
      </c>
      <c r="G3051" t="n">
        <v>18.3</v>
      </c>
      <c r="H3051" t="n">
        <v>0</v>
      </c>
      <c r="I3051" t="n">
        <v>0</v>
      </c>
      <c r="J3051" t="n">
        <v>0</v>
      </c>
      <c r="K3051" t="n">
        <v>0</v>
      </c>
      <c r="L3051" t="n">
        <v>0</v>
      </c>
      <c r="M3051" t="n">
        <v>0</v>
      </c>
      <c r="N3051" t="n">
        <v>0</v>
      </c>
      <c r="O3051" t="n">
        <v>0</v>
      </c>
      <c r="P3051" t="n">
        <v>0</v>
      </c>
      <c r="Q3051" t="n">
        <v>0</v>
      </c>
      <c r="R3051" s="2" t="inlineStr"/>
    </row>
    <row r="3052" ht="15" customHeight="1">
      <c r="A3052" t="inlineStr">
        <is>
          <t>A 4865-2025</t>
        </is>
      </c>
      <c r="B3052" s="1" t="n">
        <v>45688</v>
      </c>
      <c r="C3052" s="1" t="n">
        <v>45704</v>
      </c>
      <c r="D3052" t="inlineStr">
        <is>
          <t>VÄSTERNORRLANDS LÄN</t>
        </is>
      </c>
      <c r="E3052" t="inlineStr">
        <is>
          <t>SUNDSVALL</t>
        </is>
      </c>
      <c r="F3052" t="inlineStr">
        <is>
          <t>SCA</t>
        </is>
      </c>
      <c r="G3052" t="n">
        <v>7.3</v>
      </c>
      <c r="H3052" t="n">
        <v>0</v>
      </c>
      <c r="I3052" t="n">
        <v>0</v>
      </c>
      <c r="J3052" t="n">
        <v>0</v>
      </c>
      <c r="K3052" t="n">
        <v>0</v>
      </c>
      <c r="L3052" t="n">
        <v>0</v>
      </c>
      <c r="M3052" t="n">
        <v>0</v>
      </c>
      <c r="N3052" t="n">
        <v>0</v>
      </c>
      <c r="O3052" t="n">
        <v>0</v>
      </c>
      <c r="P3052" t="n">
        <v>0</v>
      </c>
      <c r="Q3052" t="n">
        <v>0</v>
      </c>
      <c r="R3052" s="2" t="inlineStr"/>
    </row>
    <row r="3053" ht="15" customHeight="1">
      <c r="A3053" t="inlineStr">
        <is>
          <t>A 4890-2025</t>
        </is>
      </c>
      <c r="B3053" s="1" t="n">
        <v>45688</v>
      </c>
      <c r="C3053" s="1" t="n">
        <v>45704</v>
      </c>
      <c r="D3053" t="inlineStr">
        <is>
          <t>VÄSTERNORRLANDS LÄN</t>
        </is>
      </c>
      <c r="E3053" t="inlineStr">
        <is>
          <t>SUNDSVALL</t>
        </is>
      </c>
      <c r="F3053" t="inlineStr">
        <is>
          <t>SCA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4906-2025</t>
        </is>
      </c>
      <c r="B3054" s="1" t="n">
        <v>45688</v>
      </c>
      <c r="C3054" s="1" t="n">
        <v>45704</v>
      </c>
      <c r="D3054" t="inlineStr">
        <is>
          <t>VÄSTERNORRLANDS LÄN</t>
        </is>
      </c>
      <c r="E3054" t="inlineStr">
        <is>
          <t>SUNDSVALL</t>
        </is>
      </c>
      <c r="F3054" t="inlineStr">
        <is>
          <t>SCA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45704</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45704</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5049-2025</t>
        </is>
      </c>
      <c r="B3057" s="1" t="n">
        <v>45691</v>
      </c>
      <c r="C3057" s="1" t="n">
        <v>45704</v>
      </c>
      <c r="D3057" t="inlineStr">
        <is>
          <t>VÄSTERNORRLANDS LÄN</t>
        </is>
      </c>
      <c r="E3057" t="inlineStr">
        <is>
          <t>SUNDSVALL</t>
        </is>
      </c>
      <c r="F3057" t="inlineStr">
        <is>
          <t>SCA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45704</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5314-2025</t>
        </is>
      </c>
      <c r="B3059" s="1" t="n">
        <v>45692</v>
      </c>
      <c r="C3059" s="1" t="n">
        <v>45704</v>
      </c>
      <c r="D3059" t="inlineStr">
        <is>
          <t>VÄSTERNORRLANDS LÄN</t>
        </is>
      </c>
      <c r="E3059" t="inlineStr">
        <is>
          <t>SUNDSVALL</t>
        </is>
      </c>
      <c r="F3059" t="inlineStr">
        <is>
          <t>SCA</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5362-2025</t>
        </is>
      </c>
      <c r="B3060" s="1" t="n">
        <v>45692</v>
      </c>
      <c r="C3060" s="1" t="n">
        <v>45704</v>
      </c>
      <c r="D3060" t="inlineStr">
        <is>
          <t>VÄSTERNORRLANDS LÄN</t>
        </is>
      </c>
      <c r="E3060" t="inlineStr">
        <is>
          <t>SUNDSVALL</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5267-2025</t>
        </is>
      </c>
      <c r="B3061" s="1" t="n">
        <v>45692</v>
      </c>
      <c r="C3061" s="1" t="n">
        <v>45704</v>
      </c>
      <c r="D3061" t="inlineStr">
        <is>
          <t>VÄSTERNORRLANDS LÄN</t>
        </is>
      </c>
      <c r="E3061" t="inlineStr">
        <is>
          <t>SUNDSVALL</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5296-2025</t>
        </is>
      </c>
      <c r="B3062" s="1" t="n">
        <v>45692</v>
      </c>
      <c r="C3062" s="1" t="n">
        <v>45704</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45704</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45704</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45704</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45704</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5569-2025</t>
        </is>
      </c>
      <c r="B3067" s="1" t="n">
        <v>45693</v>
      </c>
      <c r="C3067" s="1" t="n">
        <v>45704</v>
      </c>
      <c r="D3067" t="inlineStr">
        <is>
          <t>VÄSTERNORRLANDS LÄN</t>
        </is>
      </c>
      <c r="E3067" t="inlineStr">
        <is>
          <t>SUNDSVALL</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45704</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45704</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6702-2025</t>
        </is>
      </c>
      <c r="B3070" s="1" t="n">
        <v>45700</v>
      </c>
      <c r="C3070" s="1" t="n">
        <v>45704</v>
      </c>
      <c r="D3070" t="inlineStr">
        <is>
          <t>VÄSTERNORRLANDS LÄN</t>
        </is>
      </c>
      <c r="E3070" t="inlineStr">
        <is>
          <t>SUNDSVALL</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6656-2025</t>
        </is>
      </c>
      <c r="B3071" s="1" t="n">
        <v>45700</v>
      </c>
      <c r="C3071" s="1" t="n">
        <v>45704</v>
      </c>
      <c r="D3071" t="inlineStr">
        <is>
          <t>VÄSTERNORRLANDS LÄN</t>
        </is>
      </c>
      <c r="E3071" t="inlineStr">
        <is>
          <t>SUNDSVALL</t>
        </is>
      </c>
      <c r="F3071" t="inlineStr">
        <is>
          <t>SCA</t>
        </is>
      </c>
      <c r="G3071" t="n">
        <v>13.5</v>
      </c>
      <c r="H3071" t="n">
        <v>0</v>
      </c>
      <c r="I3071" t="n">
        <v>0</v>
      </c>
      <c r="J3071" t="n">
        <v>0</v>
      </c>
      <c r="K3071" t="n">
        <v>0</v>
      </c>
      <c r="L3071" t="n">
        <v>0</v>
      </c>
      <c r="M3071" t="n">
        <v>0</v>
      </c>
      <c r="N3071" t="n">
        <v>0</v>
      </c>
      <c r="O3071" t="n">
        <v>0</v>
      </c>
      <c r="P3071" t="n">
        <v>0</v>
      </c>
      <c r="Q3071" t="n">
        <v>0</v>
      </c>
      <c r="R3071" s="2" t="inlineStr"/>
    </row>
    <row r="3072" ht="15" customHeight="1">
      <c r="A3072" t="inlineStr">
        <is>
          <t>A 6673-2025</t>
        </is>
      </c>
      <c r="B3072" s="1" t="n">
        <v>45700</v>
      </c>
      <c r="C3072" s="1" t="n">
        <v>45704</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6704-2025</t>
        </is>
      </c>
      <c r="B3073" s="1" t="n">
        <v>45700</v>
      </c>
      <c r="C3073" s="1" t="n">
        <v>45704</v>
      </c>
      <c r="D3073" t="inlineStr">
        <is>
          <t>VÄSTERNORRLANDS LÄN</t>
        </is>
      </c>
      <c r="E3073" t="inlineStr">
        <is>
          <t>SUNDSVALL</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6708-2025</t>
        </is>
      </c>
      <c r="B3074" s="1" t="n">
        <v>45700</v>
      </c>
      <c r="C3074" s="1" t="n">
        <v>45704</v>
      </c>
      <c r="D3074" t="inlineStr">
        <is>
          <t>VÄSTERNORRLANDS LÄN</t>
        </is>
      </c>
      <c r="E3074" t="inlineStr">
        <is>
          <t>SUNDSVALL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6672-2025</t>
        </is>
      </c>
      <c r="B3075" s="1" t="n">
        <v>45700</v>
      </c>
      <c r="C3075" s="1" t="n">
        <v>45704</v>
      </c>
      <c r="D3075" t="inlineStr">
        <is>
          <t>VÄSTERNORRLANDS LÄN</t>
        </is>
      </c>
      <c r="E3075" t="inlineStr">
        <is>
          <t>SUNDSVALL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6670-2025</t>
        </is>
      </c>
      <c r="B3076" s="1" t="n">
        <v>45700</v>
      </c>
      <c r="C3076" s="1" t="n">
        <v>45704</v>
      </c>
      <c r="D3076" t="inlineStr">
        <is>
          <t>VÄSTERNORRLANDS LÄN</t>
        </is>
      </c>
      <c r="E3076" t="inlineStr">
        <is>
          <t>SUNDSVALL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6709-2025</t>
        </is>
      </c>
      <c r="B3077" s="1" t="n">
        <v>45700</v>
      </c>
      <c r="C3077" s="1" t="n">
        <v>45704</v>
      </c>
      <c r="D3077" t="inlineStr">
        <is>
          <t>VÄSTERNORRLANDS LÄN</t>
        </is>
      </c>
      <c r="E3077" t="inlineStr">
        <is>
          <t>SUNDSVALL</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6777-2025</t>
        </is>
      </c>
      <c r="B3078" s="1" t="n">
        <v>45700</v>
      </c>
      <c r="C3078" s="1" t="n">
        <v>45704</v>
      </c>
      <c r="D3078" t="inlineStr">
        <is>
          <t>VÄSTERNORRLANDS LÄN</t>
        </is>
      </c>
      <c r="E3078" t="inlineStr">
        <is>
          <t>SUNDSVALL</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6654-2025</t>
        </is>
      </c>
      <c r="B3079" s="1" t="n">
        <v>45700</v>
      </c>
      <c r="C3079" s="1" t="n">
        <v>45704</v>
      </c>
      <c r="D3079" t="inlineStr">
        <is>
          <t>VÄSTERNORRLANDS LÄN</t>
        </is>
      </c>
      <c r="E3079" t="inlineStr">
        <is>
          <t>SUNDSVALL</t>
        </is>
      </c>
      <c r="F3079" t="inlineStr">
        <is>
          <t>SCA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6880-2025</t>
        </is>
      </c>
      <c r="B3080" s="1" t="n">
        <v>45701</v>
      </c>
      <c r="C3080" s="1" t="n">
        <v>45704</v>
      </c>
      <c r="D3080" t="inlineStr">
        <is>
          <t>VÄSTERNORRLANDS LÄN</t>
        </is>
      </c>
      <c r="E3080" t="inlineStr">
        <is>
          <t>SUNDSVALL</t>
        </is>
      </c>
      <c r="F3080" t="inlineStr">
        <is>
          <t>SCA</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6882-2025</t>
        </is>
      </c>
      <c r="B3081" s="1" t="n">
        <v>45701</v>
      </c>
      <c r="C3081" s="1" t="n">
        <v>45704</v>
      </c>
      <c r="D3081" t="inlineStr">
        <is>
          <t>VÄSTERNORRLANDS LÄN</t>
        </is>
      </c>
      <c r="E3081" t="inlineStr">
        <is>
          <t>SUNDSVALL</t>
        </is>
      </c>
      <c r="F3081" t="inlineStr">
        <is>
          <t>SCA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6955-2025</t>
        </is>
      </c>
      <c r="B3082" s="1" t="n">
        <v>45701</v>
      </c>
      <c r="C3082" s="1" t="n">
        <v>45704</v>
      </c>
      <c r="D3082" t="inlineStr">
        <is>
          <t>VÄSTERNORRLANDS LÄN</t>
        </is>
      </c>
      <c r="E3082" t="inlineStr">
        <is>
          <t>SUNDSVALL</t>
        </is>
      </c>
      <c r="F3082" t="inlineStr">
        <is>
          <t>SCA</t>
        </is>
      </c>
      <c r="G3082" t="n">
        <v>24.7</v>
      </c>
      <c r="H3082" t="n">
        <v>0</v>
      </c>
      <c r="I3082" t="n">
        <v>0</v>
      </c>
      <c r="J3082" t="n">
        <v>0</v>
      </c>
      <c r="K3082" t="n">
        <v>0</v>
      </c>
      <c r="L3082" t="n">
        <v>0</v>
      </c>
      <c r="M3082" t="n">
        <v>0</v>
      </c>
      <c r="N3082" t="n">
        <v>0</v>
      </c>
      <c r="O3082" t="n">
        <v>0</v>
      </c>
      <c r="P3082" t="n">
        <v>0</v>
      </c>
      <c r="Q3082" t="n">
        <v>0</v>
      </c>
      <c r="R3082" s="2" t="inlineStr"/>
    </row>
    <row r="3083" ht="15" customHeight="1">
      <c r="A3083" t="inlineStr">
        <is>
          <t>A 6969-2025</t>
        </is>
      </c>
      <c r="B3083" s="1" t="n">
        <v>45701</v>
      </c>
      <c r="C3083" s="1" t="n">
        <v>45704</v>
      </c>
      <c r="D3083" t="inlineStr">
        <is>
          <t>VÄSTERNORRLANDS LÄN</t>
        </is>
      </c>
      <c r="E3083" t="inlineStr">
        <is>
          <t>SUNDSVALL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7090-2025</t>
        </is>
      </c>
      <c r="B3084" s="1" t="n">
        <v>45701</v>
      </c>
      <c r="C3084" s="1" t="n">
        <v>45704</v>
      </c>
      <c r="D3084" t="inlineStr">
        <is>
          <t>VÄSTERNORRLANDS LÄN</t>
        </is>
      </c>
      <c r="E3084" t="inlineStr">
        <is>
          <t>SUNDSVALL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7091-2025</t>
        </is>
      </c>
      <c r="B3085" s="1" t="n">
        <v>45701</v>
      </c>
      <c r="C3085" s="1" t="n">
        <v>45704</v>
      </c>
      <c r="D3085" t="inlineStr">
        <is>
          <t>VÄSTERNORRLANDS LÄN</t>
        </is>
      </c>
      <c r="E3085" t="inlineStr">
        <is>
          <t>SUNDSVALL</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7089-2025</t>
        </is>
      </c>
      <c r="B3086" s="1" t="n">
        <v>45701</v>
      </c>
      <c r="C3086" s="1" t="n">
        <v>45704</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7264-2025</t>
        </is>
      </c>
      <c r="B3087" s="1" t="n">
        <v>45702</v>
      </c>
      <c r="C3087" s="1" t="n">
        <v>45704</v>
      </c>
      <c r="D3087" t="inlineStr">
        <is>
          <t>VÄSTERNORRLANDS LÄN</t>
        </is>
      </c>
      <c r="E3087" t="inlineStr">
        <is>
          <t>SUNDSVALL</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7293-2025</t>
        </is>
      </c>
      <c r="B3088" s="1" t="n">
        <v>45702</v>
      </c>
      <c r="C3088" s="1" t="n">
        <v>45704</v>
      </c>
      <c r="D3088" t="inlineStr">
        <is>
          <t>VÄSTERNORRLANDS LÄN</t>
        </is>
      </c>
      <c r="E3088" t="inlineStr">
        <is>
          <t>SUNDSVALL</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7155-2025</t>
        </is>
      </c>
      <c r="B3089" s="1" t="n">
        <v>45702</v>
      </c>
      <c r="C3089" s="1" t="n">
        <v>45704</v>
      </c>
      <c r="D3089" t="inlineStr">
        <is>
          <t>VÄSTERNORRLANDS LÄN</t>
        </is>
      </c>
      <c r="E3089" t="inlineStr">
        <is>
          <t>SUNDSVALL</t>
        </is>
      </c>
      <c r="F3089" t="inlineStr">
        <is>
          <t>SCA</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7292-2025</t>
        </is>
      </c>
      <c r="B3090" s="1" t="n">
        <v>45702</v>
      </c>
      <c r="C3090" s="1" t="n">
        <v>45704</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c r="A3091" t="inlineStr">
        <is>
          <t>A 7265-2025</t>
        </is>
      </c>
      <c r="B3091" s="1" t="n">
        <v>45702</v>
      </c>
      <c r="C3091" s="1" t="n">
        <v>45704</v>
      </c>
      <c r="D3091" t="inlineStr">
        <is>
          <t>VÄSTERNORRLANDS LÄN</t>
        </is>
      </c>
      <c r="E3091" t="inlineStr">
        <is>
          <t>SUNDSVALL</t>
        </is>
      </c>
      <c r="F3091" t="inlineStr">
        <is>
          <t>SCA</t>
        </is>
      </c>
      <c r="G3091" t="n">
        <v>6.2</v>
      </c>
      <c r="H3091" t="n">
        <v>0</v>
      </c>
      <c r="I3091" t="n">
        <v>0</v>
      </c>
      <c r="J3091" t="n">
        <v>0</v>
      </c>
      <c r="K3091" t="n">
        <v>0</v>
      </c>
      <c r="L3091" t="n">
        <v>0</v>
      </c>
      <c r="M3091" t="n">
        <v>0</v>
      </c>
      <c r="N3091" t="n">
        <v>0</v>
      </c>
      <c r="O3091" t="n">
        <v>0</v>
      </c>
      <c r="P3091" t="n">
        <v>0</v>
      </c>
      <c r="Q3091" t="n">
        <v>0</v>
      </c>
      <c r="R3091" s="2" t="inlineStr"/>
      <c r="U3091">
        <f>HYPERLINK("https://klasma.github.io/Logging_2281/knärot/A 7265-2025 karta knärot.png", "A 7265-2025")</f>
        <v/>
      </c>
      <c r="V3091">
        <f>HYPERLINK("https://klasma.github.io/Logging_2281/klagomål/A 7265-2025 FSC-klagomål.docx", "A 7265-2025")</f>
        <v/>
      </c>
      <c r="W3091">
        <f>HYPERLINK("https://klasma.github.io/Logging_2281/klagomålsmail/A 7265-2025 FSC-klagomål mail.docx", "A 7265-2025")</f>
        <v/>
      </c>
      <c r="X3091">
        <f>HYPERLINK("https://klasma.github.io/Logging_2281/tillsyn/A 7265-2025 tillsynsbegäran.docx", "A 7265-2025")</f>
        <v/>
      </c>
      <c r="Y3091">
        <f>HYPERLINK("https://klasma.github.io/Logging_2281/tillsynsmail/A 7265-2025 tillsynsbegäran mail.docx", "A 7265-2025")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2025-02-16T16:03:29Z</dcterms:created>
  <dcterms:modified xmlns:dcterms="http://purl.org/dc/terms/" xmlns:xsi="http://www.w3.org/2001/XMLSchema-instance" xsi:type="dcterms:W3CDTF">2025-02-16T16:03:32Z</dcterms:modified>
</cp:coreProperties>
</file>