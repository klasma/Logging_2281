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45692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45692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45692</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45692</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45692</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45692</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45692</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45692</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45692</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45692</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45692</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45692</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45692</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45692</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45692</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45692</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45692</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45692</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45692</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45692</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45692</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45692</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45692</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45692</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45692</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45692</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45692</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45692</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45692</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45692</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45692</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45692</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45692</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45692</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45692</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45692</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45692</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45692</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45692</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45692</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45692</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45692</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45692</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45692</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45692</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45692</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45692</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45692</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45692</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45692</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45692</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45692</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45692</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45692</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45692</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45692</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45692</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45692</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45692</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45692</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45692</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45692</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45692</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45692</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45692</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45692</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45692</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45692</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45692</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45692</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45692</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45692</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45692</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45692</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45692</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45692</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45692</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45692</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45692</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45692</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45692</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45692</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45692</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45692</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45692</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45692</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45692</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45692</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45692</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45692</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45692</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45692</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45692</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45692</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45692</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45692</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45692</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45692</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45692</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45692</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45692</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45692</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45692</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45692</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45692</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45692</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45692</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45692</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45692</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45692</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45692</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45692</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45692</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45692</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166-2025</t>
        </is>
      </c>
      <c r="B116" s="1" t="n">
        <v>45649</v>
      </c>
      <c r="C116" s="1" t="n">
        <v>45692</v>
      </c>
      <c r="D116" t="inlineStr">
        <is>
          <t>VÄSTERNORRLANDS LÄN</t>
        </is>
      </c>
      <c r="E116" t="inlineStr">
        <is>
          <t>SUNDSVALL</t>
        </is>
      </c>
      <c r="G116" t="n">
        <v>17.1</v>
      </c>
      <c r="H116" t="n">
        <v>1</v>
      </c>
      <c r="I116" t="n">
        <v>1</v>
      </c>
      <c r="J116" t="n">
        <v>0</v>
      </c>
      <c r="K116" t="n">
        <v>0</v>
      </c>
      <c r="L116" t="n">
        <v>0</v>
      </c>
      <c r="M116" t="n">
        <v>0</v>
      </c>
      <c r="N116" t="n">
        <v>0</v>
      </c>
      <c r="O116" t="n">
        <v>0</v>
      </c>
      <c r="P116" t="n">
        <v>0</v>
      </c>
      <c r="Q116" t="n">
        <v>2</v>
      </c>
      <c r="R116" s="2" t="inlineStr">
        <is>
          <t>Bårdlav
Revlummer</t>
        </is>
      </c>
      <c r="S116">
        <f>HYPERLINK("https://klasma.github.io/Logging_2281/artfynd/A 166-2025 artfynd.xlsx", "A 166-2025")</f>
        <v/>
      </c>
      <c r="T116">
        <f>HYPERLINK("https://klasma.github.io/Logging_2281/kartor/A 166-2025 karta.png", "A 166-2025")</f>
        <v/>
      </c>
      <c r="V116">
        <f>HYPERLINK("https://klasma.github.io/Logging_2281/klagomål/A 166-2025 FSC-klagomål.docx", "A 166-2025")</f>
        <v/>
      </c>
      <c r="W116">
        <f>HYPERLINK("https://klasma.github.io/Logging_2281/klagomålsmail/A 166-2025 FSC-klagomål mail.docx", "A 166-2025")</f>
        <v/>
      </c>
      <c r="X116">
        <f>HYPERLINK("https://klasma.github.io/Logging_2281/tillsyn/A 166-2025 tillsynsbegäran.docx", "A 166-2025")</f>
        <v/>
      </c>
      <c r="Y116">
        <f>HYPERLINK("https://klasma.github.io/Logging_2281/tillsynsmail/A 166-2025 tillsynsbegäran mail.docx", "A 166-2025")</f>
        <v/>
      </c>
    </row>
    <row r="117" ht="15" customHeight="1">
      <c r="A117" t="inlineStr">
        <is>
          <t>A 27216-2019</t>
        </is>
      </c>
      <c r="B117" s="1" t="n">
        <v>43614</v>
      </c>
      <c r="C117" s="1" t="n">
        <v>45692</v>
      </c>
      <c r="D117" t="inlineStr">
        <is>
          <t>VÄSTERNORRLANDS LÄN</t>
        </is>
      </c>
      <c r="E117" t="inlineStr">
        <is>
          <t>SUNDSVALL</t>
        </is>
      </c>
      <c r="G117" t="n">
        <v>3.7</v>
      </c>
      <c r="H117" t="n">
        <v>1</v>
      </c>
      <c r="I117" t="n">
        <v>0</v>
      </c>
      <c r="J117" t="n">
        <v>0</v>
      </c>
      <c r="K117" t="n">
        <v>0</v>
      </c>
      <c r="L117" t="n">
        <v>0</v>
      </c>
      <c r="M117" t="n">
        <v>0</v>
      </c>
      <c r="N117" t="n">
        <v>0</v>
      </c>
      <c r="O117" t="n">
        <v>0</v>
      </c>
      <c r="P117" t="n">
        <v>0</v>
      </c>
      <c r="Q117" t="n">
        <v>1</v>
      </c>
      <c r="R117" s="2" t="inlineStr">
        <is>
          <t>Blåsippa</t>
        </is>
      </c>
      <c r="S117">
        <f>HYPERLINK("https://klasma.github.io/Logging_2281/artfynd/A 27216-2019 artfynd.xlsx", "A 27216-2019")</f>
        <v/>
      </c>
      <c r="T117">
        <f>HYPERLINK("https://klasma.github.io/Logging_2281/kartor/A 27216-2019 karta.png", "A 27216-2019")</f>
        <v/>
      </c>
      <c r="V117">
        <f>HYPERLINK("https://klasma.github.io/Logging_2281/klagomål/A 27216-2019 FSC-klagomål.docx", "A 27216-2019")</f>
        <v/>
      </c>
      <c r="W117">
        <f>HYPERLINK("https://klasma.github.io/Logging_2281/klagomålsmail/A 27216-2019 FSC-klagomål mail.docx", "A 27216-2019")</f>
        <v/>
      </c>
      <c r="X117">
        <f>HYPERLINK("https://klasma.github.io/Logging_2281/tillsyn/A 27216-2019 tillsynsbegäran.docx", "A 27216-2019")</f>
        <v/>
      </c>
      <c r="Y117">
        <f>HYPERLINK("https://klasma.github.io/Logging_2281/tillsynsmail/A 27216-2019 tillsynsbegäran mail.docx", "A 27216-2019")</f>
        <v/>
      </c>
    </row>
    <row r="118" ht="15" customHeight="1">
      <c r="A118" t="inlineStr">
        <is>
          <t>A 44607-2019</t>
        </is>
      </c>
      <c r="B118" s="1" t="n">
        <v>43711</v>
      </c>
      <c r="C118" s="1" t="n">
        <v>45692</v>
      </c>
      <c r="D118" t="inlineStr">
        <is>
          <t>VÄSTERNORRLANDS LÄN</t>
        </is>
      </c>
      <c r="E118" t="inlineStr">
        <is>
          <t>SUNDSVALL</t>
        </is>
      </c>
      <c r="G118" t="n">
        <v>1.6</v>
      </c>
      <c r="H118" t="n">
        <v>1</v>
      </c>
      <c r="I118" t="n">
        <v>0</v>
      </c>
      <c r="J118" t="n">
        <v>1</v>
      </c>
      <c r="K118" t="n">
        <v>0</v>
      </c>
      <c r="L118" t="n">
        <v>0</v>
      </c>
      <c r="M118" t="n">
        <v>0</v>
      </c>
      <c r="N118" t="n">
        <v>0</v>
      </c>
      <c r="O118" t="n">
        <v>1</v>
      </c>
      <c r="P118" t="n">
        <v>0</v>
      </c>
      <c r="Q118" t="n">
        <v>1</v>
      </c>
      <c r="R118" s="2" t="inlineStr">
        <is>
          <t>Järpe</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44609-2019</t>
        </is>
      </c>
      <c r="B119" s="1" t="n">
        <v>43711</v>
      </c>
      <c r="C119" s="1" t="n">
        <v>45692</v>
      </c>
      <c r="D119" t="inlineStr">
        <is>
          <t>VÄSTERNORRLANDS LÄN</t>
        </is>
      </c>
      <c r="E119" t="inlineStr">
        <is>
          <t>SUNDSVALL</t>
        </is>
      </c>
      <c r="G119" t="n">
        <v>0.9</v>
      </c>
      <c r="H119" t="n">
        <v>1</v>
      </c>
      <c r="I119" t="n">
        <v>0</v>
      </c>
      <c r="J119" t="n">
        <v>0</v>
      </c>
      <c r="K119" t="n">
        <v>0</v>
      </c>
      <c r="L119" t="n">
        <v>0</v>
      </c>
      <c r="M119" t="n">
        <v>0</v>
      </c>
      <c r="N119" t="n">
        <v>0</v>
      </c>
      <c r="O119" t="n">
        <v>0</v>
      </c>
      <c r="P119" t="n">
        <v>0</v>
      </c>
      <c r="Q119" t="n">
        <v>1</v>
      </c>
      <c r="R119" s="2" t="inlineStr">
        <is>
          <t>Nattviol</t>
        </is>
      </c>
      <c r="S119">
        <f>HYPERLINK("https://klasma.github.io/Logging_2281/artfynd/A 44609-2019 artfynd.xlsx", "A 44609-2019")</f>
        <v/>
      </c>
      <c r="T119">
        <f>HYPERLINK("https://klasma.github.io/Logging_2281/kartor/A 44609-2019 karta.png", "A 44609-2019")</f>
        <v/>
      </c>
      <c r="V119">
        <f>HYPERLINK("https://klasma.github.io/Logging_2281/klagomål/A 44609-2019 FSC-klagomål.docx", "A 44609-2019")</f>
        <v/>
      </c>
      <c r="W119">
        <f>HYPERLINK("https://klasma.github.io/Logging_2281/klagomålsmail/A 44609-2019 FSC-klagomål mail.docx", "A 44609-2019")</f>
        <v/>
      </c>
      <c r="X119">
        <f>HYPERLINK("https://klasma.github.io/Logging_2281/tillsyn/A 44609-2019 tillsynsbegäran.docx", "A 44609-2019")</f>
        <v/>
      </c>
      <c r="Y119">
        <f>HYPERLINK("https://klasma.github.io/Logging_2281/tillsynsmail/A 44609-2019 tillsynsbegäran mail.docx", "A 44609-2019")</f>
        <v/>
      </c>
    </row>
    <row r="120" ht="15" customHeight="1">
      <c r="A120" t="inlineStr">
        <is>
          <t>A 970-2020</t>
        </is>
      </c>
      <c r="B120" s="1" t="n">
        <v>43839</v>
      </c>
      <c r="C120" s="1" t="n">
        <v>45692</v>
      </c>
      <c r="D120" t="inlineStr">
        <is>
          <t>VÄSTERNORRLANDS LÄN</t>
        </is>
      </c>
      <c r="E120" t="inlineStr">
        <is>
          <t>SUNDSVALL</t>
        </is>
      </c>
      <c r="F120" t="inlineStr">
        <is>
          <t>Kommuner</t>
        </is>
      </c>
      <c r="G120" t="n">
        <v>0.8</v>
      </c>
      <c r="H120" t="n">
        <v>1</v>
      </c>
      <c r="I120" t="n">
        <v>0</v>
      </c>
      <c r="J120" t="n">
        <v>1</v>
      </c>
      <c r="K120" t="n">
        <v>0</v>
      </c>
      <c r="L120" t="n">
        <v>0</v>
      </c>
      <c r="M120" t="n">
        <v>0</v>
      </c>
      <c r="N120" t="n">
        <v>0</v>
      </c>
      <c r="O120" t="n">
        <v>1</v>
      </c>
      <c r="P120" t="n">
        <v>0</v>
      </c>
      <c r="Q120" t="n">
        <v>1</v>
      </c>
      <c r="R120" s="2" t="inlineStr">
        <is>
          <t>Rosenfink</t>
        </is>
      </c>
      <c r="S120">
        <f>HYPERLINK("https://klasma.github.io/Logging_2281/artfynd/A 970-2020 artfynd.xlsx", "A 970-2020")</f>
        <v/>
      </c>
      <c r="T120">
        <f>HYPERLINK("https://klasma.github.io/Logging_2281/kartor/A 970-2020 karta.png", "A 970-2020")</f>
        <v/>
      </c>
      <c r="V120">
        <f>HYPERLINK("https://klasma.github.io/Logging_2281/klagomål/A 970-2020 FSC-klagomål.docx", "A 970-2020")</f>
        <v/>
      </c>
      <c r="W120">
        <f>HYPERLINK("https://klasma.github.io/Logging_2281/klagomålsmail/A 970-2020 FSC-klagomål mail.docx", "A 970-2020")</f>
        <v/>
      </c>
      <c r="X120">
        <f>HYPERLINK("https://klasma.github.io/Logging_2281/tillsyn/A 970-2020 tillsynsbegäran.docx", "A 970-2020")</f>
        <v/>
      </c>
      <c r="Y120">
        <f>HYPERLINK("https://klasma.github.io/Logging_2281/tillsynsmail/A 970-2020 tillsynsbegäran mail.docx", "A 970-2020")</f>
        <v/>
      </c>
      <c r="Z120">
        <f>HYPERLINK("https://klasma.github.io/Logging_2281/fåglar/A 970-2020 prioriterade fågelarter.docx", "A 970-2020")</f>
        <v/>
      </c>
    </row>
    <row r="121" ht="15" customHeight="1">
      <c r="A121" t="inlineStr">
        <is>
          <t>A 3002-2020</t>
        </is>
      </c>
      <c r="B121" s="1" t="n">
        <v>43850</v>
      </c>
      <c r="C121" s="1" t="n">
        <v>45692</v>
      </c>
      <c r="D121" t="inlineStr">
        <is>
          <t>VÄSTERNORRLANDS LÄN</t>
        </is>
      </c>
      <c r="E121" t="inlineStr">
        <is>
          <t>SUNDSVALL</t>
        </is>
      </c>
      <c r="G121" t="n">
        <v>14</v>
      </c>
      <c r="H121" t="n">
        <v>1</v>
      </c>
      <c r="I121" t="n">
        <v>0</v>
      </c>
      <c r="J121" t="n">
        <v>1</v>
      </c>
      <c r="K121" t="n">
        <v>0</v>
      </c>
      <c r="L121" t="n">
        <v>0</v>
      </c>
      <c r="M121" t="n">
        <v>0</v>
      </c>
      <c r="N121" t="n">
        <v>0</v>
      </c>
      <c r="O121" t="n">
        <v>1</v>
      </c>
      <c r="P121" t="n">
        <v>0</v>
      </c>
      <c r="Q121" t="n">
        <v>1</v>
      </c>
      <c r="R121" s="2" t="inlineStr">
        <is>
          <t>Rosenfink</t>
        </is>
      </c>
      <c r="S121">
        <f>HYPERLINK("https://klasma.github.io/Logging_2281/artfynd/A 3002-2020 artfynd.xlsx", "A 3002-2020")</f>
        <v/>
      </c>
      <c r="T121">
        <f>HYPERLINK("https://klasma.github.io/Logging_2281/kartor/A 3002-2020 karta.png", "A 3002-2020")</f>
        <v/>
      </c>
      <c r="V121">
        <f>HYPERLINK("https://klasma.github.io/Logging_2281/klagomål/A 3002-2020 FSC-klagomål.docx", "A 3002-2020")</f>
        <v/>
      </c>
      <c r="W121">
        <f>HYPERLINK("https://klasma.github.io/Logging_2281/klagomålsmail/A 3002-2020 FSC-klagomål mail.docx", "A 3002-2020")</f>
        <v/>
      </c>
      <c r="X121">
        <f>HYPERLINK("https://klasma.github.io/Logging_2281/tillsyn/A 3002-2020 tillsynsbegäran.docx", "A 3002-2020")</f>
        <v/>
      </c>
      <c r="Y121">
        <f>HYPERLINK("https://klasma.github.io/Logging_2281/tillsynsmail/A 3002-2020 tillsynsbegäran mail.docx", "A 3002-2020")</f>
        <v/>
      </c>
      <c r="Z121">
        <f>HYPERLINK("https://klasma.github.io/Logging_2281/fåglar/A 3002-2020 prioriterade fågelarter.docx", "A 3002-2020")</f>
        <v/>
      </c>
    </row>
    <row r="122" ht="15" customHeight="1">
      <c r="A122" t="inlineStr">
        <is>
          <t>A 7956-2020</t>
        </is>
      </c>
      <c r="B122" s="1" t="n">
        <v>43873</v>
      </c>
      <c r="C122" s="1" t="n">
        <v>45692</v>
      </c>
      <c r="D122" t="inlineStr">
        <is>
          <t>VÄSTERNORRLANDS LÄN</t>
        </is>
      </c>
      <c r="E122" t="inlineStr">
        <is>
          <t>SUNDSVALL</t>
        </is>
      </c>
      <c r="G122" t="n">
        <v>15.3</v>
      </c>
      <c r="H122" t="n">
        <v>0</v>
      </c>
      <c r="I122" t="n">
        <v>0</v>
      </c>
      <c r="J122" t="n">
        <v>1</v>
      </c>
      <c r="K122" t="n">
        <v>0</v>
      </c>
      <c r="L122" t="n">
        <v>0</v>
      </c>
      <c r="M122" t="n">
        <v>0</v>
      </c>
      <c r="N122" t="n">
        <v>0</v>
      </c>
      <c r="O122" t="n">
        <v>1</v>
      </c>
      <c r="P122" t="n">
        <v>0</v>
      </c>
      <c r="Q122" t="n">
        <v>1</v>
      </c>
      <c r="R122" s="2" t="inlineStr">
        <is>
          <t>Vedskivlav</t>
        </is>
      </c>
      <c r="S122">
        <f>HYPERLINK("https://klasma.github.io/Logging_2281/artfynd/A 7956-2020 artfynd.xlsx", "A 7956-2020")</f>
        <v/>
      </c>
      <c r="T122">
        <f>HYPERLINK("https://klasma.github.io/Logging_2281/kartor/A 7956-2020 karta.png", "A 7956-2020")</f>
        <v/>
      </c>
      <c r="V122">
        <f>HYPERLINK("https://klasma.github.io/Logging_2281/klagomål/A 7956-2020 FSC-klagomål.docx", "A 7956-2020")</f>
        <v/>
      </c>
      <c r="W122">
        <f>HYPERLINK("https://klasma.github.io/Logging_2281/klagomålsmail/A 7956-2020 FSC-klagomål mail.docx", "A 7956-2020")</f>
        <v/>
      </c>
      <c r="X122">
        <f>HYPERLINK("https://klasma.github.io/Logging_2281/tillsyn/A 7956-2020 tillsynsbegäran.docx", "A 7956-2020")</f>
        <v/>
      </c>
      <c r="Y122">
        <f>HYPERLINK("https://klasma.github.io/Logging_2281/tillsynsmail/A 7956-2020 tillsynsbegäran mail.docx", "A 7956-2020")</f>
        <v/>
      </c>
    </row>
    <row r="123" ht="15" customHeight="1">
      <c r="A123" t="inlineStr">
        <is>
          <t>A 28764-2020</t>
        </is>
      </c>
      <c r="B123" s="1" t="n">
        <v>43999</v>
      </c>
      <c r="C123" s="1" t="n">
        <v>45692</v>
      </c>
      <c r="D123" t="inlineStr">
        <is>
          <t>VÄSTERNORRLANDS LÄN</t>
        </is>
      </c>
      <c r="E123" t="inlineStr">
        <is>
          <t>SUNDSVALL</t>
        </is>
      </c>
      <c r="F123" t="inlineStr">
        <is>
          <t>SCA</t>
        </is>
      </c>
      <c r="G123" t="n">
        <v>2.7</v>
      </c>
      <c r="H123" t="n">
        <v>1</v>
      </c>
      <c r="I123" t="n">
        <v>0</v>
      </c>
      <c r="J123" t="n">
        <v>1</v>
      </c>
      <c r="K123" t="n">
        <v>0</v>
      </c>
      <c r="L123" t="n">
        <v>0</v>
      </c>
      <c r="M123" t="n">
        <v>0</v>
      </c>
      <c r="N123" t="n">
        <v>0</v>
      </c>
      <c r="O123" t="n">
        <v>1</v>
      </c>
      <c r="P123" t="n">
        <v>0</v>
      </c>
      <c r="Q123" t="n">
        <v>1</v>
      </c>
      <c r="R123" s="2" t="inlineStr">
        <is>
          <t>Utter</t>
        </is>
      </c>
      <c r="S123">
        <f>HYPERLINK("https://klasma.github.io/Logging_2281/artfynd/A 28764-2020 artfynd.xlsx", "A 28764-2020")</f>
        <v/>
      </c>
      <c r="T123">
        <f>HYPERLINK("https://klasma.github.io/Logging_2281/kartor/A 28764-2020 karta.png", "A 28764-2020")</f>
        <v/>
      </c>
      <c r="V123">
        <f>HYPERLINK("https://klasma.github.io/Logging_2281/klagomål/A 28764-2020 FSC-klagomål.docx", "A 28764-2020")</f>
        <v/>
      </c>
      <c r="W123">
        <f>HYPERLINK("https://klasma.github.io/Logging_2281/klagomålsmail/A 28764-2020 FSC-klagomål mail.docx", "A 28764-2020")</f>
        <v/>
      </c>
      <c r="X123">
        <f>HYPERLINK("https://klasma.github.io/Logging_2281/tillsyn/A 28764-2020 tillsynsbegäran.docx", "A 28764-2020")</f>
        <v/>
      </c>
      <c r="Y123">
        <f>HYPERLINK("https://klasma.github.io/Logging_2281/tillsynsmail/A 28764-2020 tillsynsbegäran mail.docx", "A 28764-2020")</f>
        <v/>
      </c>
    </row>
    <row r="124" ht="15" customHeight="1">
      <c r="A124" t="inlineStr">
        <is>
          <t>A 50469-2020</t>
        </is>
      </c>
      <c r="B124" s="1" t="n">
        <v>44104</v>
      </c>
      <c r="C124" s="1" t="n">
        <v>45692</v>
      </c>
      <c r="D124" t="inlineStr">
        <is>
          <t>VÄSTERNORRLANDS LÄN</t>
        </is>
      </c>
      <c r="E124" t="inlineStr">
        <is>
          <t>SUNDSVALL</t>
        </is>
      </c>
      <c r="G124" t="n">
        <v>1.8</v>
      </c>
      <c r="H124" t="n">
        <v>1</v>
      </c>
      <c r="I124" t="n">
        <v>0</v>
      </c>
      <c r="J124" t="n">
        <v>1</v>
      </c>
      <c r="K124" t="n">
        <v>0</v>
      </c>
      <c r="L124" t="n">
        <v>0</v>
      </c>
      <c r="M124" t="n">
        <v>0</v>
      </c>
      <c r="N124" t="n">
        <v>0</v>
      </c>
      <c r="O124" t="n">
        <v>1</v>
      </c>
      <c r="P124" t="n">
        <v>0</v>
      </c>
      <c r="Q124" t="n">
        <v>1</v>
      </c>
      <c r="R124" s="2" t="inlineStr">
        <is>
          <t>Sötgräs</t>
        </is>
      </c>
      <c r="S124">
        <f>HYPERLINK("https://klasma.github.io/Logging_2281/artfynd/A 50469-2020 artfynd.xlsx", "A 50469-2020")</f>
        <v/>
      </c>
      <c r="T124">
        <f>HYPERLINK("https://klasma.github.io/Logging_2281/kartor/A 50469-2020 karta.png", "A 50469-2020")</f>
        <v/>
      </c>
      <c r="V124">
        <f>HYPERLINK("https://klasma.github.io/Logging_2281/klagomål/A 50469-2020 FSC-klagomål.docx", "A 50469-2020")</f>
        <v/>
      </c>
      <c r="W124">
        <f>HYPERLINK("https://klasma.github.io/Logging_2281/klagomålsmail/A 50469-2020 FSC-klagomål mail.docx", "A 50469-2020")</f>
        <v/>
      </c>
      <c r="X124">
        <f>HYPERLINK("https://klasma.github.io/Logging_2281/tillsyn/A 50469-2020 tillsynsbegäran.docx", "A 50469-2020")</f>
        <v/>
      </c>
      <c r="Y124">
        <f>HYPERLINK("https://klasma.github.io/Logging_2281/tillsynsmail/A 50469-2020 tillsynsbegäran mail.docx", "A 50469-2020")</f>
        <v/>
      </c>
    </row>
    <row r="125" ht="15" customHeight="1">
      <c r="A125" t="inlineStr">
        <is>
          <t>A 65632-2020</t>
        </is>
      </c>
      <c r="B125" s="1" t="n">
        <v>44173</v>
      </c>
      <c r="C125" s="1" t="n">
        <v>45692</v>
      </c>
      <c r="D125" t="inlineStr">
        <is>
          <t>VÄSTERNORRLANDS LÄN</t>
        </is>
      </c>
      <c r="E125" t="inlineStr">
        <is>
          <t>SUNDSVALL</t>
        </is>
      </c>
      <c r="F125" t="inlineStr">
        <is>
          <t>SCA</t>
        </is>
      </c>
      <c r="G125" t="n">
        <v>3.2</v>
      </c>
      <c r="H125" t="n">
        <v>0</v>
      </c>
      <c r="I125" t="n">
        <v>1</v>
      </c>
      <c r="J125" t="n">
        <v>0</v>
      </c>
      <c r="K125" t="n">
        <v>0</v>
      </c>
      <c r="L125" t="n">
        <v>0</v>
      </c>
      <c r="M125" t="n">
        <v>0</v>
      </c>
      <c r="N125" t="n">
        <v>0</v>
      </c>
      <c r="O125" t="n">
        <v>0</v>
      </c>
      <c r="P125" t="n">
        <v>0</v>
      </c>
      <c r="Q125" t="n">
        <v>1</v>
      </c>
      <c r="R125" s="2" t="inlineStr">
        <is>
          <t>Dropptaggsvamp</t>
        </is>
      </c>
      <c r="S125">
        <f>HYPERLINK("https://klasma.github.io/Logging_2281/artfynd/A 65632-2020 artfynd.xlsx", "A 65632-2020")</f>
        <v/>
      </c>
      <c r="T125">
        <f>HYPERLINK("https://klasma.github.io/Logging_2281/kartor/A 65632-2020 karta.png", "A 65632-2020")</f>
        <v/>
      </c>
      <c r="V125">
        <f>HYPERLINK("https://klasma.github.io/Logging_2281/klagomål/A 65632-2020 FSC-klagomål.docx", "A 65632-2020")</f>
        <v/>
      </c>
      <c r="W125">
        <f>HYPERLINK("https://klasma.github.io/Logging_2281/klagomålsmail/A 65632-2020 FSC-klagomål mail.docx", "A 65632-2020")</f>
        <v/>
      </c>
      <c r="X125">
        <f>HYPERLINK("https://klasma.github.io/Logging_2281/tillsyn/A 65632-2020 tillsynsbegäran.docx", "A 65632-2020")</f>
        <v/>
      </c>
      <c r="Y125">
        <f>HYPERLINK("https://klasma.github.io/Logging_2281/tillsynsmail/A 65632-2020 tillsynsbegäran mail.docx", "A 65632-2020")</f>
        <v/>
      </c>
    </row>
    <row r="126" ht="15" customHeight="1">
      <c r="A126" t="inlineStr">
        <is>
          <t>A 15775-2021</t>
        </is>
      </c>
      <c r="B126" s="1" t="n">
        <v>44286</v>
      </c>
      <c r="C126" s="1" t="n">
        <v>45692</v>
      </c>
      <c r="D126" t="inlineStr">
        <is>
          <t>VÄSTERNORRLANDS LÄN</t>
        </is>
      </c>
      <c r="E126" t="inlineStr">
        <is>
          <t>SUNDSVALL</t>
        </is>
      </c>
      <c r="F126" t="inlineStr">
        <is>
          <t>Kommuner</t>
        </is>
      </c>
      <c r="G126" t="n">
        <v>8.4</v>
      </c>
      <c r="H126" t="n">
        <v>1</v>
      </c>
      <c r="I126" t="n">
        <v>0</v>
      </c>
      <c r="J126" t="n">
        <v>0</v>
      </c>
      <c r="K126" t="n">
        <v>0</v>
      </c>
      <c r="L126" t="n">
        <v>0</v>
      </c>
      <c r="M126" t="n">
        <v>0</v>
      </c>
      <c r="N126" t="n">
        <v>0</v>
      </c>
      <c r="O126" t="n">
        <v>0</v>
      </c>
      <c r="P126" t="n">
        <v>0</v>
      </c>
      <c r="Q126" t="n">
        <v>1</v>
      </c>
      <c r="R126" s="2" t="inlineStr">
        <is>
          <t>Vanlig padda</t>
        </is>
      </c>
      <c r="S126">
        <f>HYPERLINK("https://klasma.github.io/Logging_2281/artfynd/A 15775-2021 artfynd.xlsx", "A 15775-2021")</f>
        <v/>
      </c>
      <c r="T126">
        <f>HYPERLINK("https://klasma.github.io/Logging_2281/kartor/A 15775-2021 karta.png", "A 15775-2021")</f>
        <v/>
      </c>
      <c r="V126">
        <f>HYPERLINK("https://klasma.github.io/Logging_2281/klagomål/A 15775-2021 FSC-klagomål.docx", "A 15775-2021")</f>
        <v/>
      </c>
      <c r="W126">
        <f>HYPERLINK("https://klasma.github.io/Logging_2281/klagomålsmail/A 15775-2021 FSC-klagomål mail.docx", "A 15775-2021")</f>
        <v/>
      </c>
      <c r="X126">
        <f>HYPERLINK("https://klasma.github.io/Logging_2281/tillsyn/A 15775-2021 tillsynsbegäran.docx", "A 15775-2021")</f>
        <v/>
      </c>
      <c r="Y126">
        <f>HYPERLINK("https://klasma.github.io/Logging_2281/tillsynsmail/A 15775-2021 tillsynsbegäran mail.docx", "A 15775-2021")</f>
        <v/>
      </c>
    </row>
    <row r="127" ht="15" customHeight="1">
      <c r="A127" t="inlineStr">
        <is>
          <t>A 17333-2021</t>
        </is>
      </c>
      <c r="B127" s="1" t="n">
        <v>44298</v>
      </c>
      <c r="C127" s="1" t="n">
        <v>45692</v>
      </c>
      <c r="D127" t="inlineStr">
        <is>
          <t>VÄSTERNORRLANDS LÄN</t>
        </is>
      </c>
      <c r="E127" t="inlineStr">
        <is>
          <t>SUNDSVALL</t>
        </is>
      </c>
      <c r="G127" t="n">
        <v>6.7</v>
      </c>
      <c r="H127" t="n">
        <v>1</v>
      </c>
      <c r="I127" t="n">
        <v>0</v>
      </c>
      <c r="J127" t="n">
        <v>1</v>
      </c>
      <c r="K127" t="n">
        <v>0</v>
      </c>
      <c r="L127" t="n">
        <v>0</v>
      </c>
      <c r="M127" t="n">
        <v>0</v>
      </c>
      <c r="N127" t="n">
        <v>0</v>
      </c>
      <c r="O127" t="n">
        <v>1</v>
      </c>
      <c r="P127" t="n">
        <v>0</v>
      </c>
      <c r="Q127" t="n">
        <v>1</v>
      </c>
      <c r="R127" s="2" t="inlineStr">
        <is>
          <t>Mindre hackspett</t>
        </is>
      </c>
      <c r="S127">
        <f>HYPERLINK("https://klasma.github.io/Logging_2281/artfynd/A 17333-2021 artfynd.xlsx", "A 17333-2021")</f>
        <v/>
      </c>
      <c r="T127">
        <f>HYPERLINK("https://klasma.github.io/Logging_2281/kartor/A 17333-2021 karta.png", "A 17333-2021")</f>
        <v/>
      </c>
      <c r="V127">
        <f>HYPERLINK("https://klasma.github.io/Logging_2281/klagomål/A 17333-2021 FSC-klagomål.docx", "A 17333-2021")</f>
        <v/>
      </c>
      <c r="W127">
        <f>HYPERLINK("https://klasma.github.io/Logging_2281/klagomålsmail/A 17333-2021 FSC-klagomål mail.docx", "A 17333-2021")</f>
        <v/>
      </c>
      <c r="X127">
        <f>HYPERLINK("https://klasma.github.io/Logging_2281/tillsyn/A 17333-2021 tillsynsbegäran.docx", "A 17333-2021")</f>
        <v/>
      </c>
      <c r="Y127">
        <f>HYPERLINK("https://klasma.github.io/Logging_2281/tillsynsmail/A 17333-2021 tillsynsbegäran mail.docx", "A 17333-2021")</f>
        <v/>
      </c>
      <c r="Z127">
        <f>HYPERLINK("https://klasma.github.io/Logging_2281/fåglar/A 17333-2021 prioriterade fågelarter.docx", "A 17333-2021")</f>
        <v/>
      </c>
    </row>
    <row r="128" ht="15" customHeight="1">
      <c r="A128" t="inlineStr">
        <is>
          <t>A 17331-2021</t>
        </is>
      </c>
      <c r="B128" s="1" t="n">
        <v>44298</v>
      </c>
      <c r="C128" s="1" t="n">
        <v>45692</v>
      </c>
      <c r="D128" t="inlineStr">
        <is>
          <t>VÄSTERNORRLANDS LÄN</t>
        </is>
      </c>
      <c r="E128" t="inlineStr">
        <is>
          <t>SUNDSVALL</t>
        </is>
      </c>
      <c r="G128" t="n">
        <v>3.7</v>
      </c>
      <c r="H128" t="n">
        <v>0</v>
      </c>
      <c r="I128" t="n">
        <v>0</v>
      </c>
      <c r="J128" t="n">
        <v>1</v>
      </c>
      <c r="K128" t="n">
        <v>0</v>
      </c>
      <c r="L128" t="n">
        <v>0</v>
      </c>
      <c r="M128" t="n">
        <v>0</v>
      </c>
      <c r="N128" t="n">
        <v>0</v>
      </c>
      <c r="O128" t="n">
        <v>1</v>
      </c>
      <c r="P128" t="n">
        <v>0</v>
      </c>
      <c r="Q128" t="n">
        <v>1</v>
      </c>
      <c r="R128" s="2" t="inlineStr">
        <is>
          <t>Myskmåra</t>
        </is>
      </c>
      <c r="S128">
        <f>HYPERLINK("https://klasma.github.io/Logging_2281/artfynd/A 17331-2021 artfynd.xlsx", "A 17331-2021")</f>
        <v/>
      </c>
      <c r="T128">
        <f>HYPERLINK("https://klasma.github.io/Logging_2281/kartor/A 17331-2021 karta.png", "A 17331-2021")</f>
        <v/>
      </c>
      <c r="V128">
        <f>HYPERLINK("https://klasma.github.io/Logging_2281/klagomål/A 17331-2021 FSC-klagomål.docx", "A 17331-2021")</f>
        <v/>
      </c>
      <c r="W128">
        <f>HYPERLINK("https://klasma.github.io/Logging_2281/klagomålsmail/A 17331-2021 FSC-klagomål mail.docx", "A 17331-2021")</f>
        <v/>
      </c>
      <c r="X128">
        <f>HYPERLINK("https://klasma.github.io/Logging_2281/tillsyn/A 17331-2021 tillsynsbegäran.docx", "A 17331-2021")</f>
        <v/>
      </c>
      <c r="Y128">
        <f>HYPERLINK("https://klasma.github.io/Logging_2281/tillsynsmail/A 17331-2021 tillsynsbegäran mail.docx", "A 17331-2021")</f>
        <v/>
      </c>
    </row>
    <row r="129" ht="15" customHeight="1">
      <c r="A129" t="inlineStr">
        <is>
          <t>A 22395-2021</t>
        </is>
      </c>
      <c r="B129" s="1" t="n">
        <v>44326</v>
      </c>
      <c r="C129" s="1" t="n">
        <v>45692</v>
      </c>
      <c r="D129" t="inlineStr">
        <is>
          <t>VÄSTERNORRLANDS LÄN</t>
        </is>
      </c>
      <c r="E129" t="inlineStr">
        <is>
          <t>SUNDSVALL</t>
        </is>
      </c>
      <c r="G129" t="n">
        <v>8.6</v>
      </c>
      <c r="H129" t="n">
        <v>1</v>
      </c>
      <c r="I129" t="n">
        <v>0</v>
      </c>
      <c r="J129" t="n">
        <v>0</v>
      </c>
      <c r="K129" t="n">
        <v>0</v>
      </c>
      <c r="L129" t="n">
        <v>0</v>
      </c>
      <c r="M129" t="n">
        <v>0</v>
      </c>
      <c r="N129" t="n">
        <v>0</v>
      </c>
      <c r="O129" t="n">
        <v>0</v>
      </c>
      <c r="P129" t="n">
        <v>0</v>
      </c>
      <c r="Q129" t="n">
        <v>1</v>
      </c>
      <c r="R129" s="2" t="inlineStr">
        <is>
          <t>Gröngöling</t>
        </is>
      </c>
      <c r="S129">
        <f>HYPERLINK("https://klasma.github.io/Logging_2281/artfynd/A 22395-2021 artfynd.xlsx", "A 22395-2021")</f>
        <v/>
      </c>
      <c r="T129">
        <f>HYPERLINK("https://klasma.github.io/Logging_2281/kartor/A 22395-2021 karta.png", "A 22395-2021")</f>
        <v/>
      </c>
      <c r="V129">
        <f>HYPERLINK("https://klasma.github.io/Logging_2281/klagomål/A 22395-2021 FSC-klagomål.docx", "A 22395-2021")</f>
        <v/>
      </c>
      <c r="W129">
        <f>HYPERLINK("https://klasma.github.io/Logging_2281/klagomålsmail/A 22395-2021 FSC-klagomål mail.docx", "A 22395-2021")</f>
        <v/>
      </c>
      <c r="X129">
        <f>HYPERLINK("https://klasma.github.io/Logging_2281/tillsyn/A 22395-2021 tillsynsbegäran.docx", "A 22395-2021")</f>
        <v/>
      </c>
      <c r="Y129">
        <f>HYPERLINK("https://klasma.github.io/Logging_2281/tillsynsmail/A 22395-2021 tillsynsbegäran mail.docx", "A 22395-2021")</f>
        <v/>
      </c>
      <c r="Z129">
        <f>HYPERLINK("https://klasma.github.io/Logging_2281/fåglar/A 22395-2021 prioriterade fågelarter.docx", "A 22395-2021")</f>
        <v/>
      </c>
    </row>
    <row r="130" ht="15" customHeight="1">
      <c r="A130" t="inlineStr">
        <is>
          <t>A 22420-2021</t>
        </is>
      </c>
      <c r="B130" s="1" t="n">
        <v>44326</v>
      </c>
      <c r="C130" s="1" t="n">
        <v>45692</v>
      </c>
      <c r="D130" t="inlineStr">
        <is>
          <t>VÄSTERNORRLANDS LÄN</t>
        </is>
      </c>
      <c r="E130" t="inlineStr">
        <is>
          <t>SUNDSVALL</t>
        </is>
      </c>
      <c r="F130" t="inlineStr">
        <is>
          <t>Kyrkan</t>
        </is>
      </c>
      <c r="G130" t="n">
        <v>21.9</v>
      </c>
      <c r="H130" t="n">
        <v>1</v>
      </c>
      <c r="I130" t="n">
        <v>0</v>
      </c>
      <c r="J130" t="n">
        <v>1</v>
      </c>
      <c r="K130" t="n">
        <v>0</v>
      </c>
      <c r="L130" t="n">
        <v>0</v>
      </c>
      <c r="M130" t="n">
        <v>0</v>
      </c>
      <c r="N130" t="n">
        <v>0</v>
      </c>
      <c r="O130" t="n">
        <v>1</v>
      </c>
      <c r="P130" t="n">
        <v>0</v>
      </c>
      <c r="Q130" t="n">
        <v>1</v>
      </c>
      <c r="R130" s="2" t="inlineStr">
        <is>
          <t>Järpe</t>
        </is>
      </c>
      <c r="S130">
        <f>HYPERLINK("https://klasma.github.io/Logging_2281/artfynd/A 22420-2021 artfynd.xlsx", "A 22420-2021")</f>
        <v/>
      </c>
      <c r="T130">
        <f>HYPERLINK("https://klasma.github.io/Logging_2281/kartor/A 22420-2021 karta.png", "A 22420-2021")</f>
        <v/>
      </c>
      <c r="V130">
        <f>HYPERLINK("https://klasma.github.io/Logging_2281/klagomål/A 22420-2021 FSC-klagomål.docx", "A 22420-2021")</f>
        <v/>
      </c>
      <c r="W130">
        <f>HYPERLINK("https://klasma.github.io/Logging_2281/klagomålsmail/A 22420-2021 FSC-klagomål mail.docx", "A 22420-2021")</f>
        <v/>
      </c>
      <c r="X130">
        <f>HYPERLINK("https://klasma.github.io/Logging_2281/tillsyn/A 22420-2021 tillsynsbegäran.docx", "A 22420-2021")</f>
        <v/>
      </c>
      <c r="Y130">
        <f>HYPERLINK("https://klasma.github.io/Logging_2281/tillsynsmail/A 22420-2021 tillsynsbegäran mail.docx", "A 22420-2021")</f>
        <v/>
      </c>
      <c r="Z130">
        <f>HYPERLINK("https://klasma.github.io/Logging_2281/fåglar/A 22420-2021 prioriterade fågelarter.docx", "A 22420-2021")</f>
        <v/>
      </c>
    </row>
    <row r="131" ht="15" customHeight="1">
      <c r="A131" t="inlineStr">
        <is>
          <t>A 28332-2021</t>
        </is>
      </c>
      <c r="B131" s="1" t="n">
        <v>44356</v>
      </c>
      <c r="C131" s="1" t="n">
        <v>45692</v>
      </c>
      <c r="D131" t="inlineStr">
        <is>
          <t>VÄSTERNORRLANDS LÄN</t>
        </is>
      </c>
      <c r="E131" t="inlineStr">
        <is>
          <t>SUNDSVALL</t>
        </is>
      </c>
      <c r="G131" t="n">
        <v>11.8</v>
      </c>
      <c r="H131" t="n">
        <v>0</v>
      </c>
      <c r="I131" t="n">
        <v>1</v>
      </c>
      <c r="J131" t="n">
        <v>0</v>
      </c>
      <c r="K131" t="n">
        <v>0</v>
      </c>
      <c r="L131" t="n">
        <v>0</v>
      </c>
      <c r="M131" t="n">
        <v>0</v>
      </c>
      <c r="N131" t="n">
        <v>0</v>
      </c>
      <c r="O131" t="n">
        <v>0</v>
      </c>
      <c r="P131" t="n">
        <v>0</v>
      </c>
      <c r="Q131" t="n">
        <v>1</v>
      </c>
      <c r="R131" s="2" t="inlineStr">
        <is>
          <t>Fjällig taggsvamp s.str.</t>
        </is>
      </c>
      <c r="S131">
        <f>HYPERLINK("https://klasma.github.io/Logging_2281/artfynd/A 28332-2021 artfynd.xlsx", "A 28332-2021")</f>
        <v/>
      </c>
      <c r="T131">
        <f>HYPERLINK("https://klasma.github.io/Logging_2281/kartor/A 28332-2021 karta.png", "A 28332-2021")</f>
        <v/>
      </c>
      <c r="V131">
        <f>HYPERLINK("https://klasma.github.io/Logging_2281/klagomål/A 28332-2021 FSC-klagomål.docx", "A 28332-2021")</f>
        <v/>
      </c>
      <c r="W131">
        <f>HYPERLINK("https://klasma.github.io/Logging_2281/klagomålsmail/A 28332-2021 FSC-klagomål mail.docx", "A 28332-2021")</f>
        <v/>
      </c>
      <c r="X131">
        <f>HYPERLINK("https://klasma.github.io/Logging_2281/tillsyn/A 28332-2021 tillsynsbegäran.docx", "A 28332-2021")</f>
        <v/>
      </c>
      <c r="Y131">
        <f>HYPERLINK("https://klasma.github.io/Logging_2281/tillsynsmail/A 28332-2021 tillsynsbegäran mail.docx", "A 28332-2021")</f>
        <v/>
      </c>
    </row>
    <row r="132" ht="15" customHeight="1">
      <c r="A132" t="inlineStr">
        <is>
          <t>A 37057-2021</t>
        </is>
      </c>
      <c r="B132" s="1" t="n">
        <v>44394</v>
      </c>
      <c r="C132" s="1" t="n">
        <v>45692</v>
      </c>
      <c r="D132" t="inlineStr">
        <is>
          <t>VÄSTERNORRLANDS LÄN</t>
        </is>
      </c>
      <c r="E132" t="inlineStr">
        <is>
          <t>SUNDSVALL</t>
        </is>
      </c>
      <c r="F132" t="inlineStr">
        <is>
          <t>SCA</t>
        </is>
      </c>
      <c r="G132" t="n">
        <v>9.800000000000001</v>
      </c>
      <c r="H132" t="n">
        <v>1</v>
      </c>
      <c r="I132" t="n">
        <v>0</v>
      </c>
      <c r="J132" t="n">
        <v>1</v>
      </c>
      <c r="K132" t="n">
        <v>0</v>
      </c>
      <c r="L132" t="n">
        <v>0</v>
      </c>
      <c r="M132" t="n">
        <v>0</v>
      </c>
      <c r="N132" t="n">
        <v>0</v>
      </c>
      <c r="O132" t="n">
        <v>1</v>
      </c>
      <c r="P132" t="n">
        <v>0</v>
      </c>
      <c r="Q132" t="n">
        <v>1</v>
      </c>
      <c r="R132" s="2" t="inlineStr">
        <is>
          <t>Tretåig hackspett</t>
        </is>
      </c>
      <c r="S132">
        <f>HYPERLINK("https://klasma.github.io/Logging_2281/artfynd/A 37057-2021 artfynd.xlsx", "A 37057-2021")</f>
        <v/>
      </c>
      <c r="T132">
        <f>HYPERLINK("https://klasma.github.io/Logging_2281/kartor/A 37057-2021 karta.png", "A 37057-2021")</f>
        <v/>
      </c>
      <c r="V132">
        <f>HYPERLINK("https://klasma.github.io/Logging_2281/klagomål/A 37057-2021 FSC-klagomål.docx", "A 37057-2021")</f>
        <v/>
      </c>
      <c r="W132">
        <f>HYPERLINK("https://klasma.github.io/Logging_2281/klagomålsmail/A 37057-2021 FSC-klagomål mail.docx", "A 37057-2021")</f>
        <v/>
      </c>
      <c r="X132">
        <f>HYPERLINK("https://klasma.github.io/Logging_2281/tillsyn/A 37057-2021 tillsynsbegäran.docx", "A 37057-2021")</f>
        <v/>
      </c>
      <c r="Y132">
        <f>HYPERLINK("https://klasma.github.io/Logging_2281/tillsynsmail/A 37057-2021 tillsynsbegäran mail.docx", "A 37057-2021")</f>
        <v/>
      </c>
      <c r="Z132">
        <f>HYPERLINK("https://klasma.github.io/Logging_2281/fåglar/A 37057-2021 prioriterade fågelarter.docx", "A 37057-2021")</f>
        <v/>
      </c>
    </row>
    <row r="133" ht="15" customHeight="1">
      <c r="A133" t="inlineStr">
        <is>
          <t>A 37231-2021</t>
        </is>
      </c>
      <c r="B133" s="1" t="n">
        <v>44396</v>
      </c>
      <c r="C133" s="1" t="n">
        <v>45692</v>
      </c>
      <c r="D133" t="inlineStr">
        <is>
          <t>VÄSTERNORRLANDS LÄN</t>
        </is>
      </c>
      <c r="E133" t="inlineStr">
        <is>
          <t>SUNDSVALL</t>
        </is>
      </c>
      <c r="F133" t="inlineStr">
        <is>
          <t>SCA</t>
        </is>
      </c>
      <c r="G133" t="n">
        <v>7.3</v>
      </c>
      <c r="H133" t="n">
        <v>1</v>
      </c>
      <c r="I133" t="n">
        <v>0</v>
      </c>
      <c r="J133" t="n">
        <v>0</v>
      </c>
      <c r="K133" t="n">
        <v>0</v>
      </c>
      <c r="L133" t="n">
        <v>0</v>
      </c>
      <c r="M133" t="n">
        <v>0</v>
      </c>
      <c r="N133" t="n">
        <v>0</v>
      </c>
      <c r="O133" t="n">
        <v>0</v>
      </c>
      <c r="P133" t="n">
        <v>0</v>
      </c>
      <c r="Q133" t="n">
        <v>1</v>
      </c>
      <c r="R133" s="2" t="inlineStr">
        <is>
          <t>Orre</t>
        </is>
      </c>
      <c r="S133">
        <f>HYPERLINK("https://klasma.github.io/Logging_2281/artfynd/A 37231-2021 artfynd.xlsx", "A 37231-2021")</f>
        <v/>
      </c>
      <c r="T133">
        <f>HYPERLINK("https://klasma.github.io/Logging_2281/kartor/A 37231-2021 karta.png", "A 37231-2021")</f>
        <v/>
      </c>
      <c r="V133">
        <f>HYPERLINK("https://klasma.github.io/Logging_2281/klagomål/A 37231-2021 FSC-klagomål.docx", "A 37231-2021")</f>
        <v/>
      </c>
      <c r="W133">
        <f>HYPERLINK("https://klasma.github.io/Logging_2281/klagomålsmail/A 37231-2021 FSC-klagomål mail.docx", "A 37231-2021")</f>
        <v/>
      </c>
      <c r="X133">
        <f>HYPERLINK("https://klasma.github.io/Logging_2281/tillsyn/A 37231-2021 tillsynsbegäran.docx", "A 37231-2021")</f>
        <v/>
      </c>
      <c r="Y133">
        <f>HYPERLINK("https://klasma.github.io/Logging_2281/tillsynsmail/A 37231-2021 tillsynsbegäran mail.docx", "A 37231-2021")</f>
        <v/>
      </c>
      <c r="Z133">
        <f>HYPERLINK("https://klasma.github.io/Logging_2281/fåglar/A 37231-2021 prioriterade fågelarter.docx", "A 37231-2021")</f>
        <v/>
      </c>
    </row>
    <row r="134" ht="15" customHeight="1">
      <c r="A134" t="inlineStr">
        <is>
          <t>A 40123-2021</t>
        </is>
      </c>
      <c r="B134" s="1" t="n">
        <v>44418</v>
      </c>
      <c r="C134" s="1" t="n">
        <v>45692</v>
      </c>
      <c r="D134" t="inlineStr">
        <is>
          <t>VÄSTERNORRLANDS LÄN</t>
        </is>
      </c>
      <c r="E134" t="inlineStr">
        <is>
          <t>SUNDSVALL</t>
        </is>
      </c>
      <c r="G134" t="n">
        <v>12.2</v>
      </c>
      <c r="H134" t="n">
        <v>1</v>
      </c>
      <c r="I134" t="n">
        <v>0</v>
      </c>
      <c r="J134" t="n">
        <v>1</v>
      </c>
      <c r="K134" t="n">
        <v>0</v>
      </c>
      <c r="L134" t="n">
        <v>0</v>
      </c>
      <c r="M134" t="n">
        <v>0</v>
      </c>
      <c r="N134" t="n">
        <v>0</v>
      </c>
      <c r="O134" t="n">
        <v>1</v>
      </c>
      <c r="P134" t="n">
        <v>0</v>
      </c>
      <c r="Q134" t="n">
        <v>1</v>
      </c>
      <c r="R134" s="2" t="inlineStr">
        <is>
          <t>Skogsfru</t>
        </is>
      </c>
      <c r="S134">
        <f>HYPERLINK("https://klasma.github.io/Logging_2281/artfynd/A 40123-2021 artfynd.xlsx", "A 40123-2021")</f>
        <v/>
      </c>
      <c r="T134">
        <f>HYPERLINK("https://klasma.github.io/Logging_2281/kartor/A 40123-2021 karta.png", "A 40123-2021")</f>
        <v/>
      </c>
      <c r="V134">
        <f>HYPERLINK("https://klasma.github.io/Logging_2281/klagomål/A 40123-2021 FSC-klagomål.docx", "A 40123-2021")</f>
        <v/>
      </c>
      <c r="W134">
        <f>HYPERLINK("https://klasma.github.io/Logging_2281/klagomålsmail/A 40123-2021 FSC-klagomål mail.docx", "A 40123-2021")</f>
        <v/>
      </c>
      <c r="X134">
        <f>HYPERLINK("https://klasma.github.io/Logging_2281/tillsyn/A 40123-2021 tillsynsbegäran.docx", "A 40123-2021")</f>
        <v/>
      </c>
      <c r="Y134">
        <f>HYPERLINK("https://klasma.github.io/Logging_2281/tillsynsmail/A 40123-2021 tillsynsbegäran mail.docx", "A 40123-2021")</f>
        <v/>
      </c>
    </row>
    <row r="135" ht="15" customHeight="1">
      <c r="A135" t="inlineStr">
        <is>
          <t>A 64922-2021</t>
        </is>
      </c>
      <c r="B135" s="1" t="n">
        <v>44512</v>
      </c>
      <c r="C135" s="1" t="n">
        <v>45692</v>
      </c>
      <c r="D135" t="inlineStr">
        <is>
          <t>VÄSTERNORRLANDS LÄN</t>
        </is>
      </c>
      <c r="E135" t="inlineStr">
        <is>
          <t>SUNDSVALL</t>
        </is>
      </c>
      <c r="F135" t="inlineStr">
        <is>
          <t>Kommuner</t>
        </is>
      </c>
      <c r="G135" t="n">
        <v>1.5</v>
      </c>
      <c r="H135" t="n">
        <v>1</v>
      </c>
      <c r="I135" t="n">
        <v>0</v>
      </c>
      <c r="J135" t="n">
        <v>0</v>
      </c>
      <c r="K135" t="n">
        <v>0</v>
      </c>
      <c r="L135" t="n">
        <v>0</v>
      </c>
      <c r="M135" t="n">
        <v>0</v>
      </c>
      <c r="N135" t="n">
        <v>0</v>
      </c>
      <c r="O135" t="n">
        <v>0</v>
      </c>
      <c r="P135" t="n">
        <v>0</v>
      </c>
      <c r="Q135" t="n">
        <v>1</v>
      </c>
      <c r="R135" s="2" t="inlineStr">
        <is>
          <t>Näktergal</t>
        </is>
      </c>
      <c r="S135">
        <f>HYPERLINK("https://klasma.github.io/Logging_2281/artfynd/A 64922-2021 artfynd.xlsx", "A 64922-2021")</f>
        <v/>
      </c>
      <c r="T135">
        <f>HYPERLINK("https://klasma.github.io/Logging_2281/kartor/A 64922-2021 karta.png", "A 64922-2021")</f>
        <v/>
      </c>
      <c r="V135">
        <f>HYPERLINK("https://klasma.github.io/Logging_2281/klagomål/A 64922-2021 FSC-klagomål.docx", "A 64922-2021")</f>
        <v/>
      </c>
      <c r="W135">
        <f>HYPERLINK("https://klasma.github.io/Logging_2281/klagomålsmail/A 64922-2021 FSC-klagomål mail.docx", "A 64922-2021")</f>
        <v/>
      </c>
      <c r="X135">
        <f>HYPERLINK("https://klasma.github.io/Logging_2281/tillsyn/A 64922-2021 tillsynsbegäran.docx", "A 64922-2021")</f>
        <v/>
      </c>
      <c r="Y135">
        <f>HYPERLINK("https://klasma.github.io/Logging_2281/tillsynsmail/A 64922-2021 tillsynsbegäran mail.docx", "A 64922-2021")</f>
        <v/>
      </c>
      <c r="Z135">
        <f>HYPERLINK("https://klasma.github.io/Logging_2281/fåglar/A 64922-2021 prioriterade fågelarter.docx", "A 64922-2021")</f>
        <v/>
      </c>
    </row>
    <row r="136" ht="15" customHeight="1">
      <c r="A136" t="inlineStr">
        <is>
          <t>A 3008-2022</t>
        </is>
      </c>
      <c r="B136" s="1" t="n">
        <v>44581</v>
      </c>
      <c r="C136" s="1" t="n">
        <v>45692</v>
      </c>
      <c r="D136" t="inlineStr">
        <is>
          <t>VÄSTERNORRLANDS LÄN</t>
        </is>
      </c>
      <c r="E136" t="inlineStr">
        <is>
          <t>SUNDSVALL</t>
        </is>
      </c>
      <c r="G136" t="n">
        <v>1</v>
      </c>
      <c r="H136" t="n">
        <v>0</v>
      </c>
      <c r="I136" t="n">
        <v>0</v>
      </c>
      <c r="J136" t="n">
        <v>1</v>
      </c>
      <c r="K136" t="n">
        <v>0</v>
      </c>
      <c r="L136" t="n">
        <v>0</v>
      </c>
      <c r="M136" t="n">
        <v>0</v>
      </c>
      <c r="N136" t="n">
        <v>0</v>
      </c>
      <c r="O136" t="n">
        <v>1</v>
      </c>
      <c r="P136" t="n">
        <v>0</v>
      </c>
      <c r="Q136" t="n">
        <v>1</v>
      </c>
      <c r="R136" s="2" t="inlineStr">
        <is>
          <t>Fjällhumla</t>
        </is>
      </c>
      <c r="S136">
        <f>HYPERLINK("https://klasma.github.io/Logging_2281/artfynd/A 3008-2022 artfynd.xlsx", "A 3008-2022")</f>
        <v/>
      </c>
      <c r="T136">
        <f>HYPERLINK("https://klasma.github.io/Logging_2281/kartor/A 3008-2022 karta.png", "A 3008-2022")</f>
        <v/>
      </c>
      <c r="V136">
        <f>HYPERLINK("https://klasma.github.io/Logging_2281/klagomål/A 3008-2022 FSC-klagomål.docx", "A 3008-2022")</f>
        <v/>
      </c>
      <c r="W136">
        <f>HYPERLINK("https://klasma.github.io/Logging_2281/klagomålsmail/A 3008-2022 FSC-klagomål mail.docx", "A 3008-2022")</f>
        <v/>
      </c>
      <c r="X136">
        <f>HYPERLINK("https://klasma.github.io/Logging_2281/tillsyn/A 3008-2022 tillsynsbegäran.docx", "A 3008-2022")</f>
        <v/>
      </c>
      <c r="Y136">
        <f>HYPERLINK("https://klasma.github.io/Logging_2281/tillsynsmail/A 3008-2022 tillsynsbegäran mail.docx", "A 3008-2022")</f>
        <v/>
      </c>
    </row>
    <row r="137" ht="15" customHeight="1">
      <c r="A137" t="inlineStr">
        <is>
          <t>A 14676-2022</t>
        </is>
      </c>
      <c r="B137" s="1" t="n">
        <v>44655</v>
      </c>
      <c r="C137" s="1" t="n">
        <v>45692</v>
      </c>
      <c r="D137" t="inlineStr">
        <is>
          <t>VÄSTERNORRLANDS LÄN</t>
        </is>
      </c>
      <c r="E137" t="inlineStr">
        <is>
          <t>SUNDSVALL</t>
        </is>
      </c>
      <c r="G137" t="n">
        <v>10.1</v>
      </c>
      <c r="H137" t="n">
        <v>0</v>
      </c>
      <c r="I137" t="n">
        <v>0</v>
      </c>
      <c r="J137" t="n">
        <v>1</v>
      </c>
      <c r="K137" t="n">
        <v>0</v>
      </c>
      <c r="L137" t="n">
        <v>0</v>
      </c>
      <c r="M137" t="n">
        <v>0</v>
      </c>
      <c r="N137" t="n">
        <v>0</v>
      </c>
      <c r="O137" t="n">
        <v>1</v>
      </c>
      <c r="P137" t="n">
        <v>0</v>
      </c>
      <c r="Q137" t="n">
        <v>1</v>
      </c>
      <c r="R137" s="2" t="inlineStr">
        <is>
          <t>Granticka</t>
        </is>
      </c>
      <c r="S137">
        <f>HYPERLINK("https://klasma.github.io/Logging_2281/artfynd/A 14676-2022 artfynd.xlsx", "A 14676-2022")</f>
        <v/>
      </c>
      <c r="T137">
        <f>HYPERLINK("https://klasma.github.io/Logging_2281/kartor/A 14676-2022 karta.png", "A 14676-2022")</f>
        <v/>
      </c>
      <c r="V137">
        <f>HYPERLINK("https://klasma.github.io/Logging_2281/klagomål/A 14676-2022 FSC-klagomål.docx", "A 14676-2022")</f>
        <v/>
      </c>
      <c r="W137">
        <f>HYPERLINK("https://klasma.github.io/Logging_2281/klagomålsmail/A 14676-2022 FSC-klagomål mail.docx", "A 14676-2022")</f>
        <v/>
      </c>
      <c r="X137">
        <f>HYPERLINK("https://klasma.github.io/Logging_2281/tillsyn/A 14676-2022 tillsynsbegäran.docx", "A 14676-2022")</f>
        <v/>
      </c>
      <c r="Y137">
        <f>HYPERLINK("https://klasma.github.io/Logging_2281/tillsynsmail/A 14676-2022 tillsynsbegäran mail.docx", "A 14676-2022")</f>
        <v/>
      </c>
    </row>
    <row r="138" ht="15" customHeight="1">
      <c r="A138" t="inlineStr">
        <is>
          <t>A 19305-2022</t>
        </is>
      </c>
      <c r="B138" s="1" t="n">
        <v>44692</v>
      </c>
      <c r="C138" s="1" t="n">
        <v>45692</v>
      </c>
      <c r="D138" t="inlineStr">
        <is>
          <t>VÄSTERNORRLANDS LÄN</t>
        </is>
      </c>
      <c r="E138" t="inlineStr">
        <is>
          <t>SUNDSVALL</t>
        </is>
      </c>
      <c r="G138" t="n">
        <v>4.1</v>
      </c>
      <c r="H138" t="n">
        <v>0</v>
      </c>
      <c r="I138" t="n">
        <v>0</v>
      </c>
      <c r="J138" t="n">
        <v>1</v>
      </c>
      <c r="K138" t="n">
        <v>0</v>
      </c>
      <c r="L138" t="n">
        <v>0</v>
      </c>
      <c r="M138" t="n">
        <v>0</v>
      </c>
      <c r="N138" t="n">
        <v>0</v>
      </c>
      <c r="O138" t="n">
        <v>1</v>
      </c>
      <c r="P138" t="n">
        <v>0</v>
      </c>
      <c r="Q138" t="n">
        <v>1</v>
      </c>
      <c r="R138" s="2" t="inlineStr">
        <is>
          <t>Månlåsbräken</t>
        </is>
      </c>
      <c r="S138">
        <f>HYPERLINK("https://klasma.github.io/Logging_2281/artfynd/A 19305-2022 artfynd.xlsx", "A 19305-2022")</f>
        <v/>
      </c>
      <c r="T138">
        <f>HYPERLINK("https://klasma.github.io/Logging_2281/kartor/A 19305-2022 karta.png", "A 19305-2022")</f>
        <v/>
      </c>
      <c r="V138">
        <f>HYPERLINK("https://klasma.github.io/Logging_2281/klagomål/A 19305-2022 FSC-klagomål.docx", "A 19305-2022")</f>
        <v/>
      </c>
      <c r="W138">
        <f>HYPERLINK("https://klasma.github.io/Logging_2281/klagomålsmail/A 19305-2022 FSC-klagomål mail.docx", "A 19305-2022")</f>
        <v/>
      </c>
      <c r="X138">
        <f>HYPERLINK("https://klasma.github.io/Logging_2281/tillsyn/A 19305-2022 tillsynsbegäran.docx", "A 19305-2022")</f>
        <v/>
      </c>
      <c r="Y138">
        <f>HYPERLINK("https://klasma.github.io/Logging_2281/tillsynsmail/A 19305-2022 tillsynsbegäran mail.docx", "A 19305-2022")</f>
        <v/>
      </c>
    </row>
    <row r="139" ht="15" customHeight="1">
      <c r="A139" t="inlineStr">
        <is>
          <t>A 21663-2022</t>
        </is>
      </c>
      <c r="B139" s="1" t="n">
        <v>44707</v>
      </c>
      <c r="C139" s="1" t="n">
        <v>45692</v>
      </c>
      <c r="D139" t="inlineStr">
        <is>
          <t>VÄSTERNORRLANDS LÄN</t>
        </is>
      </c>
      <c r="E139" t="inlineStr">
        <is>
          <t>SUNDSVALL</t>
        </is>
      </c>
      <c r="F139" t="inlineStr">
        <is>
          <t>SCA</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HYPERLINK("https://klasma.github.io/Logging_2281/artfynd/A 21663-2022 artfynd.xlsx", "A 21663-2022")</f>
        <v/>
      </c>
      <c r="T139">
        <f>HYPERLINK("https://klasma.github.io/Logging_2281/kartor/A 21663-2022 karta.png", "A 21663-2022")</f>
        <v/>
      </c>
      <c r="V139">
        <f>HYPERLINK("https://klasma.github.io/Logging_2281/klagomål/A 21663-2022 FSC-klagomål.docx", "A 21663-2022")</f>
        <v/>
      </c>
      <c r="W139">
        <f>HYPERLINK("https://klasma.github.io/Logging_2281/klagomålsmail/A 21663-2022 FSC-klagomål mail.docx", "A 21663-2022")</f>
        <v/>
      </c>
      <c r="X139">
        <f>HYPERLINK("https://klasma.github.io/Logging_2281/tillsyn/A 21663-2022 tillsynsbegäran.docx", "A 21663-2022")</f>
        <v/>
      </c>
      <c r="Y139">
        <f>HYPERLINK("https://klasma.github.io/Logging_2281/tillsynsmail/A 21663-2022 tillsynsbegäran mail.docx", "A 21663-2022")</f>
        <v/>
      </c>
    </row>
    <row r="140" ht="15" customHeight="1">
      <c r="A140" t="inlineStr">
        <is>
          <t>A 22556-2022</t>
        </is>
      </c>
      <c r="B140" s="1" t="n">
        <v>44714</v>
      </c>
      <c r="C140" s="1" t="n">
        <v>45692</v>
      </c>
      <c r="D140" t="inlineStr">
        <is>
          <t>VÄSTERNORRLANDS LÄN</t>
        </is>
      </c>
      <c r="E140" t="inlineStr">
        <is>
          <t>SUNDSVALL</t>
        </is>
      </c>
      <c r="F140" t="inlineStr">
        <is>
          <t>SCA</t>
        </is>
      </c>
      <c r="G140" t="n">
        <v>1.9</v>
      </c>
      <c r="H140" t="n">
        <v>0</v>
      </c>
      <c r="I140" t="n">
        <v>0</v>
      </c>
      <c r="J140" t="n">
        <v>1</v>
      </c>
      <c r="K140" t="n">
        <v>0</v>
      </c>
      <c r="L140" t="n">
        <v>0</v>
      </c>
      <c r="M140" t="n">
        <v>0</v>
      </c>
      <c r="N140" t="n">
        <v>0</v>
      </c>
      <c r="O140" t="n">
        <v>1</v>
      </c>
      <c r="P140" t="n">
        <v>0</v>
      </c>
      <c r="Q140" t="n">
        <v>1</v>
      </c>
      <c r="R140" s="2" t="inlineStr">
        <is>
          <t>Garnlav</t>
        </is>
      </c>
      <c r="S140">
        <f>HYPERLINK("https://klasma.github.io/Logging_2281/artfynd/A 22556-2022 artfynd.xlsx", "A 22556-2022")</f>
        <v/>
      </c>
      <c r="T140">
        <f>HYPERLINK("https://klasma.github.io/Logging_2281/kartor/A 22556-2022 karta.png", "A 22556-2022")</f>
        <v/>
      </c>
      <c r="V140">
        <f>HYPERLINK("https://klasma.github.io/Logging_2281/klagomål/A 22556-2022 FSC-klagomål.docx", "A 22556-2022")</f>
        <v/>
      </c>
      <c r="W140">
        <f>HYPERLINK("https://klasma.github.io/Logging_2281/klagomålsmail/A 22556-2022 FSC-klagomål mail.docx", "A 22556-2022")</f>
        <v/>
      </c>
      <c r="X140">
        <f>HYPERLINK("https://klasma.github.io/Logging_2281/tillsyn/A 22556-2022 tillsynsbegäran.docx", "A 22556-2022")</f>
        <v/>
      </c>
      <c r="Y140">
        <f>HYPERLINK("https://klasma.github.io/Logging_2281/tillsynsmail/A 22556-2022 tillsynsbegäran mail.docx", "A 22556-2022")</f>
        <v/>
      </c>
    </row>
    <row r="141" ht="15" customHeight="1">
      <c r="A141" t="inlineStr">
        <is>
          <t>A 23711-2022</t>
        </is>
      </c>
      <c r="B141" s="1" t="n">
        <v>44722</v>
      </c>
      <c r="C141" s="1" t="n">
        <v>45692</v>
      </c>
      <c r="D141" t="inlineStr">
        <is>
          <t>VÄSTERNORRLANDS LÄN</t>
        </is>
      </c>
      <c r="E141" t="inlineStr">
        <is>
          <t>SUNDSVALL</t>
        </is>
      </c>
      <c r="F141" t="inlineStr">
        <is>
          <t>Holmen skog AB</t>
        </is>
      </c>
      <c r="G141" t="n">
        <v>2.8</v>
      </c>
      <c r="H141" t="n">
        <v>0</v>
      </c>
      <c r="I141" t="n">
        <v>0</v>
      </c>
      <c r="J141" t="n">
        <v>1</v>
      </c>
      <c r="K141" t="n">
        <v>0</v>
      </c>
      <c r="L141" t="n">
        <v>0</v>
      </c>
      <c r="M141" t="n">
        <v>0</v>
      </c>
      <c r="N141" t="n">
        <v>0</v>
      </c>
      <c r="O141" t="n">
        <v>1</v>
      </c>
      <c r="P141" t="n">
        <v>0</v>
      </c>
      <c r="Q141" t="n">
        <v>1</v>
      </c>
      <c r="R141" s="2" t="inlineStr">
        <is>
          <t>Garnlav</t>
        </is>
      </c>
      <c r="S141">
        <f>HYPERLINK("https://klasma.github.io/Logging_2281/artfynd/A 23711-2022 artfynd.xlsx", "A 23711-2022")</f>
        <v/>
      </c>
      <c r="T141">
        <f>HYPERLINK("https://klasma.github.io/Logging_2281/kartor/A 23711-2022 karta.png", "A 23711-2022")</f>
        <v/>
      </c>
      <c r="V141">
        <f>HYPERLINK("https://klasma.github.io/Logging_2281/klagomål/A 23711-2022 FSC-klagomål.docx", "A 23711-2022")</f>
        <v/>
      </c>
      <c r="W141">
        <f>HYPERLINK("https://klasma.github.io/Logging_2281/klagomålsmail/A 23711-2022 FSC-klagomål mail.docx", "A 23711-2022")</f>
        <v/>
      </c>
      <c r="X141">
        <f>HYPERLINK("https://klasma.github.io/Logging_2281/tillsyn/A 23711-2022 tillsynsbegäran.docx", "A 23711-2022")</f>
        <v/>
      </c>
      <c r="Y141">
        <f>HYPERLINK("https://klasma.github.io/Logging_2281/tillsynsmail/A 23711-2022 tillsynsbegäran mail.docx", "A 23711-2022")</f>
        <v/>
      </c>
    </row>
    <row r="142" ht="15" customHeight="1">
      <c r="A142" t="inlineStr">
        <is>
          <t>A 25250-2022</t>
        </is>
      </c>
      <c r="B142" s="1" t="n">
        <v>44729</v>
      </c>
      <c r="C142" s="1" t="n">
        <v>45692</v>
      </c>
      <c r="D142" t="inlineStr">
        <is>
          <t>VÄSTERNORRLANDS LÄN</t>
        </is>
      </c>
      <c r="E142" t="inlineStr">
        <is>
          <t>SUNDSVALL</t>
        </is>
      </c>
      <c r="F142" t="inlineStr">
        <is>
          <t>SCA</t>
        </is>
      </c>
      <c r="G142" t="n">
        <v>2.6</v>
      </c>
      <c r="H142" t="n">
        <v>0</v>
      </c>
      <c r="I142" t="n">
        <v>1</v>
      </c>
      <c r="J142" t="n">
        <v>0</v>
      </c>
      <c r="K142" t="n">
        <v>0</v>
      </c>
      <c r="L142" t="n">
        <v>0</v>
      </c>
      <c r="M142" t="n">
        <v>0</v>
      </c>
      <c r="N142" t="n">
        <v>0</v>
      </c>
      <c r="O142" t="n">
        <v>0</v>
      </c>
      <c r="P142" t="n">
        <v>0</v>
      </c>
      <c r="Q142" t="n">
        <v>1</v>
      </c>
      <c r="R142" s="2" t="inlineStr">
        <is>
          <t>Stor aspticka</t>
        </is>
      </c>
      <c r="S142">
        <f>HYPERLINK("https://klasma.github.io/Logging_2281/artfynd/A 25250-2022 artfynd.xlsx", "A 25250-2022")</f>
        <v/>
      </c>
      <c r="T142">
        <f>HYPERLINK("https://klasma.github.io/Logging_2281/kartor/A 25250-2022 karta.png", "A 25250-2022")</f>
        <v/>
      </c>
      <c r="V142">
        <f>HYPERLINK("https://klasma.github.io/Logging_2281/klagomål/A 25250-2022 FSC-klagomål.docx", "A 25250-2022")</f>
        <v/>
      </c>
      <c r="W142">
        <f>HYPERLINK("https://klasma.github.io/Logging_2281/klagomålsmail/A 25250-2022 FSC-klagomål mail.docx", "A 25250-2022")</f>
        <v/>
      </c>
      <c r="X142">
        <f>HYPERLINK("https://klasma.github.io/Logging_2281/tillsyn/A 25250-2022 tillsynsbegäran.docx", "A 25250-2022")</f>
        <v/>
      </c>
      <c r="Y142">
        <f>HYPERLINK("https://klasma.github.io/Logging_2281/tillsynsmail/A 25250-2022 tillsynsbegäran mail.docx", "A 25250-2022")</f>
        <v/>
      </c>
    </row>
    <row r="143" ht="15" customHeight="1">
      <c r="A143" t="inlineStr">
        <is>
          <t>A 28728-2022</t>
        </is>
      </c>
      <c r="B143" s="1" t="n">
        <v>44749</v>
      </c>
      <c r="C143" s="1" t="n">
        <v>45692</v>
      </c>
      <c r="D143" t="inlineStr">
        <is>
          <t>VÄSTERNORRLANDS LÄN</t>
        </is>
      </c>
      <c r="E143" t="inlineStr">
        <is>
          <t>SUNDSVALL</t>
        </is>
      </c>
      <c r="F143" t="inlineStr">
        <is>
          <t>SCA</t>
        </is>
      </c>
      <c r="G143" t="n">
        <v>3.4</v>
      </c>
      <c r="H143" t="n">
        <v>0</v>
      </c>
      <c r="I143" t="n">
        <v>0</v>
      </c>
      <c r="J143" t="n">
        <v>1</v>
      </c>
      <c r="K143" t="n">
        <v>0</v>
      </c>
      <c r="L143" t="n">
        <v>0</v>
      </c>
      <c r="M143" t="n">
        <v>0</v>
      </c>
      <c r="N143" t="n">
        <v>0</v>
      </c>
      <c r="O143" t="n">
        <v>1</v>
      </c>
      <c r="P143" t="n">
        <v>0</v>
      </c>
      <c r="Q143" t="n">
        <v>1</v>
      </c>
      <c r="R143" s="2" t="inlineStr">
        <is>
          <t>Garnlav</t>
        </is>
      </c>
      <c r="S143">
        <f>HYPERLINK("https://klasma.github.io/Logging_2281/artfynd/A 28728-2022 artfynd.xlsx", "A 28728-2022")</f>
        <v/>
      </c>
      <c r="T143">
        <f>HYPERLINK("https://klasma.github.io/Logging_2281/kartor/A 28728-2022 karta.png", "A 28728-2022")</f>
        <v/>
      </c>
      <c r="V143">
        <f>HYPERLINK("https://klasma.github.io/Logging_2281/klagomål/A 28728-2022 FSC-klagomål.docx", "A 28728-2022")</f>
        <v/>
      </c>
      <c r="W143">
        <f>HYPERLINK("https://klasma.github.io/Logging_2281/klagomålsmail/A 28728-2022 FSC-klagomål mail.docx", "A 28728-2022")</f>
        <v/>
      </c>
      <c r="X143">
        <f>HYPERLINK("https://klasma.github.io/Logging_2281/tillsyn/A 28728-2022 tillsynsbegäran.docx", "A 28728-2022")</f>
        <v/>
      </c>
      <c r="Y143">
        <f>HYPERLINK("https://klasma.github.io/Logging_2281/tillsynsmail/A 28728-2022 tillsynsbegäran mail.docx", "A 28728-2022")</f>
        <v/>
      </c>
    </row>
    <row r="144" ht="15" customHeight="1">
      <c r="A144" t="inlineStr">
        <is>
          <t>A 30933-2022</t>
        </is>
      </c>
      <c r="B144" s="1" t="n">
        <v>44768</v>
      </c>
      <c r="C144" s="1" t="n">
        <v>45692</v>
      </c>
      <c r="D144" t="inlineStr">
        <is>
          <t>VÄSTERNORRLANDS LÄN</t>
        </is>
      </c>
      <c r="E144" t="inlineStr">
        <is>
          <t>SUNDSVALL</t>
        </is>
      </c>
      <c r="F144" t="inlineStr">
        <is>
          <t>SCA</t>
        </is>
      </c>
      <c r="G144" t="n">
        <v>1.9</v>
      </c>
      <c r="H144" t="n">
        <v>1</v>
      </c>
      <c r="I144" t="n">
        <v>0</v>
      </c>
      <c r="J144" t="n">
        <v>1</v>
      </c>
      <c r="K144" t="n">
        <v>0</v>
      </c>
      <c r="L144" t="n">
        <v>0</v>
      </c>
      <c r="M144" t="n">
        <v>0</v>
      </c>
      <c r="N144" t="n">
        <v>0</v>
      </c>
      <c r="O144" t="n">
        <v>1</v>
      </c>
      <c r="P144" t="n">
        <v>0</v>
      </c>
      <c r="Q144" t="n">
        <v>1</v>
      </c>
      <c r="R144" s="2" t="inlineStr">
        <is>
          <t>Björktrast</t>
        </is>
      </c>
      <c r="S144">
        <f>HYPERLINK("https://klasma.github.io/Logging_2281/artfynd/A 30933-2022 artfynd.xlsx", "A 30933-2022")</f>
        <v/>
      </c>
      <c r="T144">
        <f>HYPERLINK("https://klasma.github.io/Logging_2281/kartor/A 30933-2022 karta.png", "A 30933-2022")</f>
        <v/>
      </c>
      <c r="V144">
        <f>HYPERLINK("https://klasma.github.io/Logging_2281/klagomål/A 30933-2022 FSC-klagomål.docx", "A 30933-2022")</f>
        <v/>
      </c>
      <c r="W144">
        <f>HYPERLINK("https://klasma.github.io/Logging_2281/klagomålsmail/A 30933-2022 FSC-klagomål mail.docx", "A 30933-2022")</f>
        <v/>
      </c>
      <c r="X144">
        <f>HYPERLINK("https://klasma.github.io/Logging_2281/tillsyn/A 30933-2022 tillsynsbegäran.docx", "A 30933-2022")</f>
        <v/>
      </c>
      <c r="Y144">
        <f>HYPERLINK("https://klasma.github.io/Logging_2281/tillsynsmail/A 30933-2022 tillsynsbegäran mail.docx", "A 30933-2022")</f>
        <v/>
      </c>
      <c r="Z144">
        <f>HYPERLINK("https://klasma.github.io/Logging_2281/fåglar/A 30933-2022 prioriterade fågelarter.docx", "A 30933-2022")</f>
        <v/>
      </c>
    </row>
    <row r="145" ht="15" customHeight="1">
      <c r="A145" t="inlineStr">
        <is>
          <t>A 47807-2022</t>
        </is>
      </c>
      <c r="B145" s="1" t="n">
        <v>44854</v>
      </c>
      <c r="C145" s="1" t="n">
        <v>45692</v>
      </c>
      <c r="D145" t="inlineStr">
        <is>
          <t>VÄSTERNORRLANDS LÄN</t>
        </is>
      </c>
      <c r="E145" t="inlineStr">
        <is>
          <t>SUNDSVALL</t>
        </is>
      </c>
      <c r="F145" t="inlineStr">
        <is>
          <t>SCA</t>
        </is>
      </c>
      <c r="G145" t="n">
        <v>9.9</v>
      </c>
      <c r="H145" t="n">
        <v>0</v>
      </c>
      <c r="I145" t="n">
        <v>0</v>
      </c>
      <c r="J145" t="n">
        <v>1</v>
      </c>
      <c r="K145" t="n">
        <v>0</v>
      </c>
      <c r="L145" t="n">
        <v>0</v>
      </c>
      <c r="M145" t="n">
        <v>0</v>
      </c>
      <c r="N145" t="n">
        <v>0</v>
      </c>
      <c r="O145" t="n">
        <v>1</v>
      </c>
      <c r="P145" t="n">
        <v>0</v>
      </c>
      <c r="Q145" t="n">
        <v>1</v>
      </c>
      <c r="R145" s="2" t="inlineStr">
        <is>
          <t>Garnlav</t>
        </is>
      </c>
      <c r="S145">
        <f>HYPERLINK("https://klasma.github.io/Logging_2281/artfynd/A 47807-2022 artfynd.xlsx", "A 47807-2022")</f>
        <v/>
      </c>
      <c r="T145">
        <f>HYPERLINK("https://klasma.github.io/Logging_2281/kartor/A 47807-2022 karta.png", "A 47807-2022")</f>
        <v/>
      </c>
      <c r="V145">
        <f>HYPERLINK("https://klasma.github.io/Logging_2281/klagomål/A 47807-2022 FSC-klagomål.docx", "A 47807-2022")</f>
        <v/>
      </c>
      <c r="W145">
        <f>HYPERLINK("https://klasma.github.io/Logging_2281/klagomålsmail/A 47807-2022 FSC-klagomål mail.docx", "A 47807-2022")</f>
        <v/>
      </c>
      <c r="X145">
        <f>HYPERLINK("https://klasma.github.io/Logging_2281/tillsyn/A 47807-2022 tillsynsbegäran.docx", "A 47807-2022")</f>
        <v/>
      </c>
      <c r="Y145">
        <f>HYPERLINK("https://klasma.github.io/Logging_2281/tillsynsmail/A 47807-2022 tillsynsbegäran mail.docx", "A 47807-2022")</f>
        <v/>
      </c>
    </row>
    <row r="146" ht="15" customHeight="1">
      <c r="A146" t="inlineStr">
        <is>
          <t>A 49850-2022</t>
        </is>
      </c>
      <c r="B146" s="1" t="n">
        <v>44862</v>
      </c>
      <c r="C146" s="1" t="n">
        <v>45692</v>
      </c>
      <c r="D146" t="inlineStr">
        <is>
          <t>VÄSTERNORRLANDS LÄN</t>
        </is>
      </c>
      <c r="E146" t="inlineStr">
        <is>
          <t>SUNDSVALL</t>
        </is>
      </c>
      <c r="F146" t="inlineStr">
        <is>
          <t>SCA</t>
        </is>
      </c>
      <c r="G146" t="n">
        <v>5.5</v>
      </c>
      <c r="H146" t="n">
        <v>0</v>
      </c>
      <c r="I146" t="n">
        <v>0</v>
      </c>
      <c r="J146" t="n">
        <v>0</v>
      </c>
      <c r="K146" t="n">
        <v>1</v>
      </c>
      <c r="L146" t="n">
        <v>0</v>
      </c>
      <c r="M146" t="n">
        <v>0</v>
      </c>
      <c r="N146" t="n">
        <v>0</v>
      </c>
      <c r="O146" t="n">
        <v>1</v>
      </c>
      <c r="P146" t="n">
        <v>1</v>
      </c>
      <c r="Q146" t="n">
        <v>1</v>
      </c>
      <c r="R146" s="2" t="inlineStr">
        <is>
          <t>Rynkskinn</t>
        </is>
      </c>
      <c r="S146">
        <f>HYPERLINK("https://klasma.github.io/Logging_2281/artfynd/A 49850-2022 artfynd.xlsx", "A 49850-2022")</f>
        <v/>
      </c>
      <c r="T146">
        <f>HYPERLINK("https://klasma.github.io/Logging_2281/kartor/A 49850-2022 karta.png", "A 49850-2022")</f>
        <v/>
      </c>
      <c r="V146">
        <f>HYPERLINK("https://klasma.github.io/Logging_2281/klagomål/A 49850-2022 FSC-klagomål.docx", "A 49850-2022")</f>
        <v/>
      </c>
      <c r="W146">
        <f>HYPERLINK("https://klasma.github.io/Logging_2281/klagomålsmail/A 49850-2022 FSC-klagomål mail.docx", "A 49850-2022")</f>
        <v/>
      </c>
      <c r="X146">
        <f>HYPERLINK("https://klasma.github.io/Logging_2281/tillsyn/A 49850-2022 tillsynsbegäran.docx", "A 49850-2022")</f>
        <v/>
      </c>
      <c r="Y146">
        <f>HYPERLINK("https://klasma.github.io/Logging_2281/tillsynsmail/A 49850-2022 tillsynsbegäran mail.docx", "A 49850-2022")</f>
        <v/>
      </c>
    </row>
    <row r="147" ht="15" customHeight="1">
      <c r="A147" t="inlineStr">
        <is>
          <t>A 57281-2022</t>
        </is>
      </c>
      <c r="B147" s="1" t="n">
        <v>44895</v>
      </c>
      <c r="C147" s="1" t="n">
        <v>45692</v>
      </c>
      <c r="D147" t="inlineStr">
        <is>
          <t>VÄSTERNORRLANDS LÄN</t>
        </is>
      </c>
      <c r="E147" t="inlineStr">
        <is>
          <t>SUNDSVALL</t>
        </is>
      </c>
      <c r="F147" t="inlineStr">
        <is>
          <t>Naturvårdsverket</t>
        </is>
      </c>
      <c r="G147" t="n">
        <v>9.300000000000001</v>
      </c>
      <c r="H147" t="n">
        <v>1</v>
      </c>
      <c r="I147" t="n">
        <v>0</v>
      </c>
      <c r="J147" t="n">
        <v>1</v>
      </c>
      <c r="K147" t="n">
        <v>0</v>
      </c>
      <c r="L147" t="n">
        <v>0</v>
      </c>
      <c r="M147" t="n">
        <v>0</v>
      </c>
      <c r="N147" t="n">
        <v>0</v>
      </c>
      <c r="O147" t="n">
        <v>1</v>
      </c>
      <c r="P147" t="n">
        <v>0</v>
      </c>
      <c r="Q147" t="n">
        <v>1</v>
      </c>
      <c r="R147" s="2" t="inlineStr">
        <is>
          <t>Tretåig hackspett</t>
        </is>
      </c>
      <c r="S147">
        <f>HYPERLINK("https://klasma.github.io/Logging_2281/artfynd/A 57281-2022 artfynd.xlsx", "A 57281-2022")</f>
        <v/>
      </c>
      <c r="T147">
        <f>HYPERLINK("https://klasma.github.io/Logging_2281/kartor/A 57281-2022 karta.png", "A 57281-2022")</f>
        <v/>
      </c>
      <c r="V147">
        <f>HYPERLINK("https://klasma.github.io/Logging_2281/klagomål/A 57281-2022 FSC-klagomål.docx", "A 57281-2022")</f>
        <v/>
      </c>
      <c r="W147">
        <f>HYPERLINK("https://klasma.github.io/Logging_2281/klagomålsmail/A 57281-2022 FSC-klagomål mail.docx", "A 57281-2022")</f>
        <v/>
      </c>
      <c r="X147">
        <f>HYPERLINK("https://klasma.github.io/Logging_2281/tillsyn/A 57281-2022 tillsynsbegäran.docx", "A 57281-2022")</f>
        <v/>
      </c>
      <c r="Y147">
        <f>HYPERLINK("https://klasma.github.io/Logging_2281/tillsynsmail/A 57281-2022 tillsynsbegäran mail.docx", "A 57281-2022")</f>
        <v/>
      </c>
      <c r="Z147">
        <f>HYPERLINK("https://klasma.github.io/Logging_2281/fåglar/A 57281-2022 prioriterade fågelarter.docx", "A 57281-2022")</f>
        <v/>
      </c>
    </row>
    <row r="148" ht="15" customHeight="1">
      <c r="A148" t="inlineStr">
        <is>
          <t>A 58186-2022</t>
        </is>
      </c>
      <c r="B148" s="1" t="n">
        <v>44900</v>
      </c>
      <c r="C148" s="1" t="n">
        <v>45692</v>
      </c>
      <c r="D148" t="inlineStr">
        <is>
          <t>VÄSTERNORRLANDS LÄN</t>
        </is>
      </c>
      <c r="E148" t="inlineStr">
        <is>
          <t>SUNDSVALL</t>
        </is>
      </c>
      <c r="F148" t="inlineStr">
        <is>
          <t>SCA</t>
        </is>
      </c>
      <c r="G148" t="n">
        <v>9.300000000000001</v>
      </c>
      <c r="H148" t="n">
        <v>1</v>
      </c>
      <c r="I148" t="n">
        <v>1</v>
      </c>
      <c r="J148" t="n">
        <v>0</v>
      </c>
      <c r="K148" t="n">
        <v>0</v>
      </c>
      <c r="L148" t="n">
        <v>0</v>
      </c>
      <c r="M148" t="n">
        <v>0</v>
      </c>
      <c r="N148" t="n">
        <v>0</v>
      </c>
      <c r="O148" t="n">
        <v>0</v>
      </c>
      <c r="P148" t="n">
        <v>0</v>
      </c>
      <c r="Q148" t="n">
        <v>1</v>
      </c>
      <c r="R148" s="2" t="inlineStr">
        <is>
          <t>Plattlummer</t>
        </is>
      </c>
      <c r="S148">
        <f>HYPERLINK("https://klasma.github.io/Logging_2281/artfynd/A 58186-2022 artfynd.xlsx", "A 58186-2022")</f>
        <v/>
      </c>
      <c r="T148">
        <f>HYPERLINK("https://klasma.github.io/Logging_2281/kartor/A 58186-2022 karta.png", "A 58186-2022")</f>
        <v/>
      </c>
      <c r="V148">
        <f>HYPERLINK("https://klasma.github.io/Logging_2281/klagomål/A 58186-2022 FSC-klagomål.docx", "A 58186-2022")</f>
        <v/>
      </c>
      <c r="W148">
        <f>HYPERLINK("https://klasma.github.io/Logging_2281/klagomålsmail/A 58186-2022 FSC-klagomål mail.docx", "A 58186-2022")</f>
        <v/>
      </c>
      <c r="X148">
        <f>HYPERLINK("https://klasma.github.io/Logging_2281/tillsyn/A 58186-2022 tillsynsbegäran.docx", "A 58186-2022")</f>
        <v/>
      </c>
      <c r="Y148">
        <f>HYPERLINK("https://klasma.github.io/Logging_2281/tillsynsmail/A 58186-2022 tillsynsbegäran mail.docx", "A 58186-2022")</f>
        <v/>
      </c>
    </row>
    <row r="149" ht="15" customHeight="1">
      <c r="A149" t="inlineStr">
        <is>
          <t>A 311-2023</t>
        </is>
      </c>
      <c r="B149" s="1" t="n">
        <v>44929</v>
      </c>
      <c r="C149" s="1" t="n">
        <v>45692</v>
      </c>
      <c r="D149" t="inlineStr">
        <is>
          <t>VÄSTERNORRLANDS LÄN</t>
        </is>
      </c>
      <c r="E149" t="inlineStr">
        <is>
          <t>SUNDSVALL</t>
        </is>
      </c>
      <c r="G149" t="n">
        <v>16.5</v>
      </c>
      <c r="H149" t="n">
        <v>1</v>
      </c>
      <c r="I149" t="n">
        <v>0</v>
      </c>
      <c r="J149" t="n">
        <v>0</v>
      </c>
      <c r="K149" t="n">
        <v>0</v>
      </c>
      <c r="L149" t="n">
        <v>0</v>
      </c>
      <c r="M149" t="n">
        <v>0</v>
      </c>
      <c r="N149" t="n">
        <v>0</v>
      </c>
      <c r="O149" t="n">
        <v>0</v>
      </c>
      <c r="P149" t="n">
        <v>0</v>
      </c>
      <c r="Q149" t="n">
        <v>1</v>
      </c>
      <c r="R149" s="2" t="inlineStr">
        <is>
          <t>Tjäder</t>
        </is>
      </c>
      <c r="S149">
        <f>HYPERLINK("https://klasma.github.io/Logging_2281/artfynd/A 311-2023 artfynd.xlsx", "A 311-2023")</f>
        <v/>
      </c>
      <c r="T149">
        <f>HYPERLINK("https://klasma.github.io/Logging_2281/kartor/A 311-2023 karta.png", "A 311-2023")</f>
        <v/>
      </c>
      <c r="V149">
        <f>HYPERLINK("https://klasma.github.io/Logging_2281/klagomål/A 311-2023 FSC-klagomål.docx", "A 311-2023")</f>
        <v/>
      </c>
      <c r="W149">
        <f>HYPERLINK("https://klasma.github.io/Logging_2281/klagomålsmail/A 311-2023 FSC-klagomål mail.docx", "A 311-2023")</f>
        <v/>
      </c>
      <c r="X149">
        <f>HYPERLINK("https://klasma.github.io/Logging_2281/tillsyn/A 311-2023 tillsynsbegäran.docx", "A 311-2023")</f>
        <v/>
      </c>
      <c r="Y149">
        <f>HYPERLINK("https://klasma.github.io/Logging_2281/tillsynsmail/A 311-2023 tillsynsbegäran mail.docx", "A 311-2023")</f>
        <v/>
      </c>
      <c r="Z149">
        <f>HYPERLINK("https://klasma.github.io/Logging_2281/fåglar/A 311-2023 prioriterade fågelarter.docx", "A 311-2023")</f>
        <v/>
      </c>
    </row>
    <row r="150" ht="15" customHeight="1">
      <c r="A150" t="inlineStr">
        <is>
          <t>A 1220-2023</t>
        </is>
      </c>
      <c r="B150" s="1" t="n">
        <v>44935</v>
      </c>
      <c r="C150" s="1" t="n">
        <v>45692</v>
      </c>
      <c r="D150" t="inlineStr">
        <is>
          <t>VÄSTERNORRLANDS LÄN</t>
        </is>
      </c>
      <c r="E150" t="inlineStr">
        <is>
          <t>SUNDSVALL</t>
        </is>
      </c>
      <c r="G150" t="n">
        <v>2.7</v>
      </c>
      <c r="H150" t="n">
        <v>1</v>
      </c>
      <c r="I150" t="n">
        <v>0</v>
      </c>
      <c r="J150" t="n">
        <v>1</v>
      </c>
      <c r="K150" t="n">
        <v>0</v>
      </c>
      <c r="L150" t="n">
        <v>0</v>
      </c>
      <c r="M150" t="n">
        <v>0</v>
      </c>
      <c r="N150" t="n">
        <v>0</v>
      </c>
      <c r="O150" t="n">
        <v>1</v>
      </c>
      <c r="P150" t="n">
        <v>0</v>
      </c>
      <c r="Q150" t="n">
        <v>1</v>
      </c>
      <c r="R150" s="2" t="inlineStr">
        <is>
          <t>Spillkråka</t>
        </is>
      </c>
      <c r="S150">
        <f>HYPERLINK("https://klasma.github.io/Logging_2281/artfynd/A 1220-2023 artfynd.xlsx", "A 1220-2023")</f>
        <v/>
      </c>
      <c r="T150">
        <f>HYPERLINK("https://klasma.github.io/Logging_2281/kartor/A 1220-2023 karta.png", "A 1220-2023")</f>
        <v/>
      </c>
      <c r="V150">
        <f>HYPERLINK("https://klasma.github.io/Logging_2281/klagomål/A 1220-2023 FSC-klagomål.docx", "A 1220-2023")</f>
        <v/>
      </c>
      <c r="W150">
        <f>HYPERLINK("https://klasma.github.io/Logging_2281/klagomålsmail/A 1220-2023 FSC-klagomål mail.docx", "A 1220-2023")</f>
        <v/>
      </c>
      <c r="X150">
        <f>HYPERLINK("https://klasma.github.io/Logging_2281/tillsyn/A 1220-2023 tillsynsbegäran.docx", "A 1220-2023")</f>
        <v/>
      </c>
      <c r="Y150">
        <f>HYPERLINK("https://klasma.github.io/Logging_2281/tillsynsmail/A 1220-2023 tillsynsbegäran mail.docx", "A 1220-2023")</f>
        <v/>
      </c>
      <c r="Z150">
        <f>HYPERLINK("https://klasma.github.io/Logging_2281/fåglar/A 1220-2023 prioriterade fågelarter.docx", "A 1220-2023")</f>
        <v/>
      </c>
    </row>
    <row r="151" ht="15" customHeight="1">
      <c r="A151" t="inlineStr">
        <is>
          <t>A 7524-2023</t>
        </is>
      </c>
      <c r="B151" s="1" t="n">
        <v>44971</v>
      </c>
      <c r="C151" s="1" t="n">
        <v>45692</v>
      </c>
      <c r="D151" t="inlineStr">
        <is>
          <t>VÄSTERNORRLANDS LÄN</t>
        </is>
      </c>
      <c r="E151" t="inlineStr">
        <is>
          <t>SUNDSVALL</t>
        </is>
      </c>
      <c r="F151" t="inlineStr">
        <is>
          <t>Naturvårdsverket</t>
        </is>
      </c>
      <c r="G151" t="n">
        <v>5.2</v>
      </c>
      <c r="H151" t="n">
        <v>0</v>
      </c>
      <c r="I151" t="n">
        <v>0</v>
      </c>
      <c r="J151" t="n">
        <v>0</v>
      </c>
      <c r="K151" t="n">
        <v>1</v>
      </c>
      <c r="L151" t="n">
        <v>0</v>
      </c>
      <c r="M151" t="n">
        <v>0</v>
      </c>
      <c r="N151" t="n">
        <v>0</v>
      </c>
      <c r="O151" t="n">
        <v>1</v>
      </c>
      <c r="P151" t="n">
        <v>1</v>
      </c>
      <c r="Q151" t="n">
        <v>1</v>
      </c>
      <c r="R151" s="2" t="inlineStr">
        <is>
          <t>Rynkskinn</t>
        </is>
      </c>
      <c r="S151">
        <f>HYPERLINK("https://klasma.github.io/Logging_2281/artfynd/A 7524-2023 artfynd.xlsx", "A 7524-2023")</f>
        <v/>
      </c>
      <c r="T151">
        <f>HYPERLINK("https://klasma.github.io/Logging_2281/kartor/A 7524-2023 karta.png", "A 7524-2023")</f>
        <v/>
      </c>
      <c r="V151">
        <f>HYPERLINK("https://klasma.github.io/Logging_2281/klagomål/A 7524-2023 FSC-klagomål.docx", "A 7524-2023")</f>
        <v/>
      </c>
      <c r="W151">
        <f>HYPERLINK("https://klasma.github.io/Logging_2281/klagomålsmail/A 7524-2023 FSC-klagomål mail.docx", "A 7524-2023")</f>
        <v/>
      </c>
      <c r="X151">
        <f>HYPERLINK("https://klasma.github.io/Logging_2281/tillsyn/A 7524-2023 tillsynsbegäran.docx", "A 7524-2023")</f>
        <v/>
      </c>
      <c r="Y151">
        <f>HYPERLINK("https://klasma.github.io/Logging_2281/tillsynsmail/A 7524-2023 tillsynsbegäran mail.docx", "A 7524-2023")</f>
        <v/>
      </c>
    </row>
    <row r="152" ht="15" customHeight="1">
      <c r="A152" t="inlineStr">
        <is>
          <t>A 8032-2023</t>
        </is>
      </c>
      <c r="B152" s="1" t="n">
        <v>44973</v>
      </c>
      <c r="C152" s="1" t="n">
        <v>45692</v>
      </c>
      <c r="D152" t="inlineStr">
        <is>
          <t>VÄSTERNORRLANDS LÄN</t>
        </is>
      </c>
      <c r="E152" t="inlineStr">
        <is>
          <t>SUNDSVALL</t>
        </is>
      </c>
      <c r="F152" t="inlineStr">
        <is>
          <t>SCA</t>
        </is>
      </c>
      <c r="G152" t="n">
        <v>8.6</v>
      </c>
      <c r="H152" t="n">
        <v>1</v>
      </c>
      <c r="I152" t="n">
        <v>0</v>
      </c>
      <c r="J152" t="n">
        <v>0</v>
      </c>
      <c r="K152" t="n">
        <v>0</v>
      </c>
      <c r="L152" t="n">
        <v>0</v>
      </c>
      <c r="M152" t="n">
        <v>0</v>
      </c>
      <c r="N152" t="n">
        <v>0</v>
      </c>
      <c r="O152" t="n">
        <v>0</v>
      </c>
      <c r="P152" t="n">
        <v>0</v>
      </c>
      <c r="Q152" t="n">
        <v>1</v>
      </c>
      <c r="R152" s="2" t="inlineStr">
        <is>
          <t>Vanlig padda</t>
        </is>
      </c>
      <c r="S152">
        <f>HYPERLINK("https://klasma.github.io/Logging_2281/artfynd/A 8032-2023 artfynd.xlsx", "A 8032-2023")</f>
        <v/>
      </c>
      <c r="T152">
        <f>HYPERLINK("https://klasma.github.io/Logging_2281/kartor/A 8032-2023 karta.png", "A 8032-2023")</f>
        <v/>
      </c>
      <c r="V152">
        <f>HYPERLINK("https://klasma.github.io/Logging_2281/klagomål/A 8032-2023 FSC-klagomål.docx", "A 8032-2023")</f>
        <v/>
      </c>
      <c r="W152">
        <f>HYPERLINK("https://klasma.github.io/Logging_2281/klagomålsmail/A 8032-2023 FSC-klagomål mail.docx", "A 8032-2023")</f>
        <v/>
      </c>
      <c r="X152">
        <f>HYPERLINK("https://klasma.github.io/Logging_2281/tillsyn/A 8032-2023 tillsynsbegäran.docx", "A 8032-2023")</f>
        <v/>
      </c>
      <c r="Y152">
        <f>HYPERLINK("https://klasma.github.io/Logging_2281/tillsynsmail/A 8032-2023 tillsynsbegäran mail.docx", "A 8032-2023")</f>
        <v/>
      </c>
    </row>
    <row r="153" ht="15" customHeight="1">
      <c r="A153" t="inlineStr">
        <is>
          <t>A 10774-2023</t>
        </is>
      </c>
      <c r="B153" s="1" t="n">
        <v>44988</v>
      </c>
      <c r="C153" s="1" t="n">
        <v>45692</v>
      </c>
      <c r="D153" t="inlineStr">
        <is>
          <t>VÄSTERNORRLANDS LÄN</t>
        </is>
      </c>
      <c r="E153" t="inlineStr">
        <is>
          <t>SUNDSVALL</t>
        </is>
      </c>
      <c r="F153" t="inlineStr">
        <is>
          <t>SCA</t>
        </is>
      </c>
      <c r="G153" t="n">
        <v>2</v>
      </c>
      <c r="H153" t="n">
        <v>1</v>
      </c>
      <c r="I153" t="n">
        <v>0</v>
      </c>
      <c r="J153" t="n">
        <v>1</v>
      </c>
      <c r="K153" t="n">
        <v>0</v>
      </c>
      <c r="L153" t="n">
        <v>0</v>
      </c>
      <c r="M153" t="n">
        <v>0</v>
      </c>
      <c r="N153" t="n">
        <v>0</v>
      </c>
      <c r="O153" t="n">
        <v>1</v>
      </c>
      <c r="P153" t="n">
        <v>0</v>
      </c>
      <c r="Q153" t="n">
        <v>1</v>
      </c>
      <c r="R153" s="2" t="inlineStr">
        <is>
          <t>Järpe</t>
        </is>
      </c>
      <c r="S153">
        <f>HYPERLINK("https://klasma.github.io/Logging_2281/artfynd/A 10774-2023 artfynd.xlsx", "A 10774-2023")</f>
        <v/>
      </c>
      <c r="T153">
        <f>HYPERLINK("https://klasma.github.io/Logging_2281/kartor/A 10774-2023 karta.png", "A 10774-2023")</f>
        <v/>
      </c>
      <c r="V153">
        <f>HYPERLINK("https://klasma.github.io/Logging_2281/klagomål/A 10774-2023 FSC-klagomål.docx", "A 10774-2023")</f>
        <v/>
      </c>
      <c r="W153">
        <f>HYPERLINK("https://klasma.github.io/Logging_2281/klagomålsmail/A 10774-2023 FSC-klagomål mail.docx", "A 10774-2023")</f>
        <v/>
      </c>
      <c r="X153">
        <f>HYPERLINK("https://klasma.github.io/Logging_2281/tillsyn/A 10774-2023 tillsynsbegäran.docx", "A 10774-2023")</f>
        <v/>
      </c>
      <c r="Y153">
        <f>HYPERLINK("https://klasma.github.io/Logging_2281/tillsynsmail/A 10774-2023 tillsynsbegäran mail.docx", "A 10774-2023")</f>
        <v/>
      </c>
      <c r="Z153">
        <f>HYPERLINK("https://klasma.github.io/Logging_2281/fåglar/A 10774-2023 prioriterade fågelarter.docx", "A 10774-2023")</f>
        <v/>
      </c>
    </row>
    <row r="154" ht="15" customHeight="1">
      <c r="A154" t="inlineStr">
        <is>
          <t>A 12049-2023</t>
        </is>
      </c>
      <c r="B154" s="1" t="n">
        <v>44996</v>
      </c>
      <c r="C154" s="1" t="n">
        <v>45692</v>
      </c>
      <c r="D154" t="inlineStr">
        <is>
          <t>VÄSTERNORRLANDS LÄN</t>
        </is>
      </c>
      <c r="E154" t="inlineStr">
        <is>
          <t>SUNDSVALL</t>
        </is>
      </c>
      <c r="F154" t="inlineStr">
        <is>
          <t>SCA</t>
        </is>
      </c>
      <c r="G154" t="n">
        <v>13</v>
      </c>
      <c r="H154" t="n">
        <v>1</v>
      </c>
      <c r="I154" t="n">
        <v>0</v>
      </c>
      <c r="J154" t="n">
        <v>0</v>
      </c>
      <c r="K154" t="n">
        <v>1</v>
      </c>
      <c r="L154" t="n">
        <v>0</v>
      </c>
      <c r="M154" t="n">
        <v>0</v>
      </c>
      <c r="N154" t="n">
        <v>0</v>
      </c>
      <c r="O154" t="n">
        <v>1</v>
      </c>
      <c r="P154" t="n">
        <v>1</v>
      </c>
      <c r="Q154" t="n">
        <v>1</v>
      </c>
      <c r="R154" s="2" t="inlineStr">
        <is>
          <t>Lappuggla</t>
        </is>
      </c>
      <c r="S154">
        <f>HYPERLINK("https://klasma.github.io/Logging_2281/artfynd/A 12049-2023 artfynd.xlsx", "A 12049-2023")</f>
        <v/>
      </c>
      <c r="T154">
        <f>HYPERLINK("https://klasma.github.io/Logging_2281/kartor/A 12049-2023 karta.png", "A 12049-2023")</f>
        <v/>
      </c>
      <c r="V154">
        <f>HYPERLINK("https://klasma.github.io/Logging_2281/klagomål/A 12049-2023 FSC-klagomål.docx", "A 12049-2023")</f>
        <v/>
      </c>
      <c r="W154">
        <f>HYPERLINK("https://klasma.github.io/Logging_2281/klagomålsmail/A 12049-2023 FSC-klagomål mail.docx", "A 12049-2023")</f>
        <v/>
      </c>
      <c r="X154">
        <f>HYPERLINK("https://klasma.github.io/Logging_2281/tillsyn/A 12049-2023 tillsynsbegäran.docx", "A 12049-2023")</f>
        <v/>
      </c>
      <c r="Y154">
        <f>HYPERLINK("https://klasma.github.io/Logging_2281/tillsynsmail/A 12049-2023 tillsynsbegäran mail.docx", "A 12049-2023")</f>
        <v/>
      </c>
      <c r="Z154">
        <f>HYPERLINK("https://klasma.github.io/Logging_2281/fåglar/A 12049-2023 prioriterade fågelarter.docx", "A 12049-2023")</f>
        <v/>
      </c>
    </row>
    <row r="155" ht="15" customHeight="1">
      <c r="A155" t="inlineStr">
        <is>
          <t>A 12058-2023</t>
        </is>
      </c>
      <c r="B155" s="1" t="n">
        <v>44995</v>
      </c>
      <c r="C155" s="1" t="n">
        <v>45692</v>
      </c>
      <c r="D155" t="inlineStr">
        <is>
          <t>VÄSTERNORRLANDS LÄN</t>
        </is>
      </c>
      <c r="E155" t="inlineStr">
        <is>
          <t>SUNDSVALL</t>
        </is>
      </c>
      <c r="F155" t="inlineStr">
        <is>
          <t>SCA</t>
        </is>
      </c>
      <c r="G155" t="n">
        <v>4</v>
      </c>
      <c r="H155" t="n">
        <v>1</v>
      </c>
      <c r="I155" t="n">
        <v>0</v>
      </c>
      <c r="J155" t="n">
        <v>1</v>
      </c>
      <c r="K155" t="n">
        <v>0</v>
      </c>
      <c r="L155" t="n">
        <v>0</v>
      </c>
      <c r="M155" t="n">
        <v>0</v>
      </c>
      <c r="N155" t="n">
        <v>0</v>
      </c>
      <c r="O155" t="n">
        <v>1</v>
      </c>
      <c r="P155" t="n">
        <v>0</v>
      </c>
      <c r="Q155" t="n">
        <v>1</v>
      </c>
      <c r="R155" s="2" t="inlineStr">
        <is>
          <t>Fiskmås</t>
        </is>
      </c>
      <c r="S155">
        <f>HYPERLINK("https://klasma.github.io/Logging_2281/artfynd/A 12058-2023 artfynd.xlsx", "A 12058-2023")</f>
        <v/>
      </c>
      <c r="T155">
        <f>HYPERLINK("https://klasma.github.io/Logging_2281/kartor/A 12058-2023 karta.png", "A 12058-2023")</f>
        <v/>
      </c>
      <c r="V155">
        <f>HYPERLINK("https://klasma.github.io/Logging_2281/klagomål/A 12058-2023 FSC-klagomål.docx", "A 12058-2023")</f>
        <v/>
      </c>
      <c r="W155">
        <f>HYPERLINK("https://klasma.github.io/Logging_2281/klagomålsmail/A 12058-2023 FSC-klagomål mail.docx", "A 12058-2023")</f>
        <v/>
      </c>
      <c r="X155">
        <f>HYPERLINK("https://klasma.github.io/Logging_2281/tillsyn/A 12058-2023 tillsynsbegäran.docx", "A 12058-2023")</f>
        <v/>
      </c>
      <c r="Y155">
        <f>HYPERLINK("https://klasma.github.io/Logging_2281/tillsynsmail/A 12058-2023 tillsynsbegäran mail.docx", "A 12058-2023")</f>
        <v/>
      </c>
    </row>
    <row r="156" ht="15" customHeight="1">
      <c r="A156" t="inlineStr">
        <is>
          <t>A 14665-2023</t>
        </is>
      </c>
      <c r="B156" s="1" t="n">
        <v>45014</v>
      </c>
      <c r="C156" s="1" t="n">
        <v>45692</v>
      </c>
      <c r="D156" t="inlineStr">
        <is>
          <t>VÄSTERNORRLANDS LÄN</t>
        </is>
      </c>
      <c r="E156" t="inlineStr">
        <is>
          <t>SUNDSVALL</t>
        </is>
      </c>
      <c r="G156" t="n">
        <v>1.8</v>
      </c>
      <c r="H156" t="n">
        <v>1</v>
      </c>
      <c r="I156" t="n">
        <v>0</v>
      </c>
      <c r="J156" t="n">
        <v>0</v>
      </c>
      <c r="K156" t="n">
        <v>0</v>
      </c>
      <c r="L156" t="n">
        <v>0</v>
      </c>
      <c r="M156" t="n">
        <v>0</v>
      </c>
      <c r="N156" t="n">
        <v>0</v>
      </c>
      <c r="O156" t="n">
        <v>0</v>
      </c>
      <c r="P156" t="n">
        <v>0</v>
      </c>
      <c r="Q156" t="n">
        <v>1</v>
      </c>
      <c r="R156" s="2" t="inlineStr">
        <is>
          <t>Trana</t>
        </is>
      </c>
      <c r="S156">
        <f>HYPERLINK("https://klasma.github.io/Logging_2281/artfynd/A 14665-2023 artfynd.xlsx", "A 14665-2023")</f>
        <v/>
      </c>
      <c r="T156">
        <f>HYPERLINK("https://klasma.github.io/Logging_2281/kartor/A 14665-2023 karta.png", "A 14665-2023")</f>
        <v/>
      </c>
      <c r="V156">
        <f>HYPERLINK("https://klasma.github.io/Logging_2281/klagomål/A 14665-2023 FSC-klagomål.docx", "A 14665-2023")</f>
        <v/>
      </c>
      <c r="W156">
        <f>HYPERLINK("https://klasma.github.io/Logging_2281/klagomålsmail/A 14665-2023 FSC-klagomål mail.docx", "A 14665-2023")</f>
        <v/>
      </c>
      <c r="X156">
        <f>HYPERLINK("https://klasma.github.io/Logging_2281/tillsyn/A 14665-2023 tillsynsbegäran.docx", "A 14665-2023")</f>
        <v/>
      </c>
      <c r="Y156">
        <f>HYPERLINK("https://klasma.github.io/Logging_2281/tillsynsmail/A 14665-2023 tillsynsbegäran mail.docx", "A 14665-2023")</f>
        <v/>
      </c>
      <c r="Z156">
        <f>HYPERLINK("https://klasma.github.io/Logging_2281/fåglar/A 14665-2023 prioriterade fågelarter.docx", "A 14665-2023")</f>
        <v/>
      </c>
    </row>
    <row r="157" ht="15" customHeight="1">
      <c r="A157" t="inlineStr">
        <is>
          <t>A 15346-2023</t>
        </is>
      </c>
      <c r="B157" s="1" t="n">
        <v>45016</v>
      </c>
      <c r="C157" s="1" t="n">
        <v>45692</v>
      </c>
      <c r="D157" t="inlineStr">
        <is>
          <t>VÄSTERNORRLANDS LÄN</t>
        </is>
      </c>
      <c r="E157" t="inlineStr">
        <is>
          <t>SUNDSVALL</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HYPERLINK("https://klasma.github.io/Logging_2281/artfynd/A 15346-2023 artfynd.xlsx", "A 15346-2023")</f>
        <v/>
      </c>
      <c r="T157">
        <f>HYPERLINK("https://klasma.github.io/Logging_2281/kartor/A 15346-2023 karta.png", "A 15346-2023")</f>
        <v/>
      </c>
      <c r="V157">
        <f>HYPERLINK("https://klasma.github.io/Logging_2281/klagomål/A 15346-2023 FSC-klagomål.docx", "A 15346-2023")</f>
        <v/>
      </c>
      <c r="W157">
        <f>HYPERLINK("https://klasma.github.io/Logging_2281/klagomålsmail/A 15346-2023 FSC-klagomål mail.docx", "A 15346-2023")</f>
        <v/>
      </c>
      <c r="X157">
        <f>HYPERLINK("https://klasma.github.io/Logging_2281/tillsyn/A 15346-2023 tillsynsbegäran.docx", "A 15346-2023")</f>
        <v/>
      </c>
      <c r="Y157">
        <f>HYPERLINK("https://klasma.github.io/Logging_2281/tillsynsmail/A 15346-2023 tillsynsbegäran mail.docx", "A 15346-2023")</f>
        <v/>
      </c>
      <c r="Z157">
        <f>HYPERLINK("https://klasma.github.io/Logging_2281/fåglar/A 15346-2023 prioriterade fågelarter.docx", "A 15346-2023")</f>
        <v/>
      </c>
    </row>
    <row r="158" ht="15" customHeight="1">
      <c r="A158" t="inlineStr">
        <is>
          <t>A 17772-2023</t>
        </is>
      </c>
      <c r="B158" s="1" t="n">
        <v>45036</v>
      </c>
      <c r="C158" s="1" t="n">
        <v>45692</v>
      </c>
      <c r="D158" t="inlineStr">
        <is>
          <t>VÄSTERNORRLANDS LÄN</t>
        </is>
      </c>
      <c r="E158" t="inlineStr">
        <is>
          <t>SUNDSVALL</t>
        </is>
      </c>
      <c r="G158" t="n">
        <v>4.2</v>
      </c>
      <c r="H158" t="n">
        <v>0</v>
      </c>
      <c r="I158" t="n">
        <v>0</v>
      </c>
      <c r="J158" t="n">
        <v>1</v>
      </c>
      <c r="K158" t="n">
        <v>0</v>
      </c>
      <c r="L158" t="n">
        <v>0</v>
      </c>
      <c r="M158" t="n">
        <v>0</v>
      </c>
      <c r="N158" t="n">
        <v>0</v>
      </c>
      <c r="O158" t="n">
        <v>1</v>
      </c>
      <c r="P158" t="n">
        <v>0</v>
      </c>
      <c r="Q158" t="n">
        <v>1</v>
      </c>
      <c r="R158" s="2" t="inlineStr">
        <is>
          <t>Garnlav</t>
        </is>
      </c>
      <c r="S158">
        <f>HYPERLINK("https://klasma.github.io/Logging_2281/artfynd/A 17772-2023 artfynd.xlsx", "A 17772-2023")</f>
        <v/>
      </c>
      <c r="T158">
        <f>HYPERLINK("https://klasma.github.io/Logging_2281/kartor/A 17772-2023 karta.png", "A 17772-2023")</f>
        <v/>
      </c>
      <c r="V158">
        <f>HYPERLINK("https://klasma.github.io/Logging_2281/klagomål/A 17772-2023 FSC-klagomål.docx", "A 17772-2023")</f>
        <v/>
      </c>
      <c r="W158">
        <f>HYPERLINK("https://klasma.github.io/Logging_2281/klagomålsmail/A 17772-2023 FSC-klagomål mail.docx", "A 17772-2023")</f>
        <v/>
      </c>
      <c r="X158">
        <f>HYPERLINK("https://klasma.github.io/Logging_2281/tillsyn/A 17772-2023 tillsynsbegäran.docx", "A 17772-2023")</f>
        <v/>
      </c>
      <c r="Y158">
        <f>HYPERLINK("https://klasma.github.io/Logging_2281/tillsynsmail/A 17772-2023 tillsynsbegäran mail.docx", "A 17772-2023")</f>
        <v/>
      </c>
    </row>
    <row r="159" ht="15" customHeight="1">
      <c r="A159" t="inlineStr">
        <is>
          <t>A 19441-2023</t>
        </is>
      </c>
      <c r="B159" s="1" t="n">
        <v>45049</v>
      </c>
      <c r="C159" s="1" t="n">
        <v>45692</v>
      </c>
      <c r="D159" t="inlineStr">
        <is>
          <t>VÄSTERNORRLANDS LÄN</t>
        </is>
      </c>
      <c r="E159" t="inlineStr">
        <is>
          <t>SUNDSVALL</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HYPERLINK("https://klasma.github.io/Logging_2281/artfynd/A 19441-2023 artfynd.xlsx", "A 19441-2023")</f>
        <v/>
      </c>
      <c r="T159">
        <f>HYPERLINK("https://klasma.github.io/Logging_2281/kartor/A 19441-2023 karta.png", "A 19441-2023")</f>
        <v/>
      </c>
      <c r="V159">
        <f>HYPERLINK("https://klasma.github.io/Logging_2281/klagomål/A 19441-2023 FSC-klagomål.docx", "A 19441-2023")</f>
        <v/>
      </c>
      <c r="W159">
        <f>HYPERLINK("https://klasma.github.io/Logging_2281/klagomålsmail/A 19441-2023 FSC-klagomål mail.docx", "A 19441-2023")</f>
        <v/>
      </c>
      <c r="X159">
        <f>HYPERLINK("https://klasma.github.io/Logging_2281/tillsyn/A 19441-2023 tillsynsbegäran.docx", "A 19441-2023")</f>
        <v/>
      </c>
      <c r="Y159">
        <f>HYPERLINK("https://klasma.github.io/Logging_2281/tillsynsmail/A 19441-2023 tillsynsbegäran mail.docx", "A 19441-2023")</f>
        <v/>
      </c>
    </row>
    <row r="160" ht="15" customHeight="1">
      <c r="A160" t="inlineStr">
        <is>
          <t>A 22227-2023</t>
        </is>
      </c>
      <c r="B160" s="1" t="n">
        <v>45069</v>
      </c>
      <c r="C160" s="1" t="n">
        <v>45692</v>
      </c>
      <c r="D160" t="inlineStr">
        <is>
          <t>VÄSTERNORRLANDS LÄN</t>
        </is>
      </c>
      <c r="E160" t="inlineStr">
        <is>
          <t>SUNDSVALL</t>
        </is>
      </c>
      <c r="F160" t="inlineStr">
        <is>
          <t>Naturvårdsverket</t>
        </is>
      </c>
      <c r="G160" t="n">
        <v>6.7</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22227-2023 artfynd.xlsx", "A 22227-2023")</f>
        <v/>
      </c>
      <c r="T160">
        <f>HYPERLINK("https://klasma.github.io/Logging_2281/kartor/A 22227-2023 karta.png", "A 22227-2023")</f>
        <v/>
      </c>
      <c r="V160">
        <f>HYPERLINK("https://klasma.github.io/Logging_2281/klagomål/A 22227-2023 FSC-klagomål.docx", "A 22227-2023")</f>
        <v/>
      </c>
      <c r="W160">
        <f>HYPERLINK("https://klasma.github.io/Logging_2281/klagomålsmail/A 22227-2023 FSC-klagomål mail.docx", "A 22227-2023")</f>
        <v/>
      </c>
      <c r="X160">
        <f>HYPERLINK("https://klasma.github.io/Logging_2281/tillsyn/A 22227-2023 tillsynsbegäran.docx", "A 22227-2023")</f>
        <v/>
      </c>
      <c r="Y160">
        <f>HYPERLINK("https://klasma.github.io/Logging_2281/tillsynsmail/A 22227-2023 tillsynsbegäran mail.docx", "A 22227-2023")</f>
        <v/>
      </c>
      <c r="Z160">
        <f>HYPERLINK("https://klasma.github.io/Logging_2281/fåglar/A 22227-2023 prioriterade fågelarter.docx", "A 22227-2023")</f>
        <v/>
      </c>
    </row>
    <row r="161" ht="15" customHeight="1">
      <c r="A161" t="inlineStr">
        <is>
          <t>A 28008-2023</t>
        </is>
      </c>
      <c r="B161" s="1" t="n">
        <v>45098</v>
      </c>
      <c r="C161" s="1" t="n">
        <v>45692</v>
      </c>
      <c r="D161" t="inlineStr">
        <is>
          <t>VÄSTERNORRLANDS LÄN</t>
        </is>
      </c>
      <c r="E161" t="inlineStr">
        <is>
          <t>SUNDSVALL</t>
        </is>
      </c>
      <c r="F161" t="inlineStr">
        <is>
          <t>SCA</t>
        </is>
      </c>
      <c r="G161" t="n">
        <v>6.4</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28008-2023 artfynd.xlsx", "A 28008-2023")</f>
        <v/>
      </c>
      <c r="T161">
        <f>HYPERLINK("https://klasma.github.io/Logging_2281/kartor/A 28008-2023 karta.png", "A 28008-2023")</f>
        <v/>
      </c>
      <c r="V161">
        <f>HYPERLINK("https://klasma.github.io/Logging_2281/klagomål/A 28008-2023 FSC-klagomål.docx", "A 28008-2023")</f>
        <v/>
      </c>
      <c r="W161">
        <f>HYPERLINK("https://klasma.github.io/Logging_2281/klagomålsmail/A 28008-2023 FSC-klagomål mail.docx", "A 28008-2023")</f>
        <v/>
      </c>
      <c r="X161">
        <f>HYPERLINK("https://klasma.github.io/Logging_2281/tillsyn/A 28008-2023 tillsynsbegäran.docx", "A 28008-2023")</f>
        <v/>
      </c>
      <c r="Y161">
        <f>HYPERLINK("https://klasma.github.io/Logging_2281/tillsynsmail/A 28008-2023 tillsynsbegäran mail.docx", "A 28008-2023")</f>
        <v/>
      </c>
      <c r="Z161">
        <f>HYPERLINK("https://klasma.github.io/Logging_2281/fåglar/A 28008-2023 prioriterade fågelarter.docx", "A 28008-2023")</f>
        <v/>
      </c>
    </row>
    <row r="162" ht="15" customHeight="1">
      <c r="A162" t="inlineStr">
        <is>
          <t>A 32077-2023</t>
        </is>
      </c>
      <c r="B162" s="1" t="n">
        <v>45107</v>
      </c>
      <c r="C162" s="1" t="n">
        <v>45692</v>
      </c>
      <c r="D162" t="inlineStr">
        <is>
          <t>VÄSTERNORRLANDS LÄN</t>
        </is>
      </c>
      <c r="E162" t="inlineStr">
        <is>
          <t>SUNDSVALL</t>
        </is>
      </c>
      <c r="G162" t="n">
        <v>5.3</v>
      </c>
      <c r="H162" t="n">
        <v>0</v>
      </c>
      <c r="I162" t="n">
        <v>0</v>
      </c>
      <c r="J162" t="n">
        <v>1</v>
      </c>
      <c r="K162" t="n">
        <v>0</v>
      </c>
      <c r="L162" t="n">
        <v>0</v>
      </c>
      <c r="M162" t="n">
        <v>0</v>
      </c>
      <c r="N162" t="n">
        <v>0</v>
      </c>
      <c r="O162" t="n">
        <v>1</v>
      </c>
      <c r="P162" t="n">
        <v>0</v>
      </c>
      <c r="Q162" t="n">
        <v>1</v>
      </c>
      <c r="R162" s="2" t="inlineStr">
        <is>
          <t>Garnlav</t>
        </is>
      </c>
      <c r="S162">
        <f>HYPERLINK("https://klasma.github.io/Logging_2281/artfynd/A 32077-2023 artfynd.xlsx", "A 32077-2023")</f>
        <v/>
      </c>
      <c r="T162">
        <f>HYPERLINK("https://klasma.github.io/Logging_2281/kartor/A 32077-2023 karta.png", "A 32077-2023")</f>
        <v/>
      </c>
      <c r="V162">
        <f>HYPERLINK("https://klasma.github.io/Logging_2281/klagomål/A 32077-2023 FSC-klagomål.docx", "A 32077-2023")</f>
        <v/>
      </c>
      <c r="W162">
        <f>HYPERLINK("https://klasma.github.io/Logging_2281/klagomålsmail/A 32077-2023 FSC-klagomål mail.docx", "A 32077-2023")</f>
        <v/>
      </c>
      <c r="X162">
        <f>HYPERLINK("https://klasma.github.io/Logging_2281/tillsyn/A 32077-2023 tillsynsbegäran.docx", "A 32077-2023")</f>
        <v/>
      </c>
      <c r="Y162">
        <f>HYPERLINK("https://klasma.github.io/Logging_2281/tillsynsmail/A 32077-2023 tillsynsbegäran mail.docx", "A 32077-2023")</f>
        <v/>
      </c>
    </row>
    <row r="163" ht="15" customHeight="1">
      <c r="A163" t="inlineStr">
        <is>
          <t>A 30837-2023</t>
        </is>
      </c>
      <c r="B163" s="1" t="n">
        <v>45112</v>
      </c>
      <c r="C163" s="1" t="n">
        <v>45692</v>
      </c>
      <c r="D163" t="inlineStr">
        <is>
          <t>VÄSTERNORRLANDS LÄN</t>
        </is>
      </c>
      <c r="E163" t="inlineStr">
        <is>
          <t>SUNDSVALL</t>
        </is>
      </c>
      <c r="F163" t="inlineStr">
        <is>
          <t>SCA</t>
        </is>
      </c>
      <c r="G163" t="n">
        <v>5.6</v>
      </c>
      <c r="H163" t="n">
        <v>0</v>
      </c>
      <c r="I163" t="n">
        <v>0</v>
      </c>
      <c r="J163" t="n">
        <v>1</v>
      </c>
      <c r="K163" t="n">
        <v>0</v>
      </c>
      <c r="L163" t="n">
        <v>0</v>
      </c>
      <c r="M163" t="n">
        <v>0</v>
      </c>
      <c r="N163" t="n">
        <v>0</v>
      </c>
      <c r="O163" t="n">
        <v>1</v>
      </c>
      <c r="P163" t="n">
        <v>0</v>
      </c>
      <c r="Q163" t="n">
        <v>1</v>
      </c>
      <c r="R163" s="2" t="inlineStr">
        <is>
          <t>Garnlav</t>
        </is>
      </c>
      <c r="S163">
        <f>HYPERLINK("https://klasma.github.io/Logging_2281/artfynd/A 30837-2023 artfynd.xlsx", "A 30837-2023")</f>
        <v/>
      </c>
      <c r="T163">
        <f>HYPERLINK("https://klasma.github.io/Logging_2281/kartor/A 30837-2023 karta.png", "A 30837-2023")</f>
        <v/>
      </c>
      <c r="V163">
        <f>HYPERLINK("https://klasma.github.io/Logging_2281/klagomål/A 30837-2023 FSC-klagomål.docx", "A 30837-2023")</f>
        <v/>
      </c>
      <c r="W163">
        <f>HYPERLINK("https://klasma.github.io/Logging_2281/klagomålsmail/A 30837-2023 FSC-klagomål mail.docx", "A 30837-2023")</f>
        <v/>
      </c>
      <c r="X163">
        <f>HYPERLINK("https://klasma.github.io/Logging_2281/tillsyn/A 30837-2023 tillsynsbegäran.docx", "A 30837-2023")</f>
        <v/>
      </c>
      <c r="Y163">
        <f>HYPERLINK("https://klasma.github.io/Logging_2281/tillsynsmail/A 30837-2023 tillsynsbegäran mail.docx", "A 30837-2023")</f>
        <v/>
      </c>
    </row>
    <row r="164" ht="15" customHeight="1">
      <c r="A164" t="inlineStr">
        <is>
          <t>A 30827-2023</t>
        </is>
      </c>
      <c r="B164" s="1" t="n">
        <v>45112</v>
      </c>
      <c r="C164" s="1" t="n">
        <v>45692</v>
      </c>
      <c r="D164" t="inlineStr">
        <is>
          <t>VÄSTERNORRLANDS LÄN</t>
        </is>
      </c>
      <c r="E164" t="inlineStr">
        <is>
          <t>SUNDSVALL</t>
        </is>
      </c>
      <c r="F164" t="inlineStr">
        <is>
          <t>SCA</t>
        </is>
      </c>
      <c r="G164" t="n">
        <v>21.9</v>
      </c>
      <c r="H164" t="n">
        <v>0</v>
      </c>
      <c r="I164" t="n">
        <v>1</v>
      </c>
      <c r="J164" t="n">
        <v>0</v>
      </c>
      <c r="K164" t="n">
        <v>0</v>
      </c>
      <c r="L164" t="n">
        <v>0</v>
      </c>
      <c r="M164" t="n">
        <v>0</v>
      </c>
      <c r="N164" t="n">
        <v>0</v>
      </c>
      <c r="O164" t="n">
        <v>0</v>
      </c>
      <c r="P164" t="n">
        <v>0</v>
      </c>
      <c r="Q164" t="n">
        <v>1</v>
      </c>
      <c r="R164" s="2" t="inlineStr">
        <is>
          <t>Dropptaggsvamp</t>
        </is>
      </c>
      <c r="S164">
        <f>HYPERLINK("https://klasma.github.io/Logging_2281/artfynd/A 30827-2023 artfynd.xlsx", "A 30827-2023")</f>
        <v/>
      </c>
      <c r="T164">
        <f>HYPERLINK("https://klasma.github.io/Logging_2281/kartor/A 30827-2023 karta.png", "A 30827-2023")</f>
        <v/>
      </c>
      <c r="V164">
        <f>HYPERLINK("https://klasma.github.io/Logging_2281/klagomål/A 30827-2023 FSC-klagomål.docx", "A 30827-2023")</f>
        <v/>
      </c>
      <c r="W164">
        <f>HYPERLINK("https://klasma.github.io/Logging_2281/klagomålsmail/A 30827-2023 FSC-klagomål mail.docx", "A 30827-2023")</f>
        <v/>
      </c>
      <c r="X164">
        <f>HYPERLINK("https://klasma.github.io/Logging_2281/tillsyn/A 30827-2023 tillsynsbegäran.docx", "A 30827-2023")</f>
        <v/>
      </c>
      <c r="Y164">
        <f>HYPERLINK("https://klasma.github.io/Logging_2281/tillsynsmail/A 30827-2023 tillsynsbegäran mail.docx", "A 30827-2023")</f>
        <v/>
      </c>
    </row>
    <row r="165" ht="15" customHeight="1">
      <c r="A165" t="inlineStr">
        <is>
          <t>A 35751-2023</t>
        </is>
      </c>
      <c r="B165" s="1" t="n">
        <v>45147</v>
      </c>
      <c r="C165" s="1" t="n">
        <v>45692</v>
      </c>
      <c r="D165" t="inlineStr">
        <is>
          <t>VÄSTERNORRLANDS LÄN</t>
        </is>
      </c>
      <c r="E165" t="inlineStr">
        <is>
          <t>SUNDSVALL</t>
        </is>
      </c>
      <c r="F165" t="inlineStr">
        <is>
          <t>SCA</t>
        </is>
      </c>
      <c r="G165" t="n">
        <v>5</v>
      </c>
      <c r="H165" t="n">
        <v>1</v>
      </c>
      <c r="I165" t="n">
        <v>0</v>
      </c>
      <c r="J165" t="n">
        <v>1</v>
      </c>
      <c r="K165" t="n">
        <v>0</v>
      </c>
      <c r="L165" t="n">
        <v>0</v>
      </c>
      <c r="M165" t="n">
        <v>0</v>
      </c>
      <c r="N165" t="n">
        <v>0</v>
      </c>
      <c r="O165" t="n">
        <v>1</v>
      </c>
      <c r="P165" t="n">
        <v>0</v>
      </c>
      <c r="Q165" t="n">
        <v>1</v>
      </c>
      <c r="R165" s="2" t="inlineStr">
        <is>
          <t>Nordfladdermus</t>
        </is>
      </c>
      <c r="S165">
        <f>HYPERLINK("https://klasma.github.io/Logging_2281/artfynd/A 35751-2023 artfynd.xlsx", "A 35751-2023")</f>
        <v/>
      </c>
      <c r="T165">
        <f>HYPERLINK("https://klasma.github.io/Logging_2281/kartor/A 35751-2023 karta.png", "A 35751-2023")</f>
        <v/>
      </c>
      <c r="V165">
        <f>HYPERLINK("https://klasma.github.io/Logging_2281/klagomål/A 35751-2023 FSC-klagomål.docx", "A 35751-2023")</f>
        <v/>
      </c>
      <c r="W165">
        <f>HYPERLINK("https://klasma.github.io/Logging_2281/klagomålsmail/A 35751-2023 FSC-klagomål mail.docx", "A 35751-2023")</f>
        <v/>
      </c>
      <c r="X165">
        <f>HYPERLINK("https://klasma.github.io/Logging_2281/tillsyn/A 35751-2023 tillsynsbegäran.docx", "A 35751-2023")</f>
        <v/>
      </c>
      <c r="Y165">
        <f>HYPERLINK("https://klasma.github.io/Logging_2281/tillsynsmail/A 35751-2023 tillsynsbegäran mail.docx", "A 35751-2023")</f>
        <v/>
      </c>
    </row>
    <row r="166" ht="15" customHeight="1">
      <c r="A166" t="inlineStr">
        <is>
          <t>A 43424-2023</t>
        </is>
      </c>
      <c r="B166" s="1" t="n">
        <v>45183</v>
      </c>
      <c r="C166" s="1" t="n">
        <v>45692</v>
      </c>
      <c r="D166" t="inlineStr">
        <is>
          <t>VÄSTERNORRLANDS LÄN</t>
        </is>
      </c>
      <c r="E166" t="inlineStr">
        <is>
          <t>SUNDSVALL</t>
        </is>
      </c>
      <c r="F166" t="inlineStr">
        <is>
          <t>SCA</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43424-2023 artfynd.xlsx", "A 43424-2023")</f>
        <v/>
      </c>
      <c r="T166">
        <f>HYPERLINK("https://klasma.github.io/Logging_2281/kartor/A 43424-2023 karta.png", "A 43424-2023")</f>
        <v/>
      </c>
      <c r="V166">
        <f>HYPERLINK("https://klasma.github.io/Logging_2281/klagomål/A 43424-2023 FSC-klagomål.docx", "A 43424-2023")</f>
        <v/>
      </c>
      <c r="W166">
        <f>HYPERLINK("https://klasma.github.io/Logging_2281/klagomålsmail/A 43424-2023 FSC-klagomål mail.docx", "A 43424-2023")</f>
        <v/>
      </c>
      <c r="X166">
        <f>HYPERLINK("https://klasma.github.io/Logging_2281/tillsyn/A 43424-2023 tillsynsbegäran.docx", "A 43424-2023")</f>
        <v/>
      </c>
      <c r="Y166">
        <f>HYPERLINK("https://klasma.github.io/Logging_2281/tillsynsmail/A 43424-2023 tillsynsbegäran mail.docx", "A 43424-2023")</f>
        <v/>
      </c>
    </row>
    <row r="167" ht="15" customHeight="1">
      <c r="A167" t="inlineStr">
        <is>
          <t>A 44193-2023</t>
        </is>
      </c>
      <c r="B167" s="1" t="n">
        <v>45188</v>
      </c>
      <c r="C167" s="1" t="n">
        <v>45692</v>
      </c>
      <c r="D167" t="inlineStr">
        <is>
          <t>VÄSTERNORRLANDS LÄN</t>
        </is>
      </c>
      <c r="E167" t="inlineStr">
        <is>
          <t>SUNDSVALL</t>
        </is>
      </c>
      <c r="F167" t="inlineStr">
        <is>
          <t>Holmen skog AB</t>
        </is>
      </c>
      <c r="G167" t="n">
        <v>15.1</v>
      </c>
      <c r="H167" t="n">
        <v>1</v>
      </c>
      <c r="I167" t="n">
        <v>0</v>
      </c>
      <c r="J167" t="n">
        <v>0</v>
      </c>
      <c r="K167" t="n">
        <v>0</v>
      </c>
      <c r="L167" t="n">
        <v>0</v>
      </c>
      <c r="M167" t="n">
        <v>0</v>
      </c>
      <c r="N167" t="n">
        <v>0</v>
      </c>
      <c r="O167" t="n">
        <v>0</v>
      </c>
      <c r="P167" t="n">
        <v>0</v>
      </c>
      <c r="Q167" t="n">
        <v>1</v>
      </c>
      <c r="R167" s="2" t="inlineStr">
        <is>
          <t>Tjäder</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46260-2023</t>
        </is>
      </c>
      <c r="B168" s="1" t="n">
        <v>45196</v>
      </c>
      <c r="C168" s="1" t="n">
        <v>45692</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47245-2023</t>
        </is>
      </c>
      <c r="B169" s="1" t="n">
        <v>45202</v>
      </c>
      <c r="C169" s="1" t="n">
        <v>45692</v>
      </c>
      <c r="D169" t="inlineStr">
        <is>
          <t>VÄSTERNORRLANDS LÄN</t>
        </is>
      </c>
      <c r="E169" t="inlineStr">
        <is>
          <t>SUNDSVALL</t>
        </is>
      </c>
      <c r="G169" t="n">
        <v>1.6</v>
      </c>
      <c r="H169" t="n">
        <v>1</v>
      </c>
      <c r="I169" t="n">
        <v>1</v>
      </c>
      <c r="J169" t="n">
        <v>0</v>
      </c>
      <c r="K169" t="n">
        <v>0</v>
      </c>
      <c r="L169" t="n">
        <v>0</v>
      </c>
      <c r="M169" t="n">
        <v>0</v>
      </c>
      <c r="N169" t="n">
        <v>0</v>
      </c>
      <c r="O169" t="n">
        <v>0</v>
      </c>
      <c r="P169" t="n">
        <v>0</v>
      </c>
      <c r="Q169" t="n">
        <v>1</v>
      </c>
      <c r="R169" s="2" t="inlineStr">
        <is>
          <t>Tvåblad</t>
        </is>
      </c>
      <c r="S169">
        <f>HYPERLINK("https://klasma.github.io/Logging_2281/artfynd/A 47245-2023 artfynd.xlsx", "A 47245-2023")</f>
        <v/>
      </c>
      <c r="T169">
        <f>HYPERLINK("https://klasma.github.io/Logging_2281/kartor/A 47245-2023 karta.png", "A 47245-2023")</f>
        <v/>
      </c>
      <c r="V169">
        <f>HYPERLINK("https://klasma.github.io/Logging_2281/klagomål/A 47245-2023 FSC-klagomål.docx", "A 47245-2023")</f>
        <v/>
      </c>
      <c r="W169">
        <f>HYPERLINK("https://klasma.github.io/Logging_2281/klagomålsmail/A 47245-2023 FSC-klagomål mail.docx", "A 47245-2023")</f>
        <v/>
      </c>
      <c r="X169">
        <f>HYPERLINK("https://klasma.github.io/Logging_2281/tillsyn/A 47245-2023 tillsynsbegäran.docx", "A 47245-2023")</f>
        <v/>
      </c>
      <c r="Y169">
        <f>HYPERLINK("https://klasma.github.io/Logging_2281/tillsynsmail/A 47245-2023 tillsynsbegäran mail.docx", "A 47245-2023")</f>
        <v/>
      </c>
    </row>
    <row r="170" ht="15" customHeight="1">
      <c r="A170" t="inlineStr">
        <is>
          <t>A 49863-2023</t>
        </is>
      </c>
      <c r="B170" s="1" t="n">
        <v>45212</v>
      </c>
      <c r="C170" s="1" t="n">
        <v>45692</v>
      </c>
      <c r="D170" t="inlineStr">
        <is>
          <t>VÄSTERNORRLANDS LÄN</t>
        </is>
      </c>
      <c r="E170" t="inlineStr">
        <is>
          <t>SUNDSVALL</t>
        </is>
      </c>
      <c r="F170" t="inlineStr">
        <is>
          <t>SCA</t>
        </is>
      </c>
      <c r="G170" t="n">
        <v>2.3</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49863-2023 artfynd.xlsx", "A 49863-2023")</f>
        <v/>
      </c>
      <c r="T170">
        <f>HYPERLINK("https://klasma.github.io/Logging_2281/kartor/A 49863-2023 karta.png", "A 49863-2023")</f>
        <v/>
      </c>
      <c r="V170">
        <f>HYPERLINK("https://klasma.github.io/Logging_2281/klagomål/A 49863-2023 FSC-klagomål.docx", "A 49863-2023")</f>
        <v/>
      </c>
      <c r="W170">
        <f>HYPERLINK("https://klasma.github.io/Logging_2281/klagomålsmail/A 49863-2023 FSC-klagomål mail.docx", "A 49863-2023")</f>
        <v/>
      </c>
      <c r="X170">
        <f>HYPERLINK("https://klasma.github.io/Logging_2281/tillsyn/A 49863-2023 tillsynsbegäran.docx", "A 49863-2023")</f>
        <v/>
      </c>
      <c r="Y170">
        <f>HYPERLINK("https://klasma.github.io/Logging_2281/tillsynsmail/A 49863-2023 tillsynsbegäran mail.docx", "A 49863-2023")</f>
        <v/>
      </c>
      <c r="Z170">
        <f>HYPERLINK("https://klasma.github.io/Logging_2281/fåglar/A 49863-2023 prioriterade fågelarter.docx", "A 49863-2023")</f>
        <v/>
      </c>
    </row>
    <row r="171" ht="15" customHeight="1">
      <c r="A171" t="inlineStr">
        <is>
          <t>A 54325-2023</t>
        </is>
      </c>
      <c r="B171" s="1" t="n">
        <v>45232</v>
      </c>
      <c r="C171" s="1" t="n">
        <v>45692</v>
      </c>
      <c r="D171" t="inlineStr">
        <is>
          <t>VÄSTERNORRLANDS LÄN</t>
        </is>
      </c>
      <c r="E171" t="inlineStr">
        <is>
          <t>SUNDSVALL</t>
        </is>
      </c>
      <c r="F171" t="inlineStr">
        <is>
          <t>SCA</t>
        </is>
      </c>
      <c r="G171" t="n">
        <v>5.7</v>
      </c>
      <c r="H171" t="n">
        <v>0</v>
      </c>
      <c r="I171" t="n">
        <v>0</v>
      </c>
      <c r="J171" t="n">
        <v>1</v>
      </c>
      <c r="K171" t="n">
        <v>0</v>
      </c>
      <c r="L171" t="n">
        <v>0</v>
      </c>
      <c r="M171" t="n">
        <v>0</v>
      </c>
      <c r="N171" t="n">
        <v>0</v>
      </c>
      <c r="O171" t="n">
        <v>1</v>
      </c>
      <c r="P171" t="n">
        <v>0</v>
      </c>
      <c r="Q171" t="n">
        <v>1</v>
      </c>
      <c r="R171" s="2" t="inlineStr">
        <is>
          <t>Igelkott</t>
        </is>
      </c>
      <c r="S171">
        <f>HYPERLINK("https://klasma.github.io/Logging_2281/artfynd/A 54325-2023 artfynd.xlsx", "A 54325-2023")</f>
        <v/>
      </c>
      <c r="T171">
        <f>HYPERLINK("https://klasma.github.io/Logging_2281/kartor/A 54325-2023 karta.png", "A 54325-2023")</f>
        <v/>
      </c>
      <c r="V171">
        <f>HYPERLINK("https://klasma.github.io/Logging_2281/klagomål/A 54325-2023 FSC-klagomål.docx", "A 54325-2023")</f>
        <v/>
      </c>
      <c r="W171">
        <f>HYPERLINK("https://klasma.github.io/Logging_2281/klagomålsmail/A 54325-2023 FSC-klagomål mail.docx", "A 54325-2023")</f>
        <v/>
      </c>
      <c r="X171">
        <f>HYPERLINK("https://klasma.github.io/Logging_2281/tillsyn/A 54325-2023 tillsynsbegäran.docx", "A 54325-2023")</f>
        <v/>
      </c>
      <c r="Y171">
        <f>HYPERLINK("https://klasma.github.io/Logging_2281/tillsynsmail/A 54325-2023 tillsynsbegäran mail.docx", "A 54325-2023")</f>
        <v/>
      </c>
    </row>
    <row r="172" ht="15" customHeight="1">
      <c r="A172" t="inlineStr">
        <is>
          <t>A 56698-2023</t>
        </is>
      </c>
      <c r="B172" s="1" t="n">
        <v>45244</v>
      </c>
      <c r="C172" s="1" t="n">
        <v>45692</v>
      </c>
      <c r="D172" t="inlineStr">
        <is>
          <t>VÄSTERNORRLANDS LÄN</t>
        </is>
      </c>
      <c r="E172" t="inlineStr">
        <is>
          <t>SUNDSVALL</t>
        </is>
      </c>
      <c r="F172" t="inlineStr">
        <is>
          <t>SCA</t>
        </is>
      </c>
      <c r="G172" t="n">
        <v>3.1</v>
      </c>
      <c r="H172" t="n">
        <v>0</v>
      </c>
      <c r="I172" t="n">
        <v>0</v>
      </c>
      <c r="J172" t="n">
        <v>1</v>
      </c>
      <c r="K172" t="n">
        <v>0</v>
      </c>
      <c r="L172" t="n">
        <v>0</v>
      </c>
      <c r="M172" t="n">
        <v>0</v>
      </c>
      <c r="N172" t="n">
        <v>0</v>
      </c>
      <c r="O172" t="n">
        <v>1</v>
      </c>
      <c r="P172" t="n">
        <v>0</v>
      </c>
      <c r="Q172" t="n">
        <v>1</v>
      </c>
      <c r="R172" s="2" t="inlineStr">
        <is>
          <t>Granticka</t>
        </is>
      </c>
      <c r="S172">
        <f>HYPERLINK("https://klasma.github.io/Logging_2281/artfynd/A 56698-2023 artfynd.xlsx", "A 56698-2023")</f>
        <v/>
      </c>
      <c r="T172">
        <f>HYPERLINK("https://klasma.github.io/Logging_2281/kartor/A 56698-2023 karta.png", "A 56698-2023")</f>
        <v/>
      </c>
      <c r="V172">
        <f>HYPERLINK("https://klasma.github.io/Logging_2281/klagomål/A 56698-2023 FSC-klagomål.docx", "A 56698-2023")</f>
        <v/>
      </c>
      <c r="W172">
        <f>HYPERLINK("https://klasma.github.io/Logging_2281/klagomålsmail/A 56698-2023 FSC-klagomål mail.docx", "A 56698-2023")</f>
        <v/>
      </c>
      <c r="X172">
        <f>HYPERLINK("https://klasma.github.io/Logging_2281/tillsyn/A 56698-2023 tillsynsbegäran.docx", "A 56698-2023")</f>
        <v/>
      </c>
      <c r="Y172">
        <f>HYPERLINK("https://klasma.github.io/Logging_2281/tillsynsmail/A 56698-2023 tillsynsbegäran mail.docx", "A 56698-2023")</f>
        <v/>
      </c>
    </row>
    <row r="173" ht="15" customHeight="1">
      <c r="A173" t="inlineStr">
        <is>
          <t>A 59870-2023</t>
        </is>
      </c>
      <c r="B173" s="1" t="n">
        <v>45254</v>
      </c>
      <c r="C173" s="1" t="n">
        <v>45692</v>
      </c>
      <c r="D173" t="inlineStr">
        <is>
          <t>VÄSTERNORRLANDS LÄN</t>
        </is>
      </c>
      <c r="E173" t="inlineStr">
        <is>
          <t>SUNDSVALL</t>
        </is>
      </c>
      <c r="G173" t="n">
        <v>3.2</v>
      </c>
      <c r="H173" t="n">
        <v>0</v>
      </c>
      <c r="I173" t="n">
        <v>0</v>
      </c>
      <c r="J173" t="n">
        <v>1</v>
      </c>
      <c r="K173" t="n">
        <v>0</v>
      </c>
      <c r="L173" t="n">
        <v>0</v>
      </c>
      <c r="M173" t="n">
        <v>0</v>
      </c>
      <c r="N173" t="n">
        <v>0</v>
      </c>
      <c r="O173" t="n">
        <v>1</v>
      </c>
      <c r="P173" t="n">
        <v>0</v>
      </c>
      <c r="Q173" t="n">
        <v>1</v>
      </c>
      <c r="R173" s="2" t="inlineStr">
        <is>
          <t>Lunglav</t>
        </is>
      </c>
      <c r="S173">
        <f>HYPERLINK("https://klasma.github.io/Logging_2281/artfynd/A 59870-2023 artfynd.xlsx", "A 59870-2023")</f>
        <v/>
      </c>
      <c r="T173">
        <f>HYPERLINK("https://klasma.github.io/Logging_2281/kartor/A 59870-2023 karta.png", "A 59870-2023")</f>
        <v/>
      </c>
      <c r="V173">
        <f>HYPERLINK("https://klasma.github.io/Logging_2281/klagomål/A 59870-2023 FSC-klagomål.docx", "A 59870-2023")</f>
        <v/>
      </c>
      <c r="W173">
        <f>HYPERLINK("https://klasma.github.io/Logging_2281/klagomålsmail/A 59870-2023 FSC-klagomål mail.docx", "A 59870-2023")</f>
        <v/>
      </c>
      <c r="X173">
        <f>HYPERLINK("https://klasma.github.io/Logging_2281/tillsyn/A 59870-2023 tillsynsbegäran.docx", "A 59870-2023")</f>
        <v/>
      </c>
      <c r="Y173">
        <f>HYPERLINK("https://klasma.github.io/Logging_2281/tillsynsmail/A 59870-2023 tillsynsbegäran mail.docx", "A 59870-2023")</f>
        <v/>
      </c>
    </row>
    <row r="174" ht="15" customHeight="1">
      <c r="A174" t="inlineStr">
        <is>
          <t>A 233-2024</t>
        </is>
      </c>
      <c r="B174" s="1" t="n">
        <v>45294</v>
      </c>
      <c r="C174" s="1" t="n">
        <v>45692</v>
      </c>
      <c r="D174" t="inlineStr">
        <is>
          <t>VÄSTERNORRLANDS LÄN</t>
        </is>
      </c>
      <c r="E174" t="inlineStr">
        <is>
          <t>SUNDSVALL</t>
        </is>
      </c>
      <c r="G174" t="n">
        <v>2.4</v>
      </c>
      <c r="H174" t="n">
        <v>1</v>
      </c>
      <c r="I174" t="n">
        <v>0</v>
      </c>
      <c r="J174" t="n">
        <v>1</v>
      </c>
      <c r="K174" t="n">
        <v>0</v>
      </c>
      <c r="L174" t="n">
        <v>0</v>
      </c>
      <c r="M174" t="n">
        <v>0</v>
      </c>
      <c r="N174" t="n">
        <v>0</v>
      </c>
      <c r="O174" t="n">
        <v>1</v>
      </c>
      <c r="P174" t="n">
        <v>0</v>
      </c>
      <c r="Q174" t="n">
        <v>1</v>
      </c>
      <c r="R174" s="2" t="inlineStr">
        <is>
          <t>Duvhök</t>
        </is>
      </c>
      <c r="S174">
        <f>HYPERLINK("https://klasma.github.io/Logging_2281/artfynd/A 233-2024 artfynd.xlsx", "A 233-2024")</f>
        <v/>
      </c>
      <c r="T174">
        <f>HYPERLINK("https://klasma.github.io/Logging_2281/kartor/A 233-2024 karta.png", "A 233-2024")</f>
        <v/>
      </c>
      <c r="V174">
        <f>HYPERLINK("https://klasma.github.io/Logging_2281/klagomål/A 233-2024 FSC-klagomål.docx", "A 233-2024")</f>
        <v/>
      </c>
      <c r="W174">
        <f>HYPERLINK("https://klasma.github.io/Logging_2281/klagomålsmail/A 233-2024 FSC-klagomål mail.docx", "A 233-2024")</f>
        <v/>
      </c>
      <c r="X174">
        <f>HYPERLINK("https://klasma.github.io/Logging_2281/tillsyn/A 233-2024 tillsynsbegäran.docx", "A 233-2024")</f>
        <v/>
      </c>
      <c r="Y174">
        <f>HYPERLINK("https://klasma.github.io/Logging_2281/tillsynsmail/A 233-2024 tillsynsbegäran mail.docx", "A 233-2024")</f>
        <v/>
      </c>
      <c r="Z174">
        <f>HYPERLINK("https://klasma.github.io/Logging_2281/fåglar/A 233-2024 prioriterade fågelarter.docx", "A 233-2024")</f>
        <v/>
      </c>
    </row>
    <row r="175" ht="15" customHeight="1">
      <c r="A175" t="inlineStr">
        <is>
          <t>A 1058-2024</t>
        </is>
      </c>
      <c r="B175" s="1" t="n">
        <v>45301</v>
      </c>
      <c r="C175" s="1" t="n">
        <v>45692</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3819-2024</t>
        </is>
      </c>
      <c r="B176" s="1" t="n">
        <v>45321</v>
      </c>
      <c r="C176" s="1" t="n">
        <v>45692</v>
      </c>
      <c r="D176" t="inlineStr">
        <is>
          <t>VÄSTERNORRLANDS LÄN</t>
        </is>
      </c>
      <c r="E176" t="inlineStr">
        <is>
          <t>SUNDSVALL</t>
        </is>
      </c>
      <c r="G176" t="n">
        <v>13.5</v>
      </c>
      <c r="H176" t="n">
        <v>1</v>
      </c>
      <c r="I176" t="n">
        <v>0</v>
      </c>
      <c r="J176" t="n">
        <v>0</v>
      </c>
      <c r="K176" t="n">
        <v>1</v>
      </c>
      <c r="L176" t="n">
        <v>0</v>
      </c>
      <c r="M176" t="n">
        <v>0</v>
      </c>
      <c r="N176" t="n">
        <v>0</v>
      </c>
      <c r="O176" t="n">
        <v>1</v>
      </c>
      <c r="P176" t="n">
        <v>1</v>
      </c>
      <c r="Q176" t="n">
        <v>1</v>
      </c>
      <c r="R176" s="2" t="inlineStr">
        <is>
          <t>Bombmurkla</t>
        </is>
      </c>
      <c r="S176">
        <f>HYPERLINK("https://klasma.github.io/Logging_2281/artfynd/A 3819-2024 artfynd.xlsx", "A 3819-2024")</f>
        <v/>
      </c>
      <c r="T176">
        <f>HYPERLINK("https://klasma.github.io/Logging_2281/kartor/A 3819-2024 karta.png", "A 3819-2024")</f>
        <v/>
      </c>
      <c r="V176">
        <f>HYPERLINK("https://klasma.github.io/Logging_2281/klagomål/A 3819-2024 FSC-klagomål.docx", "A 3819-2024")</f>
        <v/>
      </c>
      <c r="W176">
        <f>HYPERLINK("https://klasma.github.io/Logging_2281/klagomålsmail/A 3819-2024 FSC-klagomål mail.docx", "A 3819-2024")</f>
        <v/>
      </c>
      <c r="X176">
        <f>HYPERLINK("https://klasma.github.io/Logging_2281/tillsyn/A 3819-2024 tillsynsbegäran.docx", "A 3819-2024")</f>
        <v/>
      </c>
      <c r="Y176">
        <f>HYPERLINK("https://klasma.github.io/Logging_2281/tillsynsmail/A 3819-2024 tillsynsbegäran mail.docx", "A 3819-2024")</f>
        <v/>
      </c>
    </row>
    <row r="177" ht="15" customHeight="1">
      <c r="A177" t="inlineStr">
        <is>
          <t>A 6629-2024</t>
        </is>
      </c>
      <c r="B177" s="1" t="n">
        <v>45341</v>
      </c>
      <c r="C177" s="1" t="n">
        <v>45692</v>
      </c>
      <c r="D177" t="inlineStr">
        <is>
          <t>VÄSTERNORRLANDS LÄN</t>
        </is>
      </c>
      <c r="E177" t="inlineStr">
        <is>
          <t>SUNDSVALL</t>
        </is>
      </c>
      <c r="G177" t="n">
        <v>0.7</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6629-2024 artfynd.xlsx", "A 6629-2024")</f>
        <v/>
      </c>
      <c r="T177">
        <f>HYPERLINK("https://klasma.github.io/Logging_2281/kartor/A 6629-2024 karta.png", "A 6629-2024")</f>
        <v/>
      </c>
      <c r="V177">
        <f>HYPERLINK("https://klasma.github.io/Logging_2281/klagomål/A 6629-2024 FSC-klagomål.docx", "A 6629-2024")</f>
        <v/>
      </c>
      <c r="W177">
        <f>HYPERLINK("https://klasma.github.io/Logging_2281/klagomålsmail/A 6629-2024 FSC-klagomål mail.docx", "A 6629-2024")</f>
        <v/>
      </c>
      <c r="X177">
        <f>HYPERLINK("https://klasma.github.io/Logging_2281/tillsyn/A 6629-2024 tillsynsbegäran.docx", "A 6629-2024")</f>
        <v/>
      </c>
      <c r="Y177">
        <f>HYPERLINK("https://klasma.github.io/Logging_2281/tillsynsmail/A 6629-2024 tillsynsbegäran mail.docx", "A 6629-2024")</f>
        <v/>
      </c>
      <c r="Z177">
        <f>HYPERLINK("https://klasma.github.io/Logging_2281/fåglar/A 6629-2024 prioriterade fågelarter.docx", "A 6629-2024")</f>
        <v/>
      </c>
    </row>
    <row r="178" ht="15" customHeight="1">
      <c r="A178" t="inlineStr">
        <is>
          <t>A 6897-2024</t>
        </is>
      </c>
      <c r="B178" s="1" t="n">
        <v>45342</v>
      </c>
      <c r="C178" s="1" t="n">
        <v>45692</v>
      </c>
      <c r="D178" t="inlineStr">
        <is>
          <t>VÄSTERNORRLANDS LÄN</t>
        </is>
      </c>
      <c r="E178" t="inlineStr">
        <is>
          <t>SUNDSVALL</t>
        </is>
      </c>
      <c r="G178" t="n">
        <v>22.7</v>
      </c>
      <c r="H178" t="n">
        <v>1</v>
      </c>
      <c r="I178" t="n">
        <v>0</v>
      </c>
      <c r="J178" t="n">
        <v>1</v>
      </c>
      <c r="K178" t="n">
        <v>0</v>
      </c>
      <c r="L178" t="n">
        <v>0</v>
      </c>
      <c r="M178" t="n">
        <v>0</v>
      </c>
      <c r="N178" t="n">
        <v>0</v>
      </c>
      <c r="O178" t="n">
        <v>1</v>
      </c>
      <c r="P178" t="n">
        <v>0</v>
      </c>
      <c r="Q178" t="n">
        <v>1</v>
      </c>
      <c r="R178" s="2" t="inlineStr">
        <is>
          <t>Utter</t>
        </is>
      </c>
      <c r="S178">
        <f>HYPERLINK("https://klasma.github.io/Logging_2281/artfynd/A 6897-2024 artfynd.xlsx", "A 6897-2024")</f>
        <v/>
      </c>
      <c r="T178">
        <f>HYPERLINK("https://klasma.github.io/Logging_2281/kartor/A 6897-2024 karta.png", "A 6897-2024")</f>
        <v/>
      </c>
      <c r="V178">
        <f>HYPERLINK("https://klasma.github.io/Logging_2281/klagomål/A 6897-2024 FSC-klagomål.docx", "A 6897-2024")</f>
        <v/>
      </c>
      <c r="W178">
        <f>HYPERLINK("https://klasma.github.io/Logging_2281/klagomålsmail/A 6897-2024 FSC-klagomål mail.docx", "A 6897-2024")</f>
        <v/>
      </c>
      <c r="X178">
        <f>HYPERLINK("https://klasma.github.io/Logging_2281/tillsyn/A 6897-2024 tillsynsbegäran.docx", "A 6897-2024")</f>
        <v/>
      </c>
      <c r="Y178">
        <f>HYPERLINK("https://klasma.github.io/Logging_2281/tillsynsmail/A 6897-2024 tillsynsbegäran mail.docx", "A 6897-2024")</f>
        <v/>
      </c>
    </row>
    <row r="179" ht="15" customHeight="1">
      <c r="A179" t="inlineStr">
        <is>
          <t>A 11681-2024</t>
        </is>
      </c>
      <c r="B179" s="1" t="n">
        <v>45373</v>
      </c>
      <c r="C179" s="1" t="n">
        <v>45692</v>
      </c>
      <c r="D179" t="inlineStr">
        <is>
          <t>VÄSTERNORRLANDS LÄN</t>
        </is>
      </c>
      <c r="E179" t="inlineStr">
        <is>
          <t>SUNDSVALL</t>
        </is>
      </c>
      <c r="F179" t="inlineStr">
        <is>
          <t>Holmen skog AB</t>
        </is>
      </c>
      <c r="G179" t="n">
        <v>9</v>
      </c>
      <c r="H179" t="n">
        <v>1</v>
      </c>
      <c r="I179" t="n">
        <v>0</v>
      </c>
      <c r="J179" t="n">
        <v>0</v>
      </c>
      <c r="K179" t="n">
        <v>0</v>
      </c>
      <c r="L179" t="n">
        <v>0</v>
      </c>
      <c r="M179" t="n">
        <v>0</v>
      </c>
      <c r="N179" t="n">
        <v>0</v>
      </c>
      <c r="O179" t="n">
        <v>0</v>
      </c>
      <c r="P179" t="n">
        <v>0</v>
      </c>
      <c r="Q179" t="n">
        <v>1</v>
      </c>
      <c r="R179" s="2" t="inlineStr">
        <is>
          <t>Tjäder</t>
        </is>
      </c>
      <c r="S179">
        <f>HYPERLINK("https://klasma.github.io/Logging_2281/artfynd/A 11681-2024 artfynd.xlsx", "A 11681-2024")</f>
        <v/>
      </c>
      <c r="T179">
        <f>HYPERLINK("https://klasma.github.io/Logging_2281/kartor/A 11681-2024 karta.png", "A 11681-2024")</f>
        <v/>
      </c>
      <c r="V179">
        <f>HYPERLINK("https://klasma.github.io/Logging_2281/klagomål/A 11681-2024 FSC-klagomål.docx", "A 11681-2024")</f>
        <v/>
      </c>
      <c r="W179">
        <f>HYPERLINK("https://klasma.github.io/Logging_2281/klagomålsmail/A 11681-2024 FSC-klagomål mail.docx", "A 11681-2024")</f>
        <v/>
      </c>
      <c r="X179">
        <f>HYPERLINK("https://klasma.github.io/Logging_2281/tillsyn/A 11681-2024 tillsynsbegäran.docx", "A 11681-2024")</f>
        <v/>
      </c>
      <c r="Y179">
        <f>HYPERLINK("https://klasma.github.io/Logging_2281/tillsynsmail/A 11681-2024 tillsynsbegäran mail.docx", "A 11681-2024")</f>
        <v/>
      </c>
      <c r="Z179">
        <f>HYPERLINK("https://klasma.github.io/Logging_2281/fåglar/A 11681-2024 prioriterade fågelarter.docx", "A 11681-2024")</f>
        <v/>
      </c>
    </row>
    <row r="180" ht="15" customHeight="1">
      <c r="A180" t="inlineStr">
        <is>
          <t>A 15151-2024</t>
        </is>
      </c>
      <c r="B180" s="1" t="n">
        <v>45400</v>
      </c>
      <c r="C180" s="1" t="n">
        <v>45692</v>
      </c>
      <c r="D180" t="inlineStr">
        <is>
          <t>VÄSTERNORRLANDS LÄN</t>
        </is>
      </c>
      <c r="E180" t="inlineStr">
        <is>
          <t>SUNDSVALL</t>
        </is>
      </c>
      <c r="F180" t="inlineStr">
        <is>
          <t>Naturvårdsverket</t>
        </is>
      </c>
      <c r="G180" t="n">
        <v>17.2</v>
      </c>
      <c r="H180" t="n">
        <v>1</v>
      </c>
      <c r="I180" t="n">
        <v>0</v>
      </c>
      <c r="J180" t="n">
        <v>0</v>
      </c>
      <c r="K180" t="n">
        <v>1</v>
      </c>
      <c r="L180" t="n">
        <v>0</v>
      </c>
      <c r="M180" t="n">
        <v>0</v>
      </c>
      <c r="N180" t="n">
        <v>0</v>
      </c>
      <c r="O180" t="n">
        <v>1</v>
      </c>
      <c r="P180" t="n">
        <v>1</v>
      </c>
      <c r="Q180" t="n">
        <v>1</v>
      </c>
      <c r="R180" s="2" t="inlineStr">
        <is>
          <t>Knärot</t>
        </is>
      </c>
      <c r="S180">
        <f>HYPERLINK("https://klasma.github.io/Logging_2281/artfynd/A 15151-2024 artfynd.xlsx", "A 15151-2024")</f>
        <v/>
      </c>
      <c r="T180">
        <f>HYPERLINK("https://klasma.github.io/Logging_2281/kartor/A 15151-2024 karta.png", "A 15151-2024")</f>
        <v/>
      </c>
      <c r="U180">
        <f>HYPERLINK("https://klasma.github.io/Logging_2281/knärot/A 15151-2024 karta knärot.png", "A 15151-2024")</f>
        <v/>
      </c>
      <c r="V180">
        <f>HYPERLINK("https://klasma.github.io/Logging_2281/klagomål/A 15151-2024 FSC-klagomål.docx", "A 15151-2024")</f>
        <v/>
      </c>
      <c r="W180">
        <f>HYPERLINK("https://klasma.github.io/Logging_2281/klagomålsmail/A 15151-2024 FSC-klagomål mail.docx", "A 15151-2024")</f>
        <v/>
      </c>
      <c r="X180">
        <f>HYPERLINK("https://klasma.github.io/Logging_2281/tillsyn/A 15151-2024 tillsynsbegäran.docx", "A 15151-2024")</f>
        <v/>
      </c>
      <c r="Y180">
        <f>HYPERLINK("https://klasma.github.io/Logging_2281/tillsynsmail/A 15151-2024 tillsynsbegäran mail.docx", "A 15151-2024")</f>
        <v/>
      </c>
    </row>
    <row r="181" ht="15" customHeight="1">
      <c r="A181" t="inlineStr">
        <is>
          <t>A 15376-2024</t>
        </is>
      </c>
      <c r="B181" s="1" t="n">
        <v>45400</v>
      </c>
      <c r="C181" s="1" t="n">
        <v>45692</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20517-2024</t>
        </is>
      </c>
      <c r="B182" s="1" t="n">
        <v>45435</v>
      </c>
      <c r="C182" s="1" t="n">
        <v>45692</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45692</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45692</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45692</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45692</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45692</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45692</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45692</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45692</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45692</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45692</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45692</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45692</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45692</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4856-2025</t>
        </is>
      </c>
      <c r="B196" s="1" t="n">
        <v>45688</v>
      </c>
      <c r="C196" s="1" t="n">
        <v>45692</v>
      </c>
      <c r="D196" t="inlineStr">
        <is>
          <t>VÄSTERNORRLANDS LÄN</t>
        </is>
      </c>
      <c r="E196" t="inlineStr">
        <is>
          <t>SUNDSVALL</t>
        </is>
      </c>
      <c r="F196" t="inlineStr">
        <is>
          <t>SCA</t>
        </is>
      </c>
      <c r="G196" t="n">
        <v>3.5</v>
      </c>
      <c r="H196" t="n">
        <v>0</v>
      </c>
      <c r="I196" t="n">
        <v>1</v>
      </c>
      <c r="J196" t="n">
        <v>0</v>
      </c>
      <c r="K196" t="n">
        <v>0</v>
      </c>
      <c r="L196" t="n">
        <v>0</v>
      </c>
      <c r="M196" t="n">
        <v>0</v>
      </c>
      <c r="N196" t="n">
        <v>0</v>
      </c>
      <c r="O196" t="n">
        <v>0</v>
      </c>
      <c r="P196" t="n">
        <v>0</v>
      </c>
      <c r="Q196" t="n">
        <v>1</v>
      </c>
      <c r="R196" s="2" t="inlineStr">
        <is>
          <t>Grönpyrola</t>
        </is>
      </c>
      <c r="S196">
        <f>HYPERLINK("https://klasma.github.io/Logging_2281/artfynd/A 4856-2025 artfynd.xlsx", "A 4856-2025")</f>
        <v/>
      </c>
      <c r="T196">
        <f>HYPERLINK("https://klasma.github.io/Logging_2281/kartor/A 4856-2025 karta.png", "A 4856-2025")</f>
        <v/>
      </c>
      <c r="V196">
        <f>HYPERLINK("https://klasma.github.io/Logging_2281/klagomål/A 4856-2025 FSC-klagomål.docx", "A 4856-2025")</f>
        <v/>
      </c>
      <c r="W196">
        <f>HYPERLINK("https://klasma.github.io/Logging_2281/klagomålsmail/A 4856-2025 FSC-klagomål mail.docx", "A 4856-2025")</f>
        <v/>
      </c>
      <c r="X196">
        <f>HYPERLINK("https://klasma.github.io/Logging_2281/tillsyn/A 4856-2025 tillsynsbegäran.docx", "A 4856-2025")</f>
        <v/>
      </c>
      <c r="Y196">
        <f>HYPERLINK("https://klasma.github.io/Logging_2281/tillsynsmail/A 4856-2025 tillsynsbegäran mail.docx", "A 4856-2025")</f>
        <v/>
      </c>
    </row>
    <row r="197" ht="15" customHeight="1">
      <c r="A197" t="inlineStr">
        <is>
          <t>A 4878-2025</t>
        </is>
      </c>
      <c r="B197" s="1" t="n">
        <v>45688</v>
      </c>
      <c r="C197" s="1" t="n">
        <v>45692</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4896-2025</t>
        </is>
      </c>
      <c r="B198" s="1" t="n">
        <v>45688</v>
      </c>
      <c r="C198" s="1" t="n">
        <v>45692</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18070-2019</t>
        </is>
      </c>
      <c r="B199" s="1" t="n">
        <v>43557</v>
      </c>
      <c r="C199" s="1" t="n">
        <v>45692</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45692</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45692</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45692</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45692</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45692</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45692</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45692</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45692</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45692</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45692</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45692</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45692</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45692</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45692</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45692</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45692</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45692</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45692</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45692</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45692</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45692</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45692</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45692</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45692</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45692</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45692</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45692</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45692</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45692</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45692</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45692</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45692</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45692</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45692</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45692</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45692</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45692</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45692</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45692</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45692</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45692</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45692</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45692</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45692</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45692</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45692</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45692</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45692</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45692</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45692</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45692</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45692</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45692</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45692</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45692</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45692</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45692</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45692</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45692</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45692</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45692</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45692</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45692</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45692</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45692</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45692</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45692</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45692</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45692</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45692</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45692</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45692</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45692</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45692</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45692</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45692</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45692</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45692</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45692</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45692</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45692</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45692</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45692</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45692</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45692</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45692</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45692</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45692</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45692</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45692</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45692</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45692</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45692</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45692</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45692</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45692</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45692</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45692</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45692</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45692</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45692</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45692</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45692</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45692</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45692</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45692</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45692</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45692</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45692</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45692</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45692</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45692</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45692</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45692</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45692</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45692</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45692</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45692</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45692</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45692</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45692</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45692</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45692</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45692</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45692</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45692</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45692</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45692</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45692</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45692</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45692</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45692</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45692</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45692</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45692</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45692</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45692</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45692</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45692</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45692</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45692</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45692</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45692</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45692</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45692</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45692</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45692</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45692</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45692</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45692</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45692</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45692</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45692</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45692</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45692</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45692</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45692</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45692</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45692</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45692</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45692</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45692</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45692</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45692</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45692</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45692</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45692</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45692</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45692</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45692</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45692</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45692</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45692</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45692</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45692</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45692</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45692</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45692</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45692</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45692</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45692</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45692</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45692</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45692</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45692</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45692</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45692</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45692</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45692</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45692</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45692</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45692</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45692</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45692</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45692</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45692</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45692</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45692</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45692</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45692</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45692</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45692</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45692</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45692</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45692</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45692</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45692</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45692</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45692</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45692</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45692</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45692</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45692</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45692</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45692</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45692</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45692</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45692</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45692</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45692</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45692</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45692</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45692</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45692</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45692</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45692</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45692</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45692</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45692</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45692</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45692</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45692</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45692</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45692</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45692</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45692</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45692</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45692</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45692</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45692</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45692</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45692</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45692</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45692</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45692</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45692</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45692</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45692</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45692</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45692</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45692</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45692</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45692</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45692</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45692</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45692</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45692</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45692</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45692</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45692</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45692</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45692</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45692</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45692</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45692</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45692</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45692</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45692</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45692</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45692</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45692</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45692</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45692</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45692</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45692</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45692</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45692</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45692</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45692</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45692</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45692</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45692</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45692</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45692</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45692</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45692</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45692</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45692</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45692</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45692</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45692</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45692</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45692</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45692</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45692</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45692</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45692</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45692</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45692</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45692</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45692</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45692</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45692</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45692</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45692</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45692</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45692</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45692</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45692</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45692</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45692</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45692</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45692</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45692</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45692</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45692</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45692</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45692</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45692</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45692</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45692</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45692</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45692</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45692</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45692</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45692</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45692</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45692</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45692</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45692</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45692</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45692</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45692</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45692</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45692</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45692</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45692</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45692</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45692</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45692</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45692</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45692</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45692</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45692</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45692</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45692</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45692</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45692</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45692</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45692</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45692</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45692</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45692</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45692</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45692</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45692</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45692</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45692</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45692</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45692</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45692</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45692</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45692</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45692</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45692</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45692</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45692</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45692</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45692</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45692</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45692</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45692</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45692</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45692</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45692</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45692</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45692</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45692</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45692</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45692</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45692</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45692</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45692</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45692</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45692</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45692</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45692</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45692</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45692</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45692</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45692</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45692</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45692</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45692</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45692</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45692</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45692</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45692</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45692</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45692</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45692</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45692</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45692</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45692</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45692</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45692</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45692</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45692</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45692</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45692</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45692</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45692</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45692</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45692</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45692</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45692</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45692</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45692</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45692</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45692</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45692</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45692</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45692</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45692</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45692</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45692</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45692</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45692</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45692</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45692</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45692</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45692</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45692</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45692</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45692</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45692</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45692</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45692</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45692</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45692</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45692</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45692</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45692</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45692</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45692</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45692</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45692</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45692</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45692</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45692</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45692</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45692</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45692</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45692</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45692</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45692</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45692</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45692</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45692</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45692</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45692</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45692</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45692</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45692</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45692</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45692</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45692</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45692</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45692</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45692</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45692</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45692</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45692</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45692</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45692</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45692</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45692</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45692</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45692</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45692</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45692</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45692</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45692</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45692</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45692</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45692</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45692</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45692</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45692</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45692</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45692</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45692</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45692</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45692</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45692</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45692</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45692</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45692</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45692</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45692</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45692</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45692</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45692</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45692</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45692</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45692</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45692</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45692</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45692</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45692</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45692</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45692</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45692</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45692</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45692</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45692</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45692</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45692</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45692</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45692</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45692</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45692</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45692</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45692</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45692</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45692</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45692</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45692</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45692</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45692</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45692</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45692</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45692</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45692</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45692</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45692</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45692</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45692</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45692</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45692</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45692</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45692</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45692</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45692</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45692</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45692</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45692</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45692</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45692</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45692</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45692</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45692</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45692</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45692</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45692</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45692</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45692</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45692</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45692</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45692</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45692</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45692</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45692</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45692</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45692</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45692</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45692</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45692</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45692</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45692</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45692</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45692</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45692</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45692</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45692</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45692</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45692</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45692</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45692</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45692</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45692</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45692</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45692</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45692</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45692</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45692</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45692</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45692</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45692</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45692</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45692</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45692</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45692</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45692</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45692</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45692</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45692</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45692</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45692</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45692</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45692</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45692</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45692</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45692</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45692</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45692</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45692</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45692</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45692</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45692</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45692</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45692</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45692</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45692</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45692</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45692</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45692</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45692</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45692</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45692</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45692</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45692</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45692</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45692</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45692</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45692</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45692</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45692</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45692</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45692</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45692</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45692</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45692</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45692</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45692</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45692</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45692</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45692</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45692</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45692</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45692</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45692</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45692</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45692</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45692</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45692</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45692</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45692</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45692</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45692</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45692</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45692</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45692</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45692</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45692</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45692</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45692</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45692</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45692</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45692</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45692</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45692</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45692</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45692</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45692</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45692</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45692</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45692</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45692</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45692</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45692</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45692</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45692</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45692</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45692</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45692</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45692</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45692</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45692</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45692</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45692</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45692</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45692</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45692</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45692</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45692</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45692</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45692</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45692</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45692</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45692</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45692</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45692</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45692</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45692</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45692</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45692</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45692</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45692</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45692</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45692</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45692</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45692</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45692</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45692</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45692</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45692</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45692</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45692</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45692</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45692</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45692</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45692</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45692</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45692</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45692</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45692</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45692</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45692</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45692</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45692</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45692</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45692</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45692</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45692</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45692</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45692</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45692</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45692</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45692</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45692</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45692</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45692</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45692</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45692</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45692</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45692</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45692</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45692</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45692</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45692</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45692</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45692</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45692</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45692</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45692</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45692</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45692</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45692</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45692</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45692</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45692</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45692</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45692</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45692</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45692</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45692</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45692</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45692</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45692</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45692</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45692</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45692</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45692</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45692</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45692</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45692</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45692</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45692</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45692</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45692</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45692</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45692</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45692</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45692</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45692</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45692</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45692</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45692</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45692</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45692</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45692</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45692</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45692</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45692</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45692</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45692</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45692</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45692</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45692</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45692</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45692</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45692</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45692</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45692</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45692</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45692</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45692</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45692</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45692</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45692</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45692</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45692</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45692</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45692</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45692</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45692</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45692</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45692</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45692</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45692</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45692</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45692</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45692</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45692</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45692</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45692</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45692</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45692</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45692</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45692</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45692</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45692</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45692</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45692</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45692</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45692</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45692</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45692</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45692</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45692</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45692</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45692</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45692</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45692</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45692</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45692</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45692</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45692</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45692</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45692</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45692</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45692</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45692</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45692</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45692</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45692</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45692</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45692</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45692</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45692</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45692</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45692</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45692</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45692</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45692</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45692</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45692</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45692</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45692</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45692</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45692</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45692</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45692</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45692</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45692</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45692</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45692</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45692</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45692</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45692</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45692</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45692</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45692</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45692</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45692</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45692</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45692</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45692</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45692</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45692</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45692</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45692</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45692</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45692</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45692</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45692</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45692</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45692</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45692</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45692</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45692</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45692</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45692</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45692</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45692</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45692</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45692</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45692</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45692</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45692</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45692</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45692</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45692</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45692</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45692</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45692</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45692</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45692</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45692</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45692</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45692</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45692</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45692</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45692</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45692</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45692</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45692</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45692</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45692</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45692</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45692</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45692</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45692</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45692</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45692</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45692</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45692</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45692</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45692</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45692</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45692</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45692</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45692</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45692</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45692</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45692</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45692</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45692</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45692</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45692</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45692</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45692</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45692</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45692</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45692</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45692</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45692</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45692</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45692</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45692</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45692</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45692</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45692</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45692</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45692</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45692</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45692</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45692</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45692</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45692</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45692</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45692</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45692</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45692</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45692</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45692</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45692</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45692</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45692</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45692</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45692</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45692</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45692</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45692</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45692</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45692</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45692</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45692</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45692</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45692</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45692</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45692</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45692</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45692</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45692</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45692</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45692</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45692</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45692</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45692</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45692</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45692</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45692</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45692</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45692</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45692</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45692</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45692</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45692</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45692</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45692</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45692</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45692</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45692</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45692</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45692</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45692</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45692</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45692</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45692</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45692</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45692</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45692</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45692</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45692</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45692</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45692</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45692</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45692</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45692</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45692</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45692</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45692</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45692</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45692</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45692</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45692</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45692</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45692</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45692</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45692</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45692</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45692</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45692</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45692</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45692</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45692</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45692</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45692</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45692</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45692</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45692</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45692</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45692</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45692</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45692</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45692</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45692</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45692</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45692</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45692</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45692</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45692</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45692</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45692</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45692</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45692</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45692</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45692</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45692</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45692</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45692</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45692</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45692</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45692</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45692</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45692</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45692</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45692</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45692</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45692</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45692</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45692</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45692</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45692</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45692</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45692</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45692</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45692</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45692</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45692</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45692</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45692</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45692</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45692</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45692</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45692</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45692</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45692</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45692</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45692</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45692</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45692</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45692</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45692</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45692</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45692</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45692</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45692</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45692</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45692</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45692</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45692</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45692</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45692</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45692</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45692</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45692</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45692</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45692</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45692</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45692</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45692</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45692</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45692</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45692</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45692</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45692</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45692</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45692</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45692</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45692</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45692</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45692</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45692</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45692</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45692</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45692</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45692</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45692</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45692</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45692</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45692</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45692</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45692</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45692</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45692</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45692</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45692</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45692</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45692</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45692</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45692</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45692</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45692</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45692</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45692</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45692</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45692</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45692</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45692</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45692</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45692</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45692</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45692</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45692</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45692</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45692</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45692</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45692</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45692</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45692</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45692</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45692</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45692</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45692</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45692</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45692</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45692</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45692</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45692</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45692</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45692</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45692</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45692</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45692</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45692</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45692</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45692</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45692</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45692</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45692</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45692</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45692</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45692</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45692</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45692</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45692</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45692</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45692</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45692</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45692</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45692</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45692</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45692</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45692</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45692</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45692</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45692</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45692</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45692</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45692</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45692</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45692</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45692</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45692</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45692</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45692</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45692</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45692</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45692</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45692</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45692</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45692</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45692</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45692</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45692</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45692</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45692</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45692</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45692</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45692</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45692</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45692</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45692</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45692</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45692</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45692</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45692</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45692</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45692</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45692</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45692</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45692</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45692</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45692</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45692</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45692</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45692</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45692</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45692</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45692</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45692</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45692</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45692</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45692</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45692</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45692</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45692</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45692</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45692</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45692</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45692</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45692</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45692</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45692</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45692</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45692</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45692</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45692</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45692</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45692</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45692</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45692</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45692</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45692</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45692</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45692</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45692</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45692</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45692</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45692</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45692</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45692</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45692</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45692</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45692</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45692</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45692</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45692</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45692</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45692</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45692</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45692</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45692</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45692</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45692</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45692</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45692</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45692</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45692</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45692</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45692</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45692</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45692</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45692</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45692</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45692</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45692</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45692</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45692</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45692</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45692</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45692</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45692</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45692</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45692</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45692</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45692</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45692</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45692</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45692</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45692</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45692</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45692</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45692</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45692</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45692</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45692</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45692</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45692</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45692</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45692</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45692</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45692</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45692</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45692</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45692</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45692</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45692</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45692</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45692</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45692</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45692</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45692</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45692</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45692</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45692</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45692</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45692</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45692</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45692</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45692</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45692</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45692</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45692</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45692</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45692</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45692</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45692</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45692</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45692</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45692</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45692</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45692</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45692</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45692</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45692</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45692</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45692</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45692</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45692</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45692</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45692</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45692</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45692</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45692</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45692</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45692</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45692</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45692</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45692</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45692</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45692</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45692</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45692</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45692</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45692</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45692</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45692</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45692</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45692</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45692</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45692</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45692</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45692</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45692</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45692</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45692</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45692</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45692</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45692</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45692</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45692</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45692</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45692</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45692</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45692</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45692</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45692</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45692</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45692</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45692</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45692</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45692</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45692</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45692</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45692</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45692</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45692</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45692</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45692</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45692</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45692</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45692</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45692</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45692</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45692</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45692</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45692</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45692</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45692</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45692</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45692</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45692</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45692</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45692</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45692</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45692</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45692</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45692</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45692</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45692</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45692</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45692</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45692</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45692</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45692</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45692</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45692</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45692</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45692</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45692</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45692</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45692</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45692</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45692</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45692</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45692</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45692</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45692</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45692</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45692</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45692</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45692</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45692</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45692</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45692</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45692</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45692</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45692</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45692</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45692</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45692</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45692</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45692</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45692</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45692</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45692</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45692</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45692</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45692</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45692</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45692</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45692</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45692</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45692</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45692</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45692</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45692</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45692</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45692</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45692</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45692</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45692</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45692</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45692</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45692</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45692</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45692</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45692</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45692</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45692</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45692</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45692</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45692</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45692</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45692</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45692</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45692</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45692</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45692</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45692</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45692</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45692</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45692</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45692</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45692</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45692</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45692</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45692</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45692</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45692</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45692</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45692</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45692</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45692</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45692</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45692</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45692</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45692</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45692</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45692</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45692</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45692</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45692</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45692</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45692</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45692</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45692</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45692</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45692</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45692</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45692</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45692</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45692</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45692</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45692</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45692</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45692</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45692</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45692</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45692</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45692</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45692</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45692</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45692</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45692</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45692</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45692</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45692</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45692</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45692</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45692</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45692</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45692</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45692</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45692</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45692</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45692</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45692</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45692</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45692</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45692</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45692</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45692</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45692</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45692</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45692</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45692</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45692</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45692</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45692</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45692</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45692</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45692</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45692</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45692</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45692</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45692</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45692</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45692</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45692</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45692</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45692</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45692</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45692</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45692</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45692</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45692</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45692</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45692</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45692</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45692</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45692</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45692</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45692</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45692</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45692</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45692</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45692</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45692</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45692</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45692</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45692</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45692</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45692</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45692</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45692</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45692</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45692</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45692</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45692</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45692</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45692</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45692</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45692</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45692</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45692</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45692</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45692</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45692</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45692</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45692</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45692</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45692</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45692</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45692</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45692</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45692</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45692</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45692</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45692</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45692</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45692</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45692</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45692</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45692</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45692</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45692</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45692</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45692</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45692</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45692</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45692</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45692</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45692</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45692</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45692</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45692</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45692</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45692</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45692</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45692</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45692</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45692</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45692</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45692</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45692</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45692</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45692</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45692</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45692</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45692</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45692</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45692</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45692</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45692</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45692</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45692</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45692</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45692</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45692</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45692</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45692</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45692</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45692</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45692</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45692</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45692</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45692</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45692</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45692</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45692</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45692</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45692</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45692</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45692</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45692</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45692</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45692</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45692</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45692</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45692</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45692</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45692</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45692</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45692</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45692</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45692</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45692</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45692</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45692</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45692</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45692</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45692</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45692</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45692</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45692</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45692</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45692</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45692</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45692</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45692</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45692</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45692</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45692</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45692</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45692</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45692</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45692</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45692</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45692</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45692</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45692</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45692</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45692</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45692</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45692</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45692</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45692</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45692</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45692</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45692</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45692</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45692</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45692</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45692</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45692</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45692</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45692</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45692</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45692</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45692</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45692</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45692</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45692</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45692</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45692</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45692</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45692</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45692</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45692</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45692</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45692</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45692</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45692</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45692</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45692</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45692</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45692</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45692</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45692</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45692</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45692</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45692</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45692</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45692</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45692</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45692</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45692</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45692</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45692</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45692</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45692</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45692</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45692</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45692</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45692</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45692</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45692</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45692</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45692</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45692</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45692</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45692</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45692</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45692</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45692</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45692</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45692</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45692</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45692</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45692</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45692</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45692</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45692</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45692</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45692</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45692</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45692</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45692</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45692</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45692</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45692</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45692</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45692</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45692</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45692</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45692</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45692</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45692</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45692</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45692</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45692</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45692</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45692</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45692</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45692</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45692</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45692</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45692</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45692</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45692</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45692</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45692</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45692</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45692</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45692</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45692</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45692</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45692</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45692</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45692</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45692</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45692</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45692</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45692</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45692</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45692</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45692</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45692</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45692</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45692</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45692</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45692</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45692</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45692</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45692</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45692</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45692</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45692</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45692</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45692</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45692</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45692</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45692</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45692</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45692</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45692</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45692</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45692</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45692</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45692</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45692</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45692</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45692</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45692</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45692</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45692</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45692</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45692</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45692</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45692</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45692</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45692</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45692</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45692</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45692</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45692</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45692</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45692</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45692</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45692</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45692</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45692</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45692</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45692</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45692</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45692</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45692</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45692</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45692</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45692</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45692</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45692</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45692</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45692</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45692</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45692</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45692</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45692</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45692</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45692</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45692</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45692</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45692</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45692</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45692</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45692</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45692</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45692</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45692</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45692</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45692</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45692</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45692</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45692</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45692</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45692</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45692</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45692</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45692</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45692</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45692</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45692</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45692</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45692</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45692</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45692</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45692</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45692</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45692</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45692</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45692</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45692</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45692</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45692</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45692</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45692</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45692</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45692</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45692</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45692</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45692</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45692</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45692</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45692</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45692</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45692</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45692</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45692</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45692</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45692</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45692</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45692</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45692</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45692</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45692</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45692</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45692</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45692</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45692</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45692</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45692</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45692</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45692</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45692</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45692</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45692</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45692</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45692</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45692</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45692</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45692</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45692</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45692</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45692</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45692</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45692</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45692</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45692</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45692</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45692</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45692</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45692</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45692</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45692</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45692</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45692</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45692</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45692</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45692</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45692</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45692</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45692</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45692</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45692</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45692</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45692</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45692</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45692</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45692</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45692</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45692</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45692</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45692</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45692</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45692</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45692</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45692</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45692</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45692</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45692</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45692</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45692</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45692</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45692</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45692</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45692</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45692</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45692</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45692</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45692</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45692</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45692</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45692</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45692</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45692</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45692</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45692</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45692</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45692</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45692</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45692</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45692</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45692</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45692</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45692</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45692</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45692</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45692</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45692</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45692</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45692</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45692</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45692</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45692</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45692</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45692</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45692</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45692</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45692</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45692</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45692</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45692</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45692</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45692</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45692</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45692</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45692</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45692</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45692</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45692</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45692</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45692</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45692</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45692</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45692</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45692</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45692</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45692</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45692</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45692</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45692</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45692</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45692</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45692</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45692</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45692</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45692</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45692</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45692</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45692</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45692</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45692</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45692</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45692</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45692</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45692</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45692</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45692</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45692</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45692</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45692</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45692</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45692</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45692</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45692</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45692</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45692</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45692</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45692</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45692</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45692</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45692</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45692</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45692</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45692</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45692</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45692</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45692</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45692</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45692</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45692</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45692</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45692</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45692</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45692</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45692</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45692</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45692</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45692</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45692</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45692</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45692</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45692</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45692</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45692</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45692</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45692</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45692</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45692</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45692</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45692</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45692</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45692</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45692</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45692</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45692</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45692</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45692</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45692</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45692</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45692</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45692</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45692</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45692</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45692</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45692</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45692</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45692</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45692</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45692</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45692</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45692</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45692</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45692</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45692</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45692</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45692</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45692</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45692</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45692</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45692</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45692</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45692</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45692</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45692</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45692</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45692</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45692</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45692</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45692</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45692</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45692</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45692</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45692</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45692</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45692</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45692</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45692</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45692</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45692</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45692</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45692</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45692</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45692</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45692</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45692</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45692</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45692</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45692</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45692</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45692</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45692</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45692</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45692</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45692</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45692</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45692</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45692</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45692</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45692</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45692</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45692</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45692</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45692</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45692</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45692</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45692</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45692</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45692</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45692</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45692</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45692</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45692</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45692</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45692</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45692</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45692</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45692</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45692</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45692</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45692</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45692</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45692</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45692</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45692</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45692</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45692</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45692</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45692</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45692</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45692</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45692</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45692</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45692</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45692</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45692</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45692</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45692</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45692</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45692</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45692</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45692</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45692</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45692</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45692</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45692</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45692</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45692</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45692</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45692</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45692</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45692</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45692</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45692</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45692</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45692</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45692</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45692</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45692</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45692</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45692</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45692</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45692</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45692</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45692</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45692</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45692</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45692</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45692</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45692</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45692</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45692</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45692</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45692</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45692</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45692</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45692</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45692</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45692</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45692</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45692</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45692</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45692</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45692</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45692</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45692</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45692</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45692</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45692</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45692</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45692</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45692</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45692</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45692</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45692</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45692</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45692</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45692</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45692</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45692</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45692</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45692</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45692</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45692</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45692</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45692</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45692</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45692</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45692</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45692</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45692</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45692</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45692</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45692</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45692</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45692</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45692</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45692</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45692</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45692</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45692</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45692</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45692</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45692</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45692</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45692</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45692</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45692</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45692</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45692</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45692</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45692</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45692</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45692</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45692</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45692</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45692</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45692</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45692</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45692</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45692</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45692</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45692</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45692</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45692</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45692</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45692</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45692</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45692</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45692</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45692</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45692</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45692</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45692</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45692</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45692</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45692</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45692</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45692</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45692</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45692</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45692</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45692</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45692</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45692</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45692</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45692</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45692</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45692</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45692</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45692</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45692</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45692</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45692</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45692</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45692</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45692</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45692</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45692</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45692</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45692</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45692</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45692</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45692</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45692</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45692</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45692</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45692</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45692</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45692</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45692</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45692</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45692</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45692</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45692</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45692</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45692</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45692</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45692</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45692</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45692</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45692</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45692</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45692</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45692</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45692</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45692</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45692</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45692</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45692</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45692</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45692</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45692</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45692</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45692</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45692</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45692</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45692</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45692</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45692</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45692</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45692</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45692</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45692</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45692</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45692</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45692</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45692</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45692</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45692</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45692</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45692</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45692</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45692</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45692</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45692</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45692</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45692</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45692</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45692</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45692</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45692</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45692</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45692</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45692</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45692</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45692</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45692</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45692</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45692</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45692</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45692</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45692</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45692</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45692</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45692</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45692</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45692</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45692</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45692</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45692</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45692</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45692</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45692</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45692</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45692</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45692</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45692</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45692</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45692</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45692</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45692</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45692</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45692</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45692</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45692</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45692</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45692</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45692</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45692</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45692</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45692</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45692</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45692</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45692</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45692</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45692</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45692</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45692</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45692</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45692</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45692</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45692</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45692</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45692</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45692</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45692</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45692</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45692</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45692</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45692</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45692</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45692</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45692</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45692</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45692</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45692</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45692</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45692</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45692</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45692</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45692</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45692</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45692</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45692</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45692</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45692</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45692</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45692</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45692</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45692</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45692</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45692</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45692</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45692</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45692</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45692</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45692</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45692</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45692</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45692</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45692</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45692</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45692</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45692</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45692</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45692</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45692</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45692</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45692</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45692</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45692</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45692</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45692</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45692</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45692</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45692</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45692</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45692</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45692</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45692</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45692</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45692</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45692</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45692</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45692</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45692</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45692</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45692</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45692</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45692</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45692</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45692</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45692</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45692</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45692</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45692</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45692</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45692</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45692</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45692</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45692</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45692</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45692</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45692</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45692</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45692</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45692</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45692</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45692</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45692</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45692</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45692</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45692</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45692</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45692</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45692</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45692</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45692</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45692</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45692</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45692</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45692</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45692</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45692</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45692</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45692</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45692</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45692</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45692</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45692</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45692</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45692</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45692</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45692</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45692</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45692</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45692</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45692</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45692</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45692</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45692</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45692</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45692</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45692</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45692</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45692</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45692</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45692</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45692</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45692</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45692</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45692</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45692</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45692</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45692</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45692</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45692</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45692</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45692</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45692</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45692</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45692</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45692</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45692</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45692</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45692</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45692</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45692</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45692</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45692</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45692</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45692</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45692</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45692</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45692</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45692</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45692</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45692</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45692</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45692</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45692</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45692</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45692</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45692</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45692</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45692</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45692</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45692</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45692</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45692</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45692</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45692</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45692</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45692</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45692</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45692</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45692</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45692</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45692</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45692</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45692</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45692</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45692</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45692</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45692</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45692</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45692</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45692</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45692</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45692</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45692</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45692</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45692</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45692</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45692</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45692</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45692</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45692</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45692</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45692</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45692</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45692</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45692</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45692</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45692</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45692</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45692</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45692</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45692</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45692</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45692</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45692</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45692</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45692</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45692</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45692</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45692</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45692</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45692</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45692</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45692</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45692</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45692</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45692</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45692</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45692</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45692</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45692</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45692</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45692</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45692</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45692</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45692</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45692</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45692</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45692</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45692</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45692</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45692</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45692</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45692</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45692</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45692</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45692</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45692</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45692</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45692</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45692</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45692</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45692</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45692</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45692</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45692</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45692</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45692</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45692</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45692</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45692</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45692</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45692</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45692</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45692</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45692</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45692</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45692</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45692</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45692</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45692</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45692</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45692</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45692</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45692</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45692</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45692</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45692</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45692</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45692</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45692</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45692</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45692</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45692</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45692</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45692</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45692</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45692</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45692</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623-2025</t>
        </is>
      </c>
      <c r="B2982" s="1" t="n">
        <v>45664</v>
      </c>
      <c r="C2982" s="1" t="n">
        <v>45692</v>
      </c>
      <c r="D2982" t="inlineStr">
        <is>
          <t>VÄSTERNORRLANDS LÄN</t>
        </is>
      </c>
      <c r="E2982" t="inlineStr">
        <is>
          <t>SUNDSVALL</t>
        </is>
      </c>
      <c r="F2982" t="inlineStr">
        <is>
          <t>SCA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45692</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45692</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730-2025</t>
        </is>
      </c>
      <c r="B2985" s="1" t="n">
        <v>45665</v>
      </c>
      <c r="C2985" s="1" t="n">
        <v>45692</v>
      </c>
      <c r="D2985" t="inlineStr">
        <is>
          <t>VÄSTERNORRLANDS LÄN</t>
        </is>
      </c>
      <c r="E2985" t="inlineStr">
        <is>
          <t>SUNDSVALL</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45692</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974-2025</t>
        </is>
      </c>
      <c r="B2987" s="1" t="n">
        <v>45666</v>
      </c>
      <c r="C2987" s="1" t="n">
        <v>45692</v>
      </c>
      <c r="D2987" t="inlineStr">
        <is>
          <t>VÄSTERNORRLANDS LÄN</t>
        </is>
      </c>
      <c r="E2987" t="inlineStr">
        <is>
          <t>SUNDSVALL</t>
        </is>
      </c>
      <c r="F2987" t="inlineStr">
        <is>
          <t>SCA</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45692</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1116-2025</t>
        </is>
      </c>
      <c r="B2989" s="1" t="n">
        <v>45666</v>
      </c>
      <c r="C2989" s="1" t="n">
        <v>45692</v>
      </c>
      <c r="D2989" t="inlineStr">
        <is>
          <t>VÄSTERNORRLANDS LÄN</t>
        </is>
      </c>
      <c r="E2989" t="inlineStr">
        <is>
          <t>SUNDSVALL</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45692</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45692</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45692</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45692</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45692</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45692</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45692</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45692</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2104-2025</t>
        </is>
      </c>
      <c r="B2998" s="1" t="n">
        <v>45672</v>
      </c>
      <c r="C2998" s="1" t="n">
        <v>45692</v>
      </c>
      <c r="D2998" t="inlineStr">
        <is>
          <t>VÄSTERNORRLANDS LÄN</t>
        </is>
      </c>
      <c r="E2998" t="inlineStr">
        <is>
          <t>SUNDSVALL</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45692</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2493-2025</t>
        </is>
      </c>
      <c r="B3000" s="1" t="n">
        <v>45674</v>
      </c>
      <c r="C3000" s="1" t="n">
        <v>45692</v>
      </c>
      <c r="D3000" t="inlineStr">
        <is>
          <t>VÄSTERNORRLANDS LÄN</t>
        </is>
      </c>
      <c r="E3000" t="inlineStr">
        <is>
          <t>SUNDSVALL</t>
        </is>
      </c>
      <c r="F3000" t="inlineStr">
        <is>
          <t>SCA</t>
        </is>
      </c>
      <c r="G3000" t="n">
        <v>39.6</v>
      </c>
      <c r="H3000" t="n">
        <v>0</v>
      </c>
      <c r="I3000" t="n">
        <v>0</v>
      </c>
      <c r="J3000" t="n">
        <v>0</v>
      </c>
      <c r="K3000" t="n">
        <v>0</v>
      </c>
      <c r="L3000" t="n">
        <v>0</v>
      </c>
      <c r="M3000" t="n">
        <v>0</v>
      </c>
      <c r="N3000" t="n">
        <v>0</v>
      </c>
      <c r="O3000" t="n">
        <v>0</v>
      </c>
      <c r="P3000" t="n">
        <v>0</v>
      </c>
      <c r="Q3000" t="n">
        <v>0</v>
      </c>
      <c r="R3000" s="2" t="inlineStr"/>
    </row>
    <row r="3001" ht="15" customHeight="1">
      <c r="A3001" t="inlineStr">
        <is>
          <t>A 2427-2025</t>
        </is>
      </c>
      <c r="B3001" s="1" t="n">
        <v>45674</v>
      </c>
      <c r="C3001" s="1" t="n">
        <v>45692</v>
      </c>
      <c r="D3001" t="inlineStr">
        <is>
          <t>VÄSTERNORRLANDS LÄN</t>
        </is>
      </c>
      <c r="E3001" t="inlineStr">
        <is>
          <t>SUNDSVALL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2494-2025</t>
        </is>
      </c>
      <c r="B3002" s="1" t="n">
        <v>45674</v>
      </c>
      <c r="C3002" s="1" t="n">
        <v>45692</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2594-2025</t>
        </is>
      </c>
      <c r="B3003" s="1" t="n">
        <v>45674</v>
      </c>
      <c r="C3003" s="1" t="n">
        <v>45692</v>
      </c>
      <c r="D3003" t="inlineStr">
        <is>
          <t>VÄSTERNORRLANDS LÄN</t>
        </is>
      </c>
      <c r="E3003" t="inlineStr">
        <is>
          <t>SUNDSVALL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2577-2025</t>
        </is>
      </c>
      <c r="B3004" s="1" t="n">
        <v>45674</v>
      </c>
      <c r="C3004" s="1" t="n">
        <v>45692</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2585-2025</t>
        </is>
      </c>
      <c r="B3005" s="1" t="n">
        <v>45674</v>
      </c>
      <c r="C3005" s="1" t="n">
        <v>45692</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2589-2025</t>
        </is>
      </c>
      <c r="B3006" s="1" t="n">
        <v>45674</v>
      </c>
      <c r="C3006" s="1" t="n">
        <v>45692</v>
      </c>
      <c r="D3006" t="inlineStr">
        <is>
          <t>VÄSTERNORRLANDS LÄN</t>
        </is>
      </c>
      <c r="E3006" t="inlineStr">
        <is>
          <t>SUNDSVALL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2591-2025</t>
        </is>
      </c>
      <c r="B3007" s="1" t="n">
        <v>45674</v>
      </c>
      <c r="C3007" s="1" t="n">
        <v>45692</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2595-2025</t>
        </is>
      </c>
      <c r="B3008" s="1" t="n">
        <v>45674</v>
      </c>
      <c r="C3008" s="1" t="n">
        <v>45692</v>
      </c>
      <c r="D3008" t="inlineStr">
        <is>
          <t>VÄSTERNORRLANDS LÄN</t>
        </is>
      </c>
      <c r="E3008" t="inlineStr">
        <is>
          <t>SUNDSVALL</t>
        </is>
      </c>
      <c r="F3008" t="inlineStr">
        <is>
          <t>Kommuner</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45692</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45692</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45692</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45692</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2831-2025</t>
        </is>
      </c>
      <c r="B3013" s="1" t="n">
        <v>45677</v>
      </c>
      <c r="C3013" s="1" t="n">
        <v>45692</v>
      </c>
      <c r="D3013" t="inlineStr">
        <is>
          <t>VÄSTERNORRLANDS LÄN</t>
        </is>
      </c>
      <c r="E3013" t="inlineStr">
        <is>
          <t>SUNDSVALL</t>
        </is>
      </c>
      <c r="G3013" t="n">
        <v>14.5</v>
      </c>
      <c r="H3013" t="n">
        <v>0</v>
      </c>
      <c r="I3013" t="n">
        <v>0</v>
      </c>
      <c r="J3013" t="n">
        <v>0</v>
      </c>
      <c r="K3013" t="n">
        <v>0</v>
      </c>
      <c r="L3013" t="n">
        <v>0</v>
      </c>
      <c r="M3013" t="n">
        <v>0</v>
      </c>
      <c r="N3013" t="n">
        <v>0</v>
      </c>
      <c r="O3013" t="n">
        <v>0</v>
      </c>
      <c r="P3013" t="n">
        <v>0</v>
      </c>
      <c r="Q3013" t="n">
        <v>0</v>
      </c>
      <c r="R3013" s="2" t="inlineStr"/>
    </row>
    <row r="3014" ht="15" customHeight="1">
      <c r="A3014" t="inlineStr">
        <is>
          <t>A 2881-2025</t>
        </is>
      </c>
      <c r="B3014" s="1" t="n">
        <v>45677</v>
      </c>
      <c r="C3014" s="1" t="n">
        <v>45692</v>
      </c>
      <c r="D3014" t="inlineStr">
        <is>
          <t>VÄSTERNORRLANDS LÄN</t>
        </is>
      </c>
      <c r="E3014" t="inlineStr">
        <is>
          <t>SUNDSVALL</t>
        </is>
      </c>
      <c r="F3014" t="inlineStr">
        <is>
          <t>SCA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45692</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45692</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45692</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3188-2025</t>
        </is>
      </c>
      <c r="B3018" s="1" t="n">
        <v>45679</v>
      </c>
      <c r="C3018" s="1" t="n">
        <v>45692</v>
      </c>
      <c r="D3018" t="inlineStr">
        <is>
          <t>VÄSTERNORRLANDS LÄN</t>
        </is>
      </c>
      <c r="E3018" t="inlineStr">
        <is>
          <t>SUNDSVALL</t>
        </is>
      </c>
      <c r="F3018" t="inlineStr">
        <is>
          <t>SCA</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3216-2025</t>
        </is>
      </c>
      <c r="B3019" s="1" t="n">
        <v>45679</v>
      </c>
      <c r="C3019" s="1" t="n">
        <v>45692</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3217-2025</t>
        </is>
      </c>
      <c r="B3020" s="1" t="n">
        <v>45679</v>
      </c>
      <c r="C3020" s="1" t="n">
        <v>45692</v>
      </c>
      <c r="D3020" t="inlineStr">
        <is>
          <t>VÄSTERNORRLANDS LÄN</t>
        </is>
      </c>
      <c r="E3020" t="inlineStr">
        <is>
          <t>SUNDSVALL</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3232-2025</t>
        </is>
      </c>
      <c r="B3021" s="1" t="n">
        <v>45679</v>
      </c>
      <c r="C3021" s="1" t="n">
        <v>45692</v>
      </c>
      <c r="D3021" t="inlineStr">
        <is>
          <t>VÄSTERNORRLANDS LÄN</t>
        </is>
      </c>
      <c r="E3021" t="inlineStr">
        <is>
          <t>SUNDSVALL</t>
        </is>
      </c>
      <c r="F3021" t="inlineStr">
        <is>
          <t>SCA</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3293-2025</t>
        </is>
      </c>
      <c r="B3022" s="1" t="n">
        <v>45679</v>
      </c>
      <c r="C3022" s="1" t="n">
        <v>45692</v>
      </c>
      <c r="D3022" t="inlineStr">
        <is>
          <t>VÄSTERNORRLANDS LÄN</t>
        </is>
      </c>
      <c r="E3022" t="inlineStr">
        <is>
          <t>SUNDSVALL</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45692</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45692</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45692</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45692</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45692</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45692</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45692</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45692</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45692</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45692</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3696-2025</t>
        </is>
      </c>
      <c r="B3033" s="1" t="n">
        <v>45681</v>
      </c>
      <c r="C3033" s="1" t="n">
        <v>45692</v>
      </c>
      <c r="D3033" t="inlineStr">
        <is>
          <t>VÄSTERNORRLANDS LÄN</t>
        </is>
      </c>
      <c r="E3033" t="inlineStr">
        <is>
          <t>SUNDSVALL</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45692</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45692</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3924-2025</t>
        </is>
      </c>
      <c r="B3036" s="1" t="n">
        <v>45684</v>
      </c>
      <c r="C3036" s="1" t="n">
        <v>45692</v>
      </c>
      <c r="D3036" t="inlineStr">
        <is>
          <t>VÄSTERNORRLANDS LÄN</t>
        </is>
      </c>
      <c r="E3036" t="inlineStr">
        <is>
          <t>SUNDSVALL</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3948-2025</t>
        </is>
      </c>
      <c r="B3037" s="1" t="n">
        <v>45684</v>
      </c>
      <c r="C3037" s="1" t="n">
        <v>45692</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3962-2025</t>
        </is>
      </c>
      <c r="B3038" s="1" t="n">
        <v>45684</v>
      </c>
      <c r="C3038" s="1" t="n">
        <v>45692</v>
      </c>
      <c r="D3038" t="inlineStr">
        <is>
          <t>VÄSTERNORRLANDS LÄN</t>
        </is>
      </c>
      <c r="E3038" t="inlineStr">
        <is>
          <t>SUNDSVALL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3967-2025</t>
        </is>
      </c>
      <c r="B3039" s="1" t="n">
        <v>45684</v>
      </c>
      <c r="C3039" s="1" t="n">
        <v>45692</v>
      </c>
      <c r="D3039" t="inlineStr">
        <is>
          <t>VÄSTERNORRLANDS LÄN</t>
        </is>
      </c>
      <c r="E3039" t="inlineStr">
        <is>
          <t>SUNDSVALL</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45692</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4784-2025</t>
        </is>
      </c>
      <c r="B3041" s="1" t="n">
        <v>45688</v>
      </c>
      <c r="C3041" s="1" t="n">
        <v>45692</v>
      </c>
      <c r="D3041" t="inlineStr">
        <is>
          <t>VÄSTERNORRLANDS LÄN</t>
        </is>
      </c>
      <c r="E3041" t="inlineStr">
        <is>
          <t>SUNDSVALL</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4810-2025</t>
        </is>
      </c>
      <c r="B3042" s="1" t="n">
        <v>45688</v>
      </c>
      <c r="C3042" s="1" t="n">
        <v>45692</v>
      </c>
      <c r="D3042" t="inlineStr">
        <is>
          <t>VÄSTERNORRLANDS LÄN</t>
        </is>
      </c>
      <c r="E3042" t="inlineStr">
        <is>
          <t>SUNDSVALL</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4815-2025</t>
        </is>
      </c>
      <c r="B3043" s="1" t="n">
        <v>45688</v>
      </c>
      <c r="C3043" s="1" t="n">
        <v>45692</v>
      </c>
      <c r="D3043" t="inlineStr">
        <is>
          <t>VÄSTERNORRLANDS LÄN</t>
        </is>
      </c>
      <c r="E3043" t="inlineStr">
        <is>
          <t>SUNDSVALL</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4853-2025</t>
        </is>
      </c>
      <c r="B3044" s="1" t="n">
        <v>45688</v>
      </c>
      <c r="C3044" s="1" t="n">
        <v>45692</v>
      </c>
      <c r="D3044" t="inlineStr">
        <is>
          <t>VÄSTERNORRLANDS LÄN</t>
        </is>
      </c>
      <c r="E3044" t="inlineStr">
        <is>
          <t>SUNDSVALL</t>
        </is>
      </c>
      <c r="F3044" t="inlineStr">
        <is>
          <t>SCA</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4865-2025</t>
        </is>
      </c>
      <c r="B3045" s="1" t="n">
        <v>45688</v>
      </c>
      <c r="C3045" s="1" t="n">
        <v>45692</v>
      </c>
      <c r="D3045" t="inlineStr">
        <is>
          <t>VÄSTERNORRLANDS LÄN</t>
        </is>
      </c>
      <c r="E3045" t="inlineStr">
        <is>
          <t>SUNDSVALL</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45692</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4813-2025</t>
        </is>
      </c>
      <c r="B3047" s="1" t="n">
        <v>45688</v>
      </c>
      <c r="C3047" s="1" t="n">
        <v>45692</v>
      </c>
      <c r="D3047" t="inlineStr">
        <is>
          <t>VÄSTERNORRLANDS LÄN</t>
        </is>
      </c>
      <c r="E3047" t="inlineStr">
        <is>
          <t>SUNDSVALL</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4917-2025</t>
        </is>
      </c>
      <c r="B3048" s="1" t="n">
        <v>45688</v>
      </c>
      <c r="C3048" s="1" t="n">
        <v>45692</v>
      </c>
      <c r="D3048" t="inlineStr">
        <is>
          <t>VÄSTERNORRLANDS LÄN</t>
        </is>
      </c>
      <c r="E3048" t="inlineStr">
        <is>
          <t>SUNDSVALL</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4933-2025</t>
        </is>
      </c>
      <c r="B3049" s="1" t="n">
        <v>45688</v>
      </c>
      <c r="C3049" s="1" t="n">
        <v>45692</v>
      </c>
      <c r="D3049" t="inlineStr">
        <is>
          <t>VÄSTERNORRLANDS LÄN</t>
        </is>
      </c>
      <c r="E3049" t="inlineStr">
        <is>
          <t>SUNDSVALL</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4890-2025</t>
        </is>
      </c>
      <c r="B3050" s="1" t="n">
        <v>45688</v>
      </c>
      <c r="C3050" s="1" t="n">
        <v>45692</v>
      </c>
      <c r="D3050" t="inlineStr">
        <is>
          <t>VÄSTERNORRLANDS LÄN</t>
        </is>
      </c>
      <c r="E3050" t="inlineStr">
        <is>
          <t>SUNDSVALL</t>
        </is>
      </c>
      <c r="F3050" t="inlineStr">
        <is>
          <t>SCA</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4871-2025</t>
        </is>
      </c>
      <c r="B3051" s="1" t="n">
        <v>45688</v>
      </c>
      <c r="C3051" s="1" t="n">
        <v>45692</v>
      </c>
      <c r="D3051" t="inlineStr">
        <is>
          <t>VÄSTERNORRLANDS LÄN</t>
        </is>
      </c>
      <c r="E3051" t="inlineStr">
        <is>
          <t>SUNDSVALL</t>
        </is>
      </c>
      <c r="F3051" t="inlineStr">
        <is>
          <t>SCA</t>
        </is>
      </c>
      <c r="G3051" t="n">
        <v>11.5</v>
      </c>
      <c r="H3051" t="n">
        <v>0</v>
      </c>
      <c r="I3051" t="n">
        <v>0</v>
      </c>
      <c r="J3051" t="n">
        <v>0</v>
      </c>
      <c r="K3051" t="n">
        <v>0</v>
      </c>
      <c r="L3051" t="n">
        <v>0</v>
      </c>
      <c r="M3051" t="n">
        <v>0</v>
      </c>
      <c r="N3051" t="n">
        <v>0</v>
      </c>
      <c r="O3051" t="n">
        <v>0</v>
      </c>
      <c r="P3051" t="n">
        <v>0</v>
      </c>
      <c r="Q3051" t="n">
        <v>0</v>
      </c>
      <c r="R3051" s="2" t="inlineStr"/>
    </row>
    <row r="3052" ht="15" customHeight="1">
      <c r="A3052" t="inlineStr">
        <is>
          <t>A 4888-2025</t>
        </is>
      </c>
      <c r="B3052" s="1" t="n">
        <v>45688</v>
      </c>
      <c r="C3052" s="1" t="n">
        <v>45692</v>
      </c>
      <c r="D3052" t="inlineStr">
        <is>
          <t>VÄSTERNORRLANDS LÄN</t>
        </is>
      </c>
      <c r="E3052" t="inlineStr">
        <is>
          <t>SUNDSVALL</t>
        </is>
      </c>
      <c r="F3052" t="inlineStr">
        <is>
          <t>SCA</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45692</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45692</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5023-2025</t>
        </is>
      </c>
      <c r="B3055" s="1" t="n">
        <v>45691</v>
      </c>
      <c r="C3055" s="1" t="n">
        <v>45692</v>
      </c>
      <c r="D3055" t="inlineStr">
        <is>
          <t>VÄSTERNORRLANDS LÄN</t>
        </is>
      </c>
      <c r="E3055" t="inlineStr">
        <is>
          <t>SUNDSVALL</t>
        </is>
      </c>
      <c r="F3055" t="inlineStr">
        <is>
          <t>SCA</t>
        </is>
      </c>
      <c r="G3055" t="n">
        <v>15.7</v>
      </c>
      <c r="H3055" t="n">
        <v>0</v>
      </c>
      <c r="I3055" t="n">
        <v>0</v>
      </c>
      <c r="J3055" t="n">
        <v>0</v>
      </c>
      <c r="K3055" t="n">
        <v>0</v>
      </c>
      <c r="L3055" t="n">
        <v>0</v>
      </c>
      <c r="M3055" t="n">
        <v>0</v>
      </c>
      <c r="N3055" t="n">
        <v>0</v>
      </c>
      <c r="O3055" t="n">
        <v>0</v>
      </c>
      <c r="P3055" t="n">
        <v>0</v>
      </c>
      <c r="Q3055" t="n">
        <v>0</v>
      </c>
      <c r="R3055" s="2" t="inlineStr"/>
    </row>
    <row r="3056" ht="15" customHeight="1">
      <c r="A3056" t="inlineStr">
        <is>
          <t>A 5022-2025</t>
        </is>
      </c>
      <c r="B3056" s="1" t="n">
        <v>45691</v>
      </c>
      <c r="C3056" s="1" t="n">
        <v>45692</v>
      </c>
      <c r="D3056" t="inlineStr">
        <is>
          <t>VÄSTERNORRLANDS LÄN</t>
        </is>
      </c>
      <c r="E3056" t="inlineStr">
        <is>
          <t>SUNDSVALL</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5049-2025</t>
        </is>
      </c>
      <c r="B3057" s="1" t="n">
        <v>45691</v>
      </c>
      <c r="C3057" s="1" t="n">
        <v>45692</v>
      </c>
      <c r="D3057" t="inlineStr">
        <is>
          <t>VÄSTERNORRLANDS LÄN</t>
        </is>
      </c>
      <c r="E3057" t="inlineStr">
        <is>
          <t>SUNDSVALL</t>
        </is>
      </c>
      <c r="F3057" t="inlineStr">
        <is>
          <t>SCA</t>
        </is>
      </c>
      <c r="G3057" t="n">
        <v>5.1</v>
      </c>
      <c r="H3057" t="n">
        <v>0</v>
      </c>
      <c r="I3057" t="n">
        <v>0</v>
      </c>
      <c r="J3057" t="n">
        <v>0</v>
      </c>
      <c r="K3057" t="n">
        <v>0</v>
      </c>
      <c r="L3057" t="n">
        <v>0</v>
      </c>
      <c r="M3057" t="n">
        <v>0</v>
      </c>
      <c r="N3057" t="n">
        <v>0</v>
      </c>
      <c r="O3057" t="n">
        <v>0</v>
      </c>
      <c r="P3057" t="n">
        <v>0</v>
      </c>
      <c r="Q3057" t="n">
        <v>0</v>
      </c>
      <c r="R3057" s="2" t="inlineStr"/>
    </row>
    <row r="3058">
      <c r="A3058" t="inlineStr">
        <is>
          <t>A 5171-2025</t>
        </is>
      </c>
      <c r="B3058" s="1" t="n">
        <v>45691</v>
      </c>
      <c r="C3058" s="1" t="n">
        <v>45692</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2025-02-04T16:00:54Z</dcterms:created>
  <dcterms:modified xmlns:dcterms="http://purl.org/dc/terms/" xmlns:xsi="http://www.w3.org/2001/XMLSchema-instance" xsi:type="dcterms:W3CDTF">2025-02-04T16:00:56Z</dcterms:modified>
</cp:coreProperties>
</file>