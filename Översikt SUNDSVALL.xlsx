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45691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45691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45691</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45691</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45691</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45691</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45691</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45691</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45691</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45691</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45691</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45691</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45691</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45691</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45691</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45691</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45691</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45691</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45691</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45691</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45691</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45691</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45691</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45691</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45691</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45691</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45691</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45691</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45691</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45691</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45691</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45691</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45691</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45691</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45691</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45691</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45691</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45691</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45691</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45691</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45691</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45691</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45691</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45691</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45691</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45691</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45691</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45691</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45691</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45691</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45691</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45691</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45691</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45691</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45691</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45691</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45691</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45691</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45691</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45691</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45691</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45691</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45691</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45691</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65041-2019</t>
        </is>
      </c>
      <c r="B66" s="1" t="n">
        <v>43801</v>
      </c>
      <c r="C66" s="1" t="n">
        <v>45691</v>
      </c>
      <c r="D66" t="inlineStr">
        <is>
          <t>VÄSTERNORRLANDS LÄN</t>
        </is>
      </c>
      <c r="E66" t="inlineStr">
        <is>
          <t>SUNDSVALL</t>
        </is>
      </c>
      <c r="F66" t="inlineStr">
        <is>
          <t>Naturvårdsverket</t>
        </is>
      </c>
      <c r="G66" t="n">
        <v>33.1</v>
      </c>
      <c r="H66" t="n">
        <v>2</v>
      </c>
      <c r="I66" t="n">
        <v>0</v>
      </c>
      <c r="J66" t="n">
        <v>3</v>
      </c>
      <c r="K66" t="n">
        <v>0</v>
      </c>
      <c r="L66" t="n">
        <v>0</v>
      </c>
      <c r="M66" t="n">
        <v>0</v>
      </c>
      <c r="N66" t="n">
        <v>0</v>
      </c>
      <c r="O66" t="n">
        <v>3</v>
      </c>
      <c r="P66" t="n">
        <v>0</v>
      </c>
      <c r="Q66" t="n">
        <v>3</v>
      </c>
      <c r="R66" s="2" t="inlineStr">
        <is>
          <t>Dvärgbägarlav
Spillkråka
Tretåig hackspett</t>
        </is>
      </c>
      <c r="S66">
        <f>HYPERLINK("https://klasma.github.io/Logging_2281/artfynd/A 65041-2019 artfynd.xlsx", "A 65041-2019")</f>
        <v/>
      </c>
      <c r="T66">
        <f>HYPERLINK("https://klasma.github.io/Logging_2281/kartor/A 65041-2019 karta.png", "A 65041-2019")</f>
        <v/>
      </c>
      <c r="V66">
        <f>HYPERLINK("https://klasma.github.io/Logging_2281/klagomål/A 65041-2019 FSC-klagomål.docx", "A 65041-2019")</f>
        <v/>
      </c>
      <c r="W66">
        <f>HYPERLINK("https://klasma.github.io/Logging_2281/klagomålsmail/A 65041-2019 FSC-klagomål mail.docx", "A 65041-2019")</f>
        <v/>
      </c>
      <c r="X66">
        <f>HYPERLINK("https://klasma.github.io/Logging_2281/tillsyn/A 65041-2019 tillsynsbegäran.docx", "A 65041-2019")</f>
        <v/>
      </c>
      <c r="Y66">
        <f>HYPERLINK("https://klasma.github.io/Logging_2281/tillsynsmail/A 65041-2019 tillsynsbegäran mail.docx", "A 65041-2019")</f>
        <v/>
      </c>
      <c r="Z66">
        <f>HYPERLINK("https://klasma.github.io/Logging_2281/fåglar/A 65041-2019 prioriterade fågelarter.docx", "A 65041-2019")</f>
        <v/>
      </c>
    </row>
    <row r="67" ht="15" customHeight="1">
      <c r="A67" t="inlineStr">
        <is>
          <t>A 22407-2020</t>
        </is>
      </c>
      <c r="B67" s="1" t="n">
        <v>43962</v>
      </c>
      <c r="C67" s="1" t="n">
        <v>45691</v>
      </c>
      <c r="D67" t="inlineStr">
        <is>
          <t>VÄSTERNORRLANDS LÄN</t>
        </is>
      </c>
      <c r="E67" t="inlineStr">
        <is>
          <t>SUNDSVALL</t>
        </is>
      </c>
      <c r="G67" t="n">
        <v>1</v>
      </c>
      <c r="H67" t="n">
        <v>0</v>
      </c>
      <c r="I67" t="n">
        <v>1</v>
      </c>
      <c r="J67" t="n">
        <v>2</v>
      </c>
      <c r="K67" t="n">
        <v>0</v>
      </c>
      <c r="L67" t="n">
        <v>0</v>
      </c>
      <c r="M67" t="n">
        <v>0</v>
      </c>
      <c r="N67" t="n">
        <v>0</v>
      </c>
      <c r="O67" t="n">
        <v>2</v>
      </c>
      <c r="P67" t="n">
        <v>0</v>
      </c>
      <c r="Q67" t="n">
        <v>3</v>
      </c>
      <c r="R67" s="2" t="inlineStr">
        <is>
          <t>Slåtterfibbla
Ullticka
Dropptaggsvamp</t>
        </is>
      </c>
      <c r="S67">
        <f>HYPERLINK("https://klasma.github.io/Logging_2281/artfynd/A 22407-2020 artfynd.xlsx", "A 22407-2020")</f>
        <v/>
      </c>
      <c r="T67">
        <f>HYPERLINK("https://klasma.github.io/Logging_2281/kartor/A 22407-2020 karta.png", "A 22407-2020")</f>
        <v/>
      </c>
      <c r="U67">
        <f>HYPERLINK("https://klasma.github.io/Logging_2281/knärot/A 22407-2020 karta knärot.png", "A 22407-2020")</f>
        <v/>
      </c>
      <c r="V67">
        <f>HYPERLINK("https://klasma.github.io/Logging_2281/klagomål/A 22407-2020 FSC-klagomål.docx", "A 22407-2020")</f>
        <v/>
      </c>
      <c r="W67">
        <f>HYPERLINK("https://klasma.github.io/Logging_2281/klagomålsmail/A 22407-2020 FSC-klagomål mail.docx", "A 22407-2020")</f>
        <v/>
      </c>
      <c r="X67">
        <f>HYPERLINK("https://klasma.github.io/Logging_2281/tillsyn/A 22407-2020 tillsynsbegäran.docx", "A 22407-2020")</f>
        <v/>
      </c>
      <c r="Y67">
        <f>HYPERLINK("https://klasma.github.io/Logging_2281/tillsynsmail/A 22407-2020 tillsynsbegäran mail.docx", "A 22407-2020")</f>
        <v/>
      </c>
    </row>
    <row r="68" ht="15" customHeight="1">
      <c r="A68" t="inlineStr">
        <is>
          <t>A 39080-2020</t>
        </is>
      </c>
      <c r="B68" s="1" t="n">
        <v>44062</v>
      </c>
      <c r="C68" s="1" t="n">
        <v>45691</v>
      </c>
      <c r="D68" t="inlineStr">
        <is>
          <t>VÄSTERNORRLANDS LÄN</t>
        </is>
      </c>
      <c r="E68" t="inlineStr">
        <is>
          <t>SUNDSVALL</t>
        </is>
      </c>
      <c r="F68" t="inlineStr">
        <is>
          <t>SCA</t>
        </is>
      </c>
      <c r="G68" t="n">
        <v>4.5</v>
      </c>
      <c r="H68" t="n">
        <v>2</v>
      </c>
      <c r="I68" t="n">
        <v>0</v>
      </c>
      <c r="J68" t="n">
        <v>1</v>
      </c>
      <c r="K68" t="n">
        <v>1</v>
      </c>
      <c r="L68" t="n">
        <v>0</v>
      </c>
      <c r="M68" t="n">
        <v>0</v>
      </c>
      <c r="N68" t="n">
        <v>0</v>
      </c>
      <c r="O68" t="n">
        <v>2</v>
      </c>
      <c r="P68" t="n">
        <v>1</v>
      </c>
      <c r="Q68" t="n">
        <v>3</v>
      </c>
      <c r="R68" s="2" t="inlineStr">
        <is>
          <t>Knärot
Skrovellav
Blåsippa</t>
        </is>
      </c>
      <c r="S68">
        <f>HYPERLINK("https://klasma.github.io/Logging_2281/artfynd/A 39080-2020 artfynd.xlsx", "A 39080-2020")</f>
        <v/>
      </c>
      <c r="T68">
        <f>HYPERLINK("https://klasma.github.io/Logging_2281/kartor/A 39080-2020 karta.png", "A 39080-2020")</f>
        <v/>
      </c>
      <c r="U68">
        <f>HYPERLINK("https://klasma.github.io/Logging_2281/knärot/A 39080-2020 karta knärot.png", "A 39080-2020")</f>
        <v/>
      </c>
      <c r="V68">
        <f>HYPERLINK("https://klasma.github.io/Logging_2281/klagomål/A 39080-2020 FSC-klagomål.docx", "A 39080-2020")</f>
        <v/>
      </c>
      <c r="W68">
        <f>HYPERLINK("https://klasma.github.io/Logging_2281/klagomålsmail/A 39080-2020 FSC-klagomål mail.docx", "A 39080-2020")</f>
        <v/>
      </c>
      <c r="X68">
        <f>HYPERLINK("https://klasma.github.io/Logging_2281/tillsyn/A 39080-2020 tillsynsbegäran.docx", "A 39080-2020")</f>
        <v/>
      </c>
      <c r="Y68">
        <f>HYPERLINK("https://klasma.github.io/Logging_2281/tillsynsmail/A 39080-2020 tillsynsbegäran mail.docx", "A 39080-2020")</f>
        <v/>
      </c>
    </row>
    <row r="69" ht="15" customHeight="1">
      <c r="A69" t="inlineStr">
        <is>
          <t>A 24268-2021</t>
        </is>
      </c>
      <c r="B69" s="1" t="n">
        <v>44336</v>
      </c>
      <c r="C69" s="1" t="n">
        <v>45691</v>
      </c>
      <c r="D69" t="inlineStr">
        <is>
          <t>VÄSTERNORRLANDS LÄN</t>
        </is>
      </c>
      <c r="E69" t="inlineStr">
        <is>
          <t>SUNDSVALL</t>
        </is>
      </c>
      <c r="F69" t="inlineStr">
        <is>
          <t>SCA</t>
        </is>
      </c>
      <c r="G69" t="n">
        <v>5.4</v>
      </c>
      <c r="H69" t="n">
        <v>2</v>
      </c>
      <c r="I69" t="n">
        <v>0</v>
      </c>
      <c r="J69" t="n">
        <v>1</v>
      </c>
      <c r="K69" t="n">
        <v>0</v>
      </c>
      <c r="L69" t="n">
        <v>0</v>
      </c>
      <c r="M69" t="n">
        <v>0</v>
      </c>
      <c r="N69" t="n">
        <v>0</v>
      </c>
      <c r="O69" t="n">
        <v>1</v>
      </c>
      <c r="P69" t="n">
        <v>0</v>
      </c>
      <c r="Q69" t="n">
        <v>3</v>
      </c>
      <c r="R69" s="2" t="inlineStr">
        <is>
          <t>Lunglav
Fläcknycklar
Revlummer</t>
        </is>
      </c>
      <c r="S69">
        <f>HYPERLINK("https://klasma.github.io/Logging_2281/artfynd/A 24268-2021 artfynd.xlsx", "A 24268-2021")</f>
        <v/>
      </c>
      <c r="T69">
        <f>HYPERLINK("https://klasma.github.io/Logging_2281/kartor/A 24268-2021 karta.png", "A 24268-2021")</f>
        <v/>
      </c>
      <c r="V69">
        <f>HYPERLINK("https://klasma.github.io/Logging_2281/klagomål/A 24268-2021 FSC-klagomål.docx", "A 24268-2021")</f>
        <v/>
      </c>
      <c r="W69">
        <f>HYPERLINK("https://klasma.github.io/Logging_2281/klagomålsmail/A 24268-2021 FSC-klagomål mail.docx", "A 24268-2021")</f>
        <v/>
      </c>
      <c r="X69">
        <f>HYPERLINK("https://klasma.github.io/Logging_2281/tillsyn/A 24268-2021 tillsynsbegäran.docx", "A 24268-2021")</f>
        <v/>
      </c>
      <c r="Y69">
        <f>HYPERLINK("https://klasma.github.io/Logging_2281/tillsynsmail/A 24268-2021 tillsynsbegäran mail.docx", "A 24268-2021")</f>
        <v/>
      </c>
    </row>
    <row r="70" ht="15" customHeight="1">
      <c r="A70" t="inlineStr">
        <is>
          <t>A 11351-2022</t>
        </is>
      </c>
      <c r="B70" s="1" t="n">
        <v>44630</v>
      </c>
      <c r="C70" s="1" t="n">
        <v>45691</v>
      </c>
      <c r="D70" t="inlineStr">
        <is>
          <t>VÄSTERNORRLANDS LÄN</t>
        </is>
      </c>
      <c r="E70" t="inlineStr">
        <is>
          <t>SUNDSVALL</t>
        </is>
      </c>
      <c r="G70" t="n">
        <v>12.1</v>
      </c>
      <c r="H70" t="n">
        <v>1</v>
      </c>
      <c r="I70" t="n">
        <v>1</v>
      </c>
      <c r="J70" t="n">
        <v>1</v>
      </c>
      <c r="K70" t="n">
        <v>1</v>
      </c>
      <c r="L70" t="n">
        <v>0</v>
      </c>
      <c r="M70" t="n">
        <v>0</v>
      </c>
      <c r="N70" t="n">
        <v>0</v>
      </c>
      <c r="O70" t="n">
        <v>2</v>
      </c>
      <c r="P70" t="n">
        <v>1</v>
      </c>
      <c r="Q70" t="n">
        <v>3</v>
      </c>
      <c r="R70" s="2" t="inlineStr">
        <is>
          <t>Knärot
Vedskivlav
Kornig nållav</t>
        </is>
      </c>
      <c r="S70">
        <f>HYPERLINK("https://klasma.github.io/Logging_2281/artfynd/A 11351-2022 artfynd.xlsx", "A 11351-2022")</f>
        <v/>
      </c>
      <c r="T70">
        <f>HYPERLINK("https://klasma.github.io/Logging_2281/kartor/A 11351-2022 karta.png", "A 11351-2022")</f>
        <v/>
      </c>
      <c r="U70">
        <f>HYPERLINK("https://klasma.github.io/Logging_2281/knärot/A 11351-2022 karta knärot.png", "A 11351-2022")</f>
        <v/>
      </c>
      <c r="V70">
        <f>HYPERLINK("https://klasma.github.io/Logging_2281/klagomål/A 11351-2022 FSC-klagomål.docx", "A 11351-2022")</f>
        <v/>
      </c>
      <c r="W70">
        <f>HYPERLINK("https://klasma.github.io/Logging_2281/klagomålsmail/A 11351-2022 FSC-klagomål mail.docx", "A 11351-2022")</f>
        <v/>
      </c>
      <c r="X70">
        <f>HYPERLINK("https://klasma.github.io/Logging_2281/tillsyn/A 11351-2022 tillsynsbegäran.docx", "A 11351-2022")</f>
        <v/>
      </c>
      <c r="Y70">
        <f>HYPERLINK("https://klasma.github.io/Logging_2281/tillsynsmail/A 11351-2022 tillsynsbegäran mail.docx", "A 11351-2022")</f>
        <v/>
      </c>
    </row>
    <row r="71" ht="15" customHeight="1">
      <c r="A71" t="inlineStr">
        <is>
          <t>A 14677-2022</t>
        </is>
      </c>
      <c r="B71" s="1" t="n">
        <v>44655</v>
      </c>
      <c r="C71" s="1" t="n">
        <v>45691</v>
      </c>
      <c r="D71" t="inlineStr">
        <is>
          <t>VÄSTERNORRLANDS LÄN</t>
        </is>
      </c>
      <c r="E71" t="inlineStr">
        <is>
          <t>SUNDSVALL</t>
        </is>
      </c>
      <c r="G71" t="n">
        <v>12.9</v>
      </c>
      <c r="H71" t="n">
        <v>2</v>
      </c>
      <c r="I71" t="n">
        <v>0</v>
      </c>
      <c r="J71" t="n">
        <v>2</v>
      </c>
      <c r="K71" t="n">
        <v>1</v>
      </c>
      <c r="L71" t="n">
        <v>0</v>
      </c>
      <c r="M71" t="n">
        <v>0</v>
      </c>
      <c r="N71" t="n">
        <v>0</v>
      </c>
      <c r="O71" t="n">
        <v>3</v>
      </c>
      <c r="P71" t="n">
        <v>1</v>
      </c>
      <c r="Q71" t="n">
        <v>3</v>
      </c>
      <c r="R71" s="2" t="inlineStr">
        <is>
          <t>Knärot
Gammelgransskål
Tretåig hackspett</t>
        </is>
      </c>
      <c r="S71">
        <f>HYPERLINK("https://klasma.github.io/Logging_2281/artfynd/A 14677-2022 artfynd.xlsx", "A 14677-2022")</f>
        <v/>
      </c>
      <c r="T71">
        <f>HYPERLINK("https://klasma.github.io/Logging_2281/kartor/A 14677-2022 karta.png", "A 14677-2022")</f>
        <v/>
      </c>
      <c r="U71">
        <f>HYPERLINK("https://klasma.github.io/Logging_2281/knärot/A 14677-2022 karta knärot.png", "A 14677-2022")</f>
        <v/>
      </c>
      <c r="V71">
        <f>HYPERLINK("https://klasma.github.io/Logging_2281/klagomål/A 14677-2022 FSC-klagomål.docx", "A 14677-2022")</f>
        <v/>
      </c>
      <c r="W71">
        <f>HYPERLINK("https://klasma.github.io/Logging_2281/klagomålsmail/A 14677-2022 FSC-klagomål mail.docx", "A 14677-2022")</f>
        <v/>
      </c>
      <c r="X71">
        <f>HYPERLINK("https://klasma.github.io/Logging_2281/tillsyn/A 14677-2022 tillsynsbegäran.docx", "A 14677-2022")</f>
        <v/>
      </c>
      <c r="Y71">
        <f>HYPERLINK("https://klasma.github.io/Logging_2281/tillsynsmail/A 14677-2022 tillsynsbegäran mail.docx", "A 14677-2022")</f>
        <v/>
      </c>
      <c r="Z71">
        <f>HYPERLINK("https://klasma.github.io/Logging_2281/fåglar/A 14677-2022 prioriterade fågelarter.docx", "A 14677-2022")</f>
        <v/>
      </c>
    </row>
    <row r="72" ht="15" customHeight="1">
      <c r="A72" t="inlineStr">
        <is>
          <t>A 21662-2022</t>
        </is>
      </c>
      <c r="B72" s="1" t="n">
        <v>44706</v>
      </c>
      <c r="C72" s="1" t="n">
        <v>45691</v>
      </c>
      <c r="D72" t="inlineStr">
        <is>
          <t>VÄSTERNORRLANDS LÄN</t>
        </is>
      </c>
      <c r="E72" t="inlineStr">
        <is>
          <t>SUNDSVALL</t>
        </is>
      </c>
      <c r="F72" t="inlineStr">
        <is>
          <t>SCA</t>
        </is>
      </c>
      <c r="G72" t="n">
        <v>3.2</v>
      </c>
      <c r="H72" t="n">
        <v>1</v>
      </c>
      <c r="I72" t="n">
        <v>0</v>
      </c>
      <c r="J72" t="n">
        <v>2</v>
      </c>
      <c r="K72" t="n">
        <v>0</v>
      </c>
      <c r="L72" t="n">
        <v>0</v>
      </c>
      <c r="M72" t="n">
        <v>0</v>
      </c>
      <c r="N72" t="n">
        <v>0</v>
      </c>
      <c r="O72" t="n">
        <v>2</v>
      </c>
      <c r="P72" t="n">
        <v>0</v>
      </c>
      <c r="Q72" t="n">
        <v>3</v>
      </c>
      <c r="R72" s="2" t="inlineStr">
        <is>
          <t>Garnlav
Vedtrappmossa
Revlummer</t>
        </is>
      </c>
      <c r="S72">
        <f>HYPERLINK("https://klasma.github.io/Logging_2281/artfynd/A 21662-2022 artfynd.xlsx", "A 21662-2022")</f>
        <v/>
      </c>
      <c r="T72">
        <f>HYPERLINK("https://klasma.github.io/Logging_2281/kartor/A 21662-2022 karta.png", "A 21662-2022")</f>
        <v/>
      </c>
      <c r="V72">
        <f>HYPERLINK("https://klasma.github.io/Logging_2281/klagomål/A 21662-2022 FSC-klagomål.docx", "A 21662-2022")</f>
        <v/>
      </c>
      <c r="W72">
        <f>HYPERLINK("https://klasma.github.io/Logging_2281/klagomålsmail/A 21662-2022 FSC-klagomål mail.docx", "A 21662-2022")</f>
        <v/>
      </c>
      <c r="X72">
        <f>HYPERLINK("https://klasma.github.io/Logging_2281/tillsyn/A 21662-2022 tillsynsbegäran.docx", "A 21662-2022")</f>
        <v/>
      </c>
      <c r="Y72">
        <f>HYPERLINK("https://klasma.github.io/Logging_2281/tillsynsmail/A 21662-2022 tillsynsbegäran mail.docx", "A 21662-2022")</f>
        <v/>
      </c>
    </row>
    <row r="73" ht="15" customHeight="1">
      <c r="A73" t="inlineStr">
        <is>
          <t>A 8680-2023</t>
        </is>
      </c>
      <c r="B73" s="1" t="n">
        <v>44977</v>
      </c>
      <c r="C73" s="1" t="n">
        <v>45691</v>
      </c>
      <c r="D73" t="inlineStr">
        <is>
          <t>VÄSTERNORRLANDS LÄN</t>
        </is>
      </c>
      <c r="E73" t="inlineStr">
        <is>
          <t>SUNDSVALL</t>
        </is>
      </c>
      <c r="F73" t="inlineStr">
        <is>
          <t>Naturvårdsverket</t>
        </is>
      </c>
      <c r="G73" t="n">
        <v>10.1</v>
      </c>
      <c r="H73" t="n">
        <v>0</v>
      </c>
      <c r="I73" t="n">
        <v>0</v>
      </c>
      <c r="J73" t="n">
        <v>3</v>
      </c>
      <c r="K73" t="n">
        <v>0</v>
      </c>
      <c r="L73" t="n">
        <v>0</v>
      </c>
      <c r="M73" t="n">
        <v>0</v>
      </c>
      <c r="N73" t="n">
        <v>0</v>
      </c>
      <c r="O73" t="n">
        <v>3</v>
      </c>
      <c r="P73" t="n">
        <v>0</v>
      </c>
      <c r="Q73" t="n">
        <v>3</v>
      </c>
      <c r="R73" s="2" t="inlineStr">
        <is>
          <t>Dvärgbägarlav
Kolflarnlav
Ullticka</t>
        </is>
      </c>
      <c r="S73">
        <f>HYPERLINK("https://klasma.github.io/Logging_2281/artfynd/A 8680-2023 artfynd.xlsx", "A 8680-2023")</f>
        <v/>
      </c>
      <c r="T73">
        <f>HYPERLINK("https://klasma.github.io/Logging_2281/kartor/A 8680-2023 karta.png", "A 8680-2023")</f>
        <v/>
      </c>
      <c r="V73">
        <f>HYPERLINK("https://klasma.github.io/Logging_2281/klagomål/A 8680-2023 FSC-klagomål.docx", "A 8680-2023")</f>
        <v/>
      </c>
      <c r="W73">
        <f>HYPERLINK("https://klasma.github.io/Logging_2281/klagomålsmail/A 8680-2023 FSC-klagomål mail.docx", "A 8680-2023")</f>
        <v/>
      </c>
      <c r="X73">
        <f>HYPERLINK("https://klasma.github.io/Logging_2281/tillsyn/A 8680-2023 tillsynsbegäran.docx", "A 8680-2023")</f>
        <v/>
      </c>
      <c r="Y73">
        <f>HYPERLINK("https://klasma.github.io/Logging_2281/tillsynsmail/A 8680-2023 tillsynsbegäran mail.docx", "A 8680-2023")</f>
        <v/>
      </c>
    </row>
    <row r="74" ht="15" customHeight="1">
      <c r="A74" t="inlineStr">
        <is>
          <t>A 16377-2023</t>
        </is>
      </c>
      <c r="B74" s="1" t="n">
        <v>45028</v>
      </c>
      <c r="C74" s="1" t="n">
        <v>45691</v>
      </c>
      <c r="D74" t="inlineStr">
        <is>
          <t>VÄSTERNORRLANDS LÄN</t>
        </is>
      </c>
      <c r="E74" t="inlineStr">
        <is>
          <t>SUNDSVALL</t>
        </is>
      </c>
      <c r="F74" t="inlineStr">
        <is>
          <t>SCA</t>
        </is>
      </c>
      <c r="G74" t="n">
        <v>4.9</v>
      </c>
      <c r="H74" t="n">
        <v>1</v>
      </c>
      <c r="I74" t="n">
        <v>2</v>
      </c>
      <c r="J74" t="n">
        <v>1</v>
      </c>
      <c r="K74" t="n">
        <v>0</v>
      </c>
      <c r="L74" t="n">
        <v>0</v>
      </c>
      <c r="M74" t="n">
        <v>0</v>
      </c>
      <c r="N74" t="n">
        <v>0</v>
      </c>
      <c r="O74" t="n">
        <v>1</v>
      </c>
      <c r="P74" t="n">
        <v>0</v>
      </c>
      <c r="Q74" t="n">
        <v>3</v>
      </c>
      <c r="R74" s="2" t="inlineStr">
        <is>
          <t>Lunglav
Plattlummer
Skinnlav</t>
        </is>
      </c>
      <c r="S74">
        <f>HYPERLINK("https://klasma.github.io/Logging_2281/artfynd/A 16377-2023 artfynd.xlsx", "A 16377-2023")</f>
        <v/>
      </c>
      <c r="T74">
        <f>HYPERLINK("https://klasma.github.io/Logging_2281/kartor/A 16377-2023 karta.png", "A 16377-2023")</f>
        <v/>
      </c>
      <c r="V74">
        <f>HYPERLINK("https://klasma.github.io/Logging_2281/klagomål/A 16377-2023 FSC-klagomål.docx", "A 16377-2023")</f>
        <v/>
      </c>
      <c r="W74">
        <f>HYPERLINK("https://klasma.github.io/Logging_2281/klagomålsmail/A 16377-2023 FSC-klagomål mail.docx", "A 16377-2023")</f>
        <v/>
      </c>
      <c r="X74">
        <f>HYPERLINK("https://klasma.github.io/Logging_2281/tillsyn/A 16377-2023 tillsynsbegäran.docx", "A 16377-2023")</f>
        <v/>
      </c>
      <c r="Y74">
        <f>HYPERLINK("https://klasma.github.io/Logging_2281/tillsynsmail/A 16377-2023 tillsynsbegäran mail.docx", "A 16377-2023")</f>
        <v/>
      </c>
    </row>
    <row r="75" ht="15" customHeight="1">
      <c r="A75" t="inlineStr">
        <is>
          <t>A 27390-2023</t>
        </is>
      </c>
      <c r="B75" s="1" t="n">
        <v>45096</v>
      </c>
      <c r="C75" s="1" t="n">
        <v>45691</v>
      </c>
      <c r="D75" t="inlineStr">
        <is>
          <t>VÄSTERNORRLANDS LÄN</t>
        </is>
      </c>
      <c r="E75" t="inlineStr">
        <is>
          <t>SUNDSVALL</t>
        </is>
      </c>
      <c r="F75" t="inlineStr">
        <is>
          <t>SCA</t>
        </is>
      </c>
      <c r="G75" t="n">
        <v>14.3</v>
      </c>
      <c r="H75" t="n">
        <v>1</v>
      </c>
      <c r="I75" t="n">
        <v>1</v>
      </c>
      <c r="J75" t="n">
        <v>1</v>
      </c>
      <c r="K75" t="n">
        <v>0</v>
      </c>
      <c r="L75" t="n">
        <v>0</v>
      </c>
      <c r="M75" t="n">
        <v>0</v>
      </c>
      <c r="N75" t="n">
        <v>0</v>
      </c>
      <c r="O75" t="n">
        <v>1</v>
      </c>
      <c r="P75" t="n">
        <v>0</v>
      </c>
      <c r="Q75" t="n">
        <v>3</v>
      </c>
      <c r="R75" s="2" t="inlineStr">
        <is>
          <t>Lunglav
Vedticka
Blåsippa</t>
        </is>
      </c>
      <c r="S75">
        <f>HYPERLINK("https://klasma.github.io/Logging_2281/artfynd/A 27390-2023 artfynd.xlsx", "A 27390-2023")</f>
        <v/>
      </c>
      <c r="T75">
        <f>HYPERLINK("https://klasma.github.io/Logging_2281/kartor/A 27390-2023 karta.png", "A 27390-2023")</f>
        <v/>
      </c>
      <c r="V75">
        <f>HYPERLINK("https://klasma.github.io/Logging_2281/klagomål/A 27390-2023 FSC-klagomål.docx", "A 27390-2023")</f>
        <v/>
      </c>
      <c r="W75">
        <f>HYPERLINK("https://klasma.github.io/Logging_2281/klagomålsmail/A 27390-2023 FSC-klagomål mail.docx", "A 27390-2023")</f>
        <v/>
      </c>
      <c r="X75">
        <f>HYPERLINK("https://klasma.github.io/Logging_2281/tillsyn/A 27390-2023 tillsynsbegäran.docx", "A 27390-2023")</f>
        <v/>
      </c>
      <c r="Y75">
        <f>HYPERLINK("https://klasma.github.io/Logging_2281/tillsynsmail/A 27390-2023 tillsynsbegäran mail.docx", "A 27390-2023")</f>
        <v/>
      </c>
    </row>
    <row r="76" ht="15" customHeight="1">
      <c r="A76" t="inlineStr">
        <is>
          <t>A 27734-2023</t>
        </is>
      </c>
      <c r="B76" s="1" t="n">
        <v>45098</v>
      </c>
      <c r="C76" s="1" t="n">
        <v>45691</v>
      </c>
      <c r="D76" t="inlineStr">
        <is>
          <t>VÄSTERNORRLANDS LÄN</t>
        </is>
      </c>
      <c r="E76" t="inlineStr">
        <is>
          <t>SUNDSVALL</t>
        </is>
      </c>
      <c r="G76" t="n">
        <v>0.8</v>
      </c>
      <c r="H76" t="n">
        <v>3</v>
      </c>
      <c r="I76" t="n">
        <v>0</v>
      </c>
      <c r="J76" t="n">
        <v>1</v>
      </c>
      <c r="K76" t="n">
        <v>0</v>
      </c>
      <c r="L76" t="n">
        <v>1</v>
      </c>
      <c r="M76" t="n">
        <v>0</v>
      </c>
      <c r="N76" t="n">
        <v>0</v>
      </c>
      <c r="O76" t="n">
        <v>2</v>
      </c>
      <c r="P76" t="n">
        <v>1</v>
      </c>
      <c r="Q76" t="n">
        <v>3</v>
      </c>
      <c r="R76" s="2" t="inlineStr">
        <is>
          <t>Grönfink
Björktrast
Skogsduva</t>
        </is>
      </c>
      <c r="S76">
        <f>HYPERLINK("https://klasma.github.io/Logging_2281/artfynd/A 27734-2023 artfynd.xlsx", "A 27734-2023")</f>
        <v/>
      </c>
      <c r="T76">
        <f>HYPERLINK("https://klasma.github.io/Logging_2281/kartor/A 27734-2023 karta.png", "A 27734-2023")</f>
        <v/>
      </c>
      <c r="V76">
        <f>HYPERLINK("https://klasma.github.io/Logging_2281/klagomål/A 27734-2023 FSC-klagomål.docx", "A 27734-2023")</f>
        <v/>
      </c>
      <c r="W76">
        <f>HYPERLINK("https://klasma.github.io/Logging_2281/klagomålsmail/A 27734-2023 FSC-klagomål mail.docx", "A 27734-2023")</f>
        <v/>
      </c>
      <c r="X76">
        <f>HYPERLINK("https://klasma.github.io/Logging_2281/tillsyn/A 27734-2023 tillsynsbegäran.docx", "A 27734-2023")</f>
        <v/>
      </c>
      <c r="Y76">
        <f>HYPERLINK("https://klasma.github.io/Logging_2281/tillsynsmail/A 27734-2023 tillsynsbegäran mail.docx", "A 27734-2023")</f>
        <v/>
      </c>
      <c r="Z76">
        <f>HYPERLINK("https://klasma.github.io/Logging_2281/fåglar/A 27734-2023 prioriterade fågelarter.docx", "A 27734-2023")</f>
        <v/>
      </c>
    </row>
    <row r="77" ht="15" customHeight="1">
      <c r="A77" t="inlineStr">
        <is>
          <t>A 38096-2023</t>
        </is>
      </c>
      <c r="B77" s="1" t="n">
        <v>45160</v>
      </c>
      <c r="C77" s="1" t="n">
        <v>45691</v>
      </c>
      <c r="D77" t="inlineStr">
        <is>
          <t>VÄSTERNORRLANDS LÄN</t>
        </is>
      </c>
      <c r="E77" t="inlineStr">
        <is>
          <t>SUNDSVALL</t>
        </is>
      </c>
      <c r="F77" t="inlineStr">
        <is>
          <t>SCA</t>
        </is>
      </c>
      <c r="G77" t="n">
        <v>3.6</v>
      </c>
      <c r="H77" t="n">
        <v>0</v>
      </c>
      <c r="I77" t="n">
        <v>1</v>
      </c>
      <c r="J77" t="n">
        <v>2</v>
      </c>
      <c r="K77" t="n">
        <v>0</v>
      </c>
      <c r="L77" t="n">
        <v>0</v>
      </c>
      <c r="M77" t="n">
        <v>0</v>
      </c>
      <c r="N77" t="n">
        <v>0</v>
      </c>
      <c r="O77" t="n">
        <v>2</v>
      </c>
      <c r="P77" t="n">
        <v>0</v>
      </c>
      <c r="Q77" t="n">
        <v>3</v>
      </c>
      <c r="R77" s="2" t="inlineStr">
        <is>
          <t>Blå taggsvamp
Lunglav
Dropptaggsvamp</t>
        </is>
      </c>
      <c r="S77">
        <f>HYPERLINK("https://klasma.github.io/Logging_2281/artfynd/A 38096-2023 artfynd.xlsx", "A 38096-2023")</f>
        <v/>
      </c>
      <c r="T77">
        <f>HYPERLINK("https://klasma.github.io/Logging_2281/kartor/A 38096-2023 karta.png", "A 38096-2023")</f>
        <v/>
      </c>
      <c r="V77">
        <f>HYPERLINK("https://klasma.github.io/Logging_2281/klagomål/A 38096-2023 FSC-klagomål.docx", "A 38096-2023")</f>
        <v/>
      </c>
      <c r="W77">
        <f>HYPERLINK("https://klasma.github.io/Logging_2281/klagomålsmail/A 38096-2023 FSC-klagomål mail.docx", "A 38096-2023")</f>
        <v/>
      </c>
      <c r="X77">
        <f>HYPERLINK("https://klasma.github.io/Logging_2281/tillsyn/A 38096-2023 tillsynsbegäran.docx", "A 38096-2023")</f>
        <v/>
      </c>
      <c r="Y77">
        <f>HYPERLINK("https://klasma.github.io/Logging_2281/tillsynsmail/A 38096-2023 tillsynsbegäran mail.docx", "A 38096-2023")</f>
        <v/>
      </c>
    </row>
    <row r="78" ht="15" customHeight="1">
      <c r="A78" t="inlineStr">
        <is>
          <t>A 54621-2023</t>
        </is>
      </c>
      <c r="B78" s="1" t="n">
        <v>45233</v>
      </c>
      <c r="C78" s="1" t="n">
        <v>45691</v>
      </c>
      <c r="D78" t="inlineStr">
        <is>
          <t>VÄSTERNORRLANDS LÄN</t>
        </is>
      </c>
      <c r="E78" t="inlineStr">
        <is>
          <t>SUNDSVALL</t>
        </is>
      </c>
      <c r="F78" t="inlineStr">
        <is>
          <t>Naturvårdsverket</t>
        </is>
      </c>
      <c r="G78" t="n">
        <v>3.9</v>
      </c>
      <c r="H78" t="n">
        <v>0</v>
      </c>
      <c r="I78" t="n">
        <v>0</v>
      </c>
      <c r="J78" t="n">
        <v>3</v>
      </c>
      <c r="K78" t="n">
        <v>0</v>
      </c>
      <c r="L78" t="n">
        <v>0</v>
      </c>
      <c r="M78" t="n">
        <v>0</v>
      </c>
      <c r="N78" t="n">
        <v>0</v>
      </c>
      <c r="O78" t="n">
        <v>3</v>
      </c>
      <c r="P78" t="n">
        <v>0</v>
      </c>
      <c r="Q78" t="n">
        <v>3</v>
      </c>
      <c r="R78" s="2" t="inlineStr">
        <is>
          <t>Kolflarnlav
Tallticka
Ullticka</t>
        </is>
      </c>
      <c r="S78">
        <f>HYPERLINK("https://klasma.github.io/Logging_2281/artfynd/A 54621-2023 artfynd.xlsx", "A 54621-2023")</f>
        <v/>
      </c>
      <c r="T78">
        <f>HYPERLINK("https://klasma.github.io/Logging_2281/kartor/A 54621-2023 karta.png", "A 54621-2023")</f>
        <v/>
      </c>
      <c r="V78">
        <f>HYPERLINK("https://klasma.github.io/Logging_2281/klagomål/A 54621-2023 FSC-klagomål.docx", "A 54621-2023")</f>
        <v/>
      </c>
      <c r="W78">
        <f>HYPERLINK("https://klasma.github.io/Logging_2281/klagomålsmail/A 54621-2023 FSC-klagomål mail.docx", "A 54621-2023")</f>
        <v/>
      </c>
      <c r="X78">
        <f>HYPERLINK("https://klasma.github.io/Logging_2281/tillsyn/A 54621-2023 tillsynsbegäran.docx", "A 54621-2023")</f>
        <v/>
      </c>
      <c r="Y78">
        <f>HYPERLINK("https://klasma.github.io/Logging_2281/tillsynsmail/A 54621-2023 tillsynsbegäran mail.docx", "A 54621-2023")</f>
        <v/>
      </c>
    </row>
    <row r="79" ht="15" customHeight="1">
      <c r="A79" t="inlineStr">
        <is>
          <t>A 60864-2023</t>
        </is>
      </c>
      <c r="B79" s="1" t="n">
        <v>45260</v>
      </c>
      <c r="C79" s="1" t="n">
        <v>45691</v>
      </c>
      <c r="D79" t="inlineStr">
        <is>
          <t>VÄSTERNORRLANDS LÄN</t>
        </is>
      </c>
      <c r="E79" t="inlineStr">
        <is>
          <t>SUNDSVALL</t>
        </is>
      </c>
      <c r="F79" t="inlineStr">
        <is>
          <t>SCA</t>
        </is>
      </c>
      <c r="G79" t="n">
        <v>0.9</v>
      </c>
      <c r="H79" t="n">
        <v>1</v>
      </c>
      <c r="I79" t="n">
        <v>2</v>
      </c>
      <c r="J79" t="n">
        <v>1</v>
      </c>
      <c r="K79" t="n">
        <v>0</v>
      </c>
      <c r="L79" t="n">
        <v>0</v>
      </c>
      <c r="M79" t="n">
        <v>0</v>
      </c>
      <c r="N79" t="n">
        <v>0</v>
      </c>
      <c r="O79" t="n">
        <v>1</v>
      </c>
      <c r="P79" t="n">
        <v>0</v>
      </c>
      <c r="Q79" t="n">
        <v>3</v>
      </c>
      <c r="R79" s="2" t="inlineStr">
        <is>
          <t>Tretåig hackspett
Dropptaggsvamp
Vedticka</t>
        </is>
      </c>
      <c r="S79">
        <f>HYPERLINK("https://klasma.github.io/Logging_2281/artfynd/A 60864-2023 artfynd.xlsx", "A 60864-2023")</f>
        <v/>
      </c>
      <c r="T79">
        <f>HYPERLINK("https://klasma.github.io/Logging_2281/kartor/A 60864-2023 karta.png", "A 60864-2023")</f>
        <v/>
      </c>
      <c r="V79">
        <f>HYPERLINK("https://klasma.github.io/Logging_2281/klagomål/A 60864-2023 FSC-klagomål.docx", "A 60864-2023")</f>
        <v/>
      </c>
      <c r="W79">
        <f>HYPERLINK("https://klasma.github.io/Logging_2281/klagomålsmail/A 60864-2023 FSC-klagomål mail.docx", "A 60864-2023")</f>
        <v/>
      </c>
      <c r="X79">
        <f>HYPERLINK("https://klasma.github.io/Logging_2281/tillsyn/A 60864-2023 tillsynsbegäran.docx", "A 60864-2023")</f>
        <v/>
      </c>
      <c r="Y79">
        <f>HYPERLINK("https://klasma.github.io/Logging_2281/tillsynsmail/A 60864-2023 tillsynsbegäran mail.docx", "A 60864-2023")</f>
        <v/>
      </c>
      <c r="Z79">
        <f>HYPERLINK("https://klasma.github.io/Logging_2281/fåglar/A 60864-2023 prioriterade fågelarter.docx", "A 60864-2023")</f>
        <v/>
      </c>
    </row>
    <row r="80" ht="15" customHeight="1">
      <c r="A80" t="inlineStr">
        <is>
          <t>A 14820-2024</t>
        </is>
      </c>
      <c r="B80" s="1" t="n">
        <v>45397</v>
      </c>
      <c r="C80" s="1" t="n">
        <v>45691</v>
      </c>
      <c r="D80" t="inlineStr">
        <is>
          <t>VÄSTERNORRLANDS LÄN</t>
        </is>
      </c>
      <c r="E80" t="inlineStr">
        <is>
          <t>SUNDSVALL</t>
        </is>
      </c>
      <c r="F80" t="inlineStr">
        <is>
          <t>SCA</t>
        </is>
      </c>
      <c r="G80" t="n">
        <v>13.1</v>
      </c>
      <c r="H80" t="n">
        <v>0</v>
      </c>
      <c r="I80" t="n">
        <v>1</v>
      </c>
      <c r="J80" t="n">
        <v>2</v>
      </c>
      <c r="K80" t="n">
        <v>0</v>
      </c>
      <c r="L80" t="n">
        <v>0</v>
      </c>
      <c r="M80" t="n">
        <v>0</v>
      </c>
      <c r="N80" t="n">
        <v>0</v>
      </c>
      <c r="O80" t="n">
        <v>2</v>
      </c>
      <c r="P80" t="n">
        <v>0</v>
      </c>
      <c r="Q80" t="n">
        <v>3</v>
      </c>
      <c r="R80" s="2" t="inlineStr">
        <is>
          <t>Garnlav
Lunglav
Luddlav</t>
        </is>
      </c>
      <c r="S80">
        <f>HYPERLINK("https://klasma.github.io/Logging_2281/artfynd/A 14820-2024 artfynd.xlsx", "A 14820-2024")</f>
        <v/>
      </c>
      <c r="T80">
        <f>HYPERLINK("https://klasma.github.io/Logging_2281/kartor/A 14820-2024 karta.png", "A 14820-2024")</f>
        <v/>
      </c>
      <c r="V80">
        <f>HYPERLINK("https://klasma.github.io/Logging_2281/klagomål/A 14820-2024 FSC-klagomål.docx", "A 14820-2024")</f>
        <v/>
      </c>
      <c r="W80">
        <f>HYPERLINK("https://klasma.github.io/Logging_2281/klagomålsmail/A 14820-2024 FSC-klagomål mail.docx", "A 14820-2024")</f>
        <v/>
      </c>
      <c r="X80">
        <f>HYPERLINK("https://klasma.github.io/Logging_2281/tillsyn/A 14820-2024 tillsynsbegäran.docx", "A 14820-2024")</f>
        <v/>
      </c>
      <c r="Y80">
        <f>HYPERLINK("https://klasma.github.io/Logging_2281/tillsynsmail/A 14820-2024 tillsynsbegäran mail.docx", "A 14820-2024")</f>
        <v/>
      </c>
    </row>
    <row r="81" ht="15" customHeight="1">
      <c r="A81" t="inlineStr">
        <is>
          <t>A 29076-2024</t>
        </is>
      </c>
      <c r="B81" s="1" t="n">
        <v>45481</v>
      </c>
      <c r="C81" s="1" t="n">
        <v>45691</v>
      </c>
      <c r="D81" t="inlineStr">
        <is>
          <t>VÄSTERNORRLANDS LÄN</t>
        </is>
      </c>
      <c r="E81" t="inlineStr">
        <is>
          <t>SUNDSVALL</t>
        </is>
      </c>
      <c r="G81" t="n">
        <v>5.6</v>
      </c>
      <c r="H81" t="n">
        <v>0</v>
      </c>
      <c r="I81" t="n">
        <v>2</v>
      </c>
      <c r="J81" t="n">
        <v>1</v>
      </c>
      <c r="K81" t="n">
        <v>0</v>
      </c>
      <c r="L81" t="n">
        <v>0</v>
      </c>
      <c r="M81" t="n">
        <v>0</v>
      </c>
      <c r="N81" t="n">
        <v>0</v>
      </c>
      <c r="O81" t="n">
        <v>1</v>
      </c>
      <c r="P81" t="n">
        <v>0</v>
      </c>
      <c r="Q81" t="n">
        <v>3</v>
      </c>
      <c r="R81" s="2" t="inlineStr">
        <is>
          <t>Lunglav
Bårdlav
Stuplav</t>
        </is>
      </c>
      <c r="S81">
        <f>HYPERLINK("https://klasma.github.io/Logging_2281/artfynd/A 29076-2024 artfynd.xlsx", "A 29076-2024")</f>
        <v/>
      </c>
      <c r="T81">
        <f>HYPERLINK("https://klasma.github.io/Logging_2281/kartor/A 29076-2024 karta.png",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31515-2024</t>
        </is>
      </c>
      <c r="B82" s="1" t="n">
        <v>45505</v>
      </c>
      <c r="C82" s="1" t="n">
        <v>45691</v>
      </c>
      <c r="D82" t="inlineStr">
        <is>
          <t>VÄSTERNORRLANDS LÄN</t>
        </is>
      </c>
      <c r="E82" t="inlineStr">
        <is>
          <t>SUNDSVALL</t>
        </is>
      </c>
      <c r="F82" t="inlineStr">
        <is>
          <t>SCA</t>
        </is>
      </c>
      <c r="G82" t="n">
        <v>2.7</v>
      </c>
      <c r="H82" t="n">
        <v>0</v>
      </c>
      <c r="I82" t="n">
        <v>0</v>
      </c>
      <c r="J82" t="n">
        <v>3</v>
      </c>
      <c r="K82" t="n">
        <v>0</v>
      </c>
      <c r="L82" t="n">
        <v>0</v>
      </c>
      <c r="M82" t="n">
        <v>0</v>
      </c>
      <c r="N82" t="n">
        <v>0</v>
      </c>
      <c r="O82" t="n">
        <v>3</v>
      </c>
      <c r="P82" t="n">
        <v>0</v>
      </c>
      <c r="Q82" t="n">
        <v>3</v>
      </c>
      <c r="R82" s="2" t="inlineStr">
        <is>
          <t>Garnlav
Lunglav
Violettgrå tagellav</t>
        </is>
      </c>
      <c r="S82">
        <f>HYPERLINK("https://klasma.github.io/Logging_2281/artfynd/A 31515-2024 artfynd.xlsx", "A 31515-2024")</f>
        <v/>
      </c>
      <c r="T82">
        <f>HYPERLINK("https://klasma.github.io/Logging_2281/kartor/A 31515-2024 karta.png", "A 31515-2024")</f>
        <v/>
      </c>
      <c r="V82">
        <f>HYPERLINK("https://klasma.github.io/Logging_2281/klagomål/A 31515-2024 FSC-klagomål.docx", "A 31515-2024")</f>
        <v/>
      </c>
      <c r="W82">
        <f>HYPERLINK("https://klasma.github.io/Logging_2281/klagomålsmail/A 31515-2024 FSC-klagomål mail.docx", "A 31515-2024")</f>
        <v/>
      </c>
      <c r="X82">
        <f>HYPERLINK("https://klasma.github.io/Logging_2281/tillsyn/A 31515-2024 tillsynsbegäran.docx", "A 31515-2024")</f>
        <v/>
      </c>
      <c r="Y82">
        <f>HYPERLINK("https://klasma.github.io/Logging_2281/tillsynsmail/A 31515-2024 tillsynsbegäran mail.docx", "A 31515-2024")</f>
        <v/>
      </c>
    </row>
    <row r="83" ht="15" customHeight="1">
      <c r="A83" t="inlineStr">
        <is>
          <t>A 55550-2024</t>
        </is>
      </c>
      <c r="B83" s="1" t="n">
        <v>45622</v>
      </c>
      <c r="C83" s="1" t="n">
        <v>45691</v>
      </c>
      <c r="D83" t="inlineStr">
        <is>
          <t>VÄSTERNORRLANDS LÄN</t>
        </is>
      </c>
      <c r="E83" t="inlineStr">
        <is>
          <t>SUNDSVALL</t>
        </is>
      </c>
      <c r="F83" t="inlineStr">
        <is>
          <t>SCA</t>
        </is>
      </c>
      <c r="G83" t="n">
        <v>4.4</v>
      </c>
      <c r="H83" t="n">
        <v>2</v>
      </c>
      <c r="I83" t="n">
        <v>1</v>
      </c>
      <c r="J83" t="n">
        <v>1</v>
      </c>
      <c r="K83" t="n">
        <v>1</v>
      </c>
      <c r="L83" t="n">
        <v>0</v>
      </c>
      <c r="M83" t="n">
        <v>0</v>
      </c>
      <c r="N83" t="n">
        <v>0</v>
      </c>
      <c r="O83" t="n">
        <v>2</v>
      </c>
      <c r="P83" t="n">
        <v>1</v>
      </c>
      <c r="Q83" t="n">
        <v>3</v>
      </c>
      <c r="R83" s="2" t="inlineStr">
        <is>
          <t>Knärot
Tretåig hackspett
Vedticka</t>
        </is>
      </c>
      <c r="S83">
        <f>HYPERLINK("https://klasma.github.io/Logging_2281/artfynd/A 55550-2024 artfynd.xlsx", "A 55550-2024")</f>
        <v/>
      </c>
      <c r="T83">
        <f>HYPERLINK("https://klasma.github.io/Logging_2281/kartor/A 55550-2024 karta.png", "A 55550-2024")</f>
        <v/>
      </c>
      <c r="U83">
        <f>HYPERLINK("https://klasma.github.io/Logging_2281/knärot/A 55550-2024 karta knärot.png", "A 55550-2024")</f>
        <v/>
      </c>
      <c r="V83">
        <f>HYPERLINK("https://klasma.github.io/Logging_2281/klagomål/A 55550-2024 FSC-klagomål.docx", "A 55550-2024")</f>
        <v/>
      </c>
      <c r="W83">
        <f>HYPERLINK("https://klasma.github.io/Logging_2281/klagomålsmail/A 55550-2024 FSC-klagomål mail.docx", "A 55550-2024")</f>
        <v/>
      </c>
      <c r="X83">
        <f>HYPERLINK("https://klasma.github.io/Logging_2281/tillsyn/A 55550-2024 tillsynsbegäran.docx", "A 55550-2024")</f>
        <v/>
      </c>
      <c r="Y83">
        <f>HYPERLINK("https://klasma.github.io/Logging_2281/tillsynsmail/A 55550-2024 tillsynsbegäran mail.docx", "A 55550-2024")</f>
        <v/>
      </c>
      <c r="Z83">
        <f>HYPERLINK("https://klasma.github.io/Logging_2281/fåglar/A 55550-2024 prioriterade fågelarter.docx", "A 55550-2024")</f>
        <v/>
      </c>
    </row>
    <row r="84" ht="15" customHeight="1">
      <c r="A84" t="inlineStr">
        <is>
          <t>A 47808-2019</t>
        </is>
      </c>
      <c r="B84" s="1" t="n">
        <v>43724</v>
      </c>
      <c r="C84" s="1" t="n">
        <v>45691</v>
      </c>
      <c r="D84" t="inlineStr">
        <is>
          <t>VÄSTERNORRLANDS LÄN</t>
        </is>
      </c>
      <c r="E84" t="inlineStr">
        <is>
          <t>SUNDSVALL</t>
        </is>
      </c>
      <c r="F84" t="inlineStr">
        <is>
          <t>SCA</t>
        </is>
      </c>
      <c r="G84" t="n">
        <v>3.6</v>
      </c>
      <c r="H84" t="n">
        <v>0</v>
      </c>
      <c r="I84" t="n">
        <v>1</v>
      </c>
      <c r="J84" t="n">
        <v>1</v>
      </c>
      <c r="K84" t="n">
        <v>0</v>
      </c>
      <c r="L84" t="n">
        <v>0</v>
      </c>
      <c r="M84" t="n">
        <v>0</v>
      </c>
      <c r="N84" t="n">
        <v>0</v>
      </c>
      <c r="O84" t="n">
        <v>1</v>
      </c>
      <c r="P84" t="n">
        <v>0</v>
      </c>
      <c r="Q84" t="n">
        <v>2</v>
      </c>
      <c r="R84" s="2" t="inlineStr">
        <is>
          <t>Lunglav
Stuplav</t>
        </is>
      </c>
      <c r="S84">
        <f>HYPERLINK("https://klasma.github.io/Logging_2281/artfynd/A 47808-2019 artfynd.xlsx", "A 47808-2019")</f>
        <v/>
      </c>
      <c r="T84">
        <f>HYPERLINK("https://klasma.github.io/Logging_2281/kartor/A 47808-2019 karta.png", "A 47808-2019")</f>
        <v/>
      </c>
      <c r="V84">
        <f>HYPERLINK("https://klasma.github.io/Logging_2281/klagomål/A 47808-2019 FSC-klagomål.docx", "A 47808-2019")</f>
        <v/>
      </c>
      <c r="W84">
        <f>HYPERLINK("https://klasma.github.io/Logging_2281/klagomålsmail/A 47808-2019 FSC-klagomål mail.docx", "A 47808-2019")</f>
        <v/>
      </c>
      <c r="X84">
        <f>HYPERLINK("https://klasma.github.io/Logging_2281/tillsyn/A 47808-2019 tillsynsbegäran.docx", "A 47808-2019")</f>
        <v/>
      </c>
      <c r="Y84">
        <f>HYPERLINK("https://klasma.github.io/Logging_2281/tillsynsmail/A 47808-2019 tillsynsbegäran mail.docx", "A 47808-2019")</f>
        <v/>
      </c>
    </row>
    <row r="85" ht="15" customHeight="1">
      <c r="A85" t="inlineStr">
        <is>
          <t>A 50336-2020</t>
        </is>
      </c>
      <c r="B85" s="1" t="n">
        <v>44110</v>
      </c>
      <c r="C85" s="1" t="n">
        <v>45691</v>
      </c>
      <c r="D85" t="inlineStr">
        <is>
          <t>VÄSTERNORRLANDS LÄN</t>
        </is>
      </c>
      <c r="E85" t="inlineStr">
        <is>
          <t>SUNDSVALL</t>
        </is>
      </c>
      <c r="F85" t="inlineStr">
        <is>
          <t>Kommuner</t>
        </is>
      </c>
      <c r="G85" t="n">
        <v>6.9</v>
      </c>
      <c r="H85" t="n">
        <v>2</v>
      </c>
      <c r="I85" t="n">
        <v>0</v>
      </c>
      <c r="J85" t="n">
        <v>1</v>
      </c>
      <c r="K85" t="n">
        <v>0</v>
      </c>
      <c r="L85" t="n">
        <v>0</v>
      </c>
      <c r="M85" t="n">
        <v>0</v>
      </c>
      <c r="N85" t="n">
        <v>0</v>
      </c>
      <c r="O85" t="n">
        <v>1</v>
      </c>
      <c r="P85" t="n">
        <v>0</v>
      </c>
      <c r="Q85" t="n">
        <v>2</v>
      </c>
      <c r="R85" s="2" t="inlineStr">
        <is>
          <t>Rödvingetrast
Gråkråka</t>
        </is>
      </c>
      <c r="S85">
        <f>HYPERLINK("https://klasma.github.io/Logging_2281/artfynd/A 50336-2020 artfynd.xlsx", "A 50336-2020")</f>
        <v/>
      </c>
      <c r="T85">
        <f>HYPERLINK("https://klasma.github.io/Logging_2281/kartor/A 50336-2020 karta.png", "A 50336-2020")</f>
        <v/>
      </c>
      <c r="V85">
        <f>HYPERLINK("https://klasma.github.io/Logging_2281/klagomål/A 50336-2020 FSC-klagomål.docx", "A 50336-2020")</f>
        <v/>
      </c>
      <c r="W85">
        <f>HYPERLINK("https://klasma.github.io/Logging_2281/klagomålsmail/A 50336-2020 FSC-klagomål mail.docx", "A 50336-2020")</f>
        <v/>
      </c>
      <c r="X85">
        <f>HYPERLINK("https://klasma.github.io/Logging_2281/tillsyn/A 50336-2020 tillsynsbegäran.docx", "A 50336-2020")</f>
        <v/>
      </c>
      <c r="Y85">
        <f>HYPERLINK("https://klasma.github.io/Logging_2281/tillsynsmail/A 50336-2020 tillsynsbegäran mail.docx", "A 50336-2020")</f>
        <v/>
      </c>
      <c r="Z85">
        <f>HYPERLINK("https://klasma.github.io/Logging_2281/fåglar/A 50336-2020 prioriterade fågelarter.docx", "A 50336-2020")</f>
        <v/>
      </c>
    </row>
    <row r="86" ht="15" customHeight="1">
      <c r="A86" t="inlineStr">
        <is>
          <t>A 7637-2021</t>
        </is>
      </c>
      <c r="B86" s="1" t="n">
        <v>44242</v>
      </c>
      <c r="C86" s="1" t="n">
        <v>45691</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45691</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45691</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45691</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45691</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45691</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45691</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45691</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45691</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45691</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45691</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45691</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45691</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45691</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45691</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45691</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45691</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45691</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45691</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45691</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45691</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45691</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45691</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45691</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45691</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45691</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34766-2024</t>
        </is>
      </c>
      <c r="B112" s="1" t="n">
        <v>45526</v>
      </c>
      <c r="C112" s="1" t="n">
        <v>45691</v>
      </c>
      <c r="D112" t="inlineStr">
        <is>
          <t>VÄSTERNORRLANDS LÄN</t>
        </is>
      </c>
      <c r="E112" t="inlineStr">
        <is>
          <t>SUNDSVALL</t>
        </is>
      </c>
      <c r="F112" t="inlineStr">
        <is>
          <t>SCA</t>
        </is>
      </c>
      <c r="G112" t="n">
        <v>10</v>
      </c>
      <c r="H112" t="n">
        <v>1</v>
      </c>
      <c r="I112" t="n">
        <v>1</v>
      </c>
      <c r="J112" t="n">
        <v>0</v>
      </c>
      <c r="K112" t="n">
        <v>0</v>
      </c>
      <c r="L112" t="n">
        <v>0</v>
      </c>
      <c r="M112" t="n">
        <v>0</v>
      </c>
      <c r="N112" t="n">
        <v>0</v>
      </c>
      <c r="O112" t="n">
        <v>0</v>
      </c>
      <c r="P112" t="n">
        <v>0</v>
      </c>
      <c r="Q112" t="n">
        <v>2</v>
      </c>
      <c r="R112" s="2" t="inlineStr">
        <is>
          <t>Vårärt
Revlummer</t>
        </is>
      </c>
      <c r="S112">
        <f>HYPERLINK("https://klasma.github.io/Logging_2281/artfynd/A 34766-2024 artfynd.xlsx", "A 34766-2024")</f>
        <v/>
      </c>
      <c r="T112">
        <f>HYPERLINK("https://klasma.github.io/Logging_2281/kartor/A 34766-2024 karta.png", "A 34766-2024")</f>
        <v/>
      </c>
      <c r="V112">
        <f>HYPERLINK("https://klasma.github.io/Logging_2281/klagomål/A 34766-2024 FSC-klagomål.docx", "A 34766-2024")</f>
        <v/>
      </c>
      <c r="W112">
        <f>HYPERLINK("https://klasma.github.io/Logging_2281/klagomålsmail/A 34766-2024 FSC-klagomål mail.docx", "A 34766-2024")</f>
        <v/>
      </c>
      <c r="X112">
        <f>HYPERLINK("https://klasma.github.io/Logging_2281/tillsyn/A 34766-2024 tillsynsbegäran.docx", "A 34766-2024")</f>
        <v/>
      </c>
      <c r="Y112">
        <f>HYPERLINK("https://klasma.github.io/Logging_2281/tillsynsmail/A 34766-2024 tillsynsbegäran mail.docx", "A 34766-2024")</f>
        <v/>
      </c>
    </row>
    <row r="113" ht="15" customHeight="1">
      <c r="A113" t="inlineStr">
        <is>
          <t>A 41090-2024</t>
        </is>
      </c>
      <c r="B113" s="1" t="n">
        <v>45559</v>
      </c>
      <c r="C113" s="1" t="n">
        <v>45691</v>
      </c>
      <c r="D113" t="inlineStr">
        <is>
          <t>VÄSTERNORRLANDS LÄN</t>
        </is>
      </c>
      <c r="E113" t="inlineStr">
        <is>
          <t>SUNDSVALL</t>
        </is>
      </c>
      <c r="F113" t="inlineStr">
        <is>
          <t>SCA</t>
        </is>
      </c>
      <c r="G113" t="n">
        <v>1.7</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41090-2024 artfynd.xlsx", "A 41090-2024")</f>
        <v/>
      </c>
      <c r="T113">
        <f>HYPERLINK("https://klasma.github.io/Logging_2281/kartor/A 41090-2024 karta.png", "A 41090-2024")</f>
        <v/>
      </c>
      <c r="V113">
        <f>HYPERLINK("https://klasma.github.io/Logging_2281/klagomål/A 41090-2024 FSC-klagomål.docx", "A 41090-2024")</f>
        <v/>
      </c>
      <c r="W113">
        <f>HYPERLINK("https://klasma.github.io/Logging_2281/klagomålsmail/A 41090-2024 FSC-klagomål mail.docx", "A 41090-2024")</f>
        <v/>
      </c>
      <c r="X113">
        <f>HYPERLINK("https://klasma.github.io/Logging_2281/tillsyn/A 41090-2024 tillsynsbegäran.docx", "A 41090-2024")</f>
        <v/>
      </c>
      <c r="Y113">
        <f>HYPERLINK("https://klasma.github.io/Logging_2281/tillsynsmail/A 41090-2024 tillsynsbegäran mail.docx", "A 41090-2024")</f>
        <v/>
      </c>
    </row>
    <row r="114" ht="15" customHeight="1">
      <c r="A114" t="inlineStr">
        <is>
          <t>A 46087-2024</t>
        </is>
      </c>
      <c r="B114" s="1" t="n">
        <v>45581</v>
      </c>
      <c r="C114" s="1" t="n">
        <v>45691</v>
      </c>
      <c r="D114" t="inlineStr">
        <is>
          <t>VÄSTERNORRLANDS LÄN</t>
        </is>
      </c>
      <c r="E114" t="inlineStr">
        <is>
          <t>SUNDSVALL</t>
        </is>
      </c>
      <c r="F114" t="inlineStr">
        <is>
          <t>SCA</t>
        </is>
      </c>
      <c r="G114" t="n">
        <v>2.6</v>
      </c>
      <c r="H114" t="n">
        <v>1</v>
      </c>
      <c r="I114" t="n">
        <v>0</v>
      </c>
      <c r="J114" t="n">
        <v>2</v>
      </c>
      <c r="K114" t="n">
        <v>0</v>
      </c>
      <c r="L114" t="n">
        <v>0</v>
      </c>
      <c r="M114" t="n">
        <v>0</v>
      </c>
      <c r="N114" t="n">
        <v>0</v>
      </c>
      <c r="O114" t="n">
        <v>2</v>
      </c>
      <c r="P114" t="n">
        <v>0</v>
      </c>
      <c r="Q114" t="n">
        <v>2</v>
      </c>
      <c r="R114" s="2" t="inlineStr">
        <is>
          <t>Talltita
Violettgrå tagellav</t>
        </is>
      </c>
      <c r="S114">
        <f>HYPERLINK("https://klasma.github.io/Logging_2281/artfynd/A 46087-2024 artfynd.xlsx", "A 46087-2024")</f>
        <v/>
      </c>
      <c r="T114">
        <f>HYPERLINK("https://klasma.github.io/Logging_2281/kartor/A 46087-2024 karta.png", "A 46087-2024")</f>
        <v/>
      </c>
      <c r="V114">
        <f>HYPERLINK("https://klasma.github.io/Logging_2281/klagomål/A 46087-2024 FSC-klagomål.docx", "A 46087-2024")</f>
        <v/>
      </c>
      <c r="W114">
        <f>HYPERLINK("https://klasma.github.io/Logging_2281/klagomålsmail/A 46087-2024 FSC-klagomål mail.docx", "A 46087-2024")</f>
        <v/>
      </c>
      <c r="X114">
        <f>HYPERLINK("https://klasma.github.io/Logging_2281/tillsyn/A 46087-2024 tillsynsbegäran.docx", "A 46087-2024")</f>
        <v/>
      </c>
      <c r="Y114">
        <f>HYPERLINK("https://klasma.github.io/Logging_2281/tillsynsmail/A 46087-2024 tillsynsbegäran mail.docx", "A 46087-2024")</f>
        <v/>
      </c>
      <c r="Z114">
        <f>HYPERLINK("https://klasma.github.io/Logging_2281/fåglar/A 46087-2024 prioriterade fågelarter.docx", "A 46087-2024")</f>
        <v/>
      </c>
    </row>
    <row r="115" ht="15" customHeight="1">
      <c r="A115" t="inlineStr">
        <is>
          <t>A 59994-2024</t>
        </is>
      </c>
      <c r="B115" s="1" t="n">
        <v>45642</v>
      </c>
      <c r="C115" s="1" t="n">
        <v>45691</v>
      </c>
      <c r="D115" t="inlineStr">
        <is>
          <t>VÄSTERNORRLANDS LÄN</t>
        </is>
      </c>
      <c r="E115" t="inlineStr">
        <is>
          <t>SUNDSVALL</t>
        </is>
      </c>
      <c r="G115" t="n">
        <v>2.1</v>
      </c>
      <c r="H115" t="n">
        <v>0</v>
      </c>
      <c r="I115" t="n">
        <v>0</v>
      </c>
      <c r="J115" t="n">
        <v>2</v>
      </c>
      <c r="K115" t="n">
        <v>0</v>
      </c>
      <c r="L115" t="n">
        <v>0</v>
      </c>
      <c r="M115" t="n">
        <v>0</v>
      </c>
      <c r="N115" t="n">
        <v>0</v>
      </c>
      <c r="O115" t="n">
        <v>2</v>
      </c>
      <c r="P115" t="n">
        <v>0</v>
      </c>
      <c r="Q115" t="n">
        <v>2</v>
      </c>
      <c r="R115" s="2" t="inlineStr">
        <is>
          <t>Rosenticka
Ullticka</t>
        </is>
      </c>
      <c r="S115">
        <f>HYPERLINK("https://klasma.github.io/Logging_2281/artfynd/A 59994-2024 artfynd.xlsx", "A 59994-2024")</f>
        <v/>
      </c>
      <c r="T115">
        <f>HYPERLINK("https://klasma.github.io/Logging_2281/kartor/A 59994-2024 karta.png", "A 59994-2024")</f>
        <v/>
      </c>
      <c r="U115">
        <f>HYPERLINK("https://klasma.github.io/Logging_2281/knärot/A 59994-2024 karta knärot.png", "A 59994-2024")</f>
        <v/>
      </c>
      <c r="V115">
        <f>HYPERLINK("https://klasma.github.io/Logging_2281/klagomål/A 59994-2024 FSC-klagomål.docx", "A 59994-2024")</f>
        <v/>
      </c>
      <c r="W115">
        <f>HYPERLINK("https://klasma.github.io/Logging_2281/klagomålsmail/A 59994-2024 FSC-klagomål mail.docx", "A 59994-2024")</f>
        <v/>
      </c>
      <c r="X115">
        <f>HYPERLINK("https://klasma.github.io/Logging_2281/tillsyn/A 59994-2024 tillsynsbegäran.docx", "A 59994-2024")</f>
        <v/>
      </c>
      <c r="Y115">
        <f>HYPERLINK("https://klasma.github.io/Logging_2281/tillsynsmail/A 59994-2024 tillsynsbegäran mail.docx", "A 59994-2024")</f>
        <v/>
      </c>
    </row>
    <row r="116" ht="15" customHeight="1">
      <c r="A116" t="inlineStr">
        <is>
          <t>A 166-2025</t>
        </is>
      </c>
      <c r="B116" s="1" t="n">
        <v>45649</v>
      </c>
      <c r="C116" s="1" t="n">
        <v>45691</v>
      </c>
      <c r="D116" t="inlineStr">
        <is>
          <t>VÄSTERNORRLANDS LÄN</t>
        </is>
      </c>
      <c r="E116" t="inlineStr">
        <is>
          <t>SUNDSVALL</t>
        </is>
      </c>
      <c r="G116" t="n">
        <v>17.1</v>
      </c>
      <c r="H116" t="n">
        <v>1</v>
      </c>
      <c r="I116" t="n">
        <v>1</v>
      </c>
      <c r="J116" t="n">
        <v>0</v>
      </c>
      <c r="K116" t="n">
        <v>0</v>
      </c>
      <c r="L116" t="n">
        <v>0</v>
      </c>
      <c r="M116" t="n">
        <v>0</v>
      </c>
      <c r="N116" t="n">
        <v>0</v>
      </c>
      <c r="O116" t="n">
        <v>0</v>
      </c>
      <c r="P116" t="n">
        <v>0</v>
      </c>
      <c r="Q116" t="n">
        <v>2</v>
      </c>
      <c r="R116" s="2" t="inlineStr">
        <is>
          <t>Bårdlav
Revlummer</t>
        </is>
      </c>
      <c r="S116">
        <f>HYPERLINK("https://klasma.github.io/Logging_2281/artfynd/A 166-2025 artfynd.xlsx", "A 166-2025")</f>
        <v/>
      </c>
      <c r="T116">
        <f>HYPERLINK("https://klasma.github.io/Logging_2281/kartor/A 166-2025 karta.png", "A 166-2025")</f>
        <v/>
      </c>
      <c r="V116">
        <f>HYPERLINK("https://klasma.github.io/Logging_2281/klagomål/A 166-2025 FSC-klagomål.docx", "A 166-2025")</f>
        <v/>
      </c>
      <c r="W116">
        <f>HYPERLINK("https://klasma.github.io/Logging_2281/klagomålsmail/A 166-2025 FSC-klagomål mail.docx", "A 166-2025")</f>
        <v/>
      </c>
      <c r="X116">
        <f>HYPERLINK("https://klasma.github.io/Logging_2281/tillsyn/A 166-2025 tillsynsbegäran.docx", "A 166-2025")</f>
        <v/>
      </c>
      <c r="Y116">
        <f>HYPERLINK("https://klasma.github.io/Logging_2281/tillsynsmail/A 166-2025 tillsynsbegäran mail.docx", "A 166-2025")</f>
        <v/>
      </c>
    </row>
    <row r="117" ht="15" customHeight="1">
      <c r="A117" t="inlineStr">
        <is>
          <t>A 27216-2019</t>
        </is>
      </c>
      <c r="B117" s="1" t="n">
        <v>43614</v>
      </c>
      <c r="C117" s="1" t="n">
        <v>45691</v>
      </c>
      <c r="D117" t="inlineStr">
        <is>
          <t>VÄSTERNORRLANDS LÄN</t>
        </is>
      </c>
      <c r="E117" t="inlineStr">
        <is>
          <t>SUNDSVALL</t>
        </is>
      </c>
      <c r="G117" t="n">
        <v>3.7</v>
      </c>
      <c r="H117" t="n">
        <v>1</v>
      </c>
      <c r="I117" t="n">
        <v>0</v>
      </c>
      <c r="J117" t="n">
        <v>0</v>
      </c>
      <c r="K117" t="n">
        <v>0</v>
      </c>
      <c r="L117" t="n">
        <v>0</v>
      </c>
      <c r="M117" t="n">
        <v>0</v>
      </c>
      <c r="N117" t="n">
        <v>0</v>
      </c>
      <c r="O117" t="n">
        <v>0</v>
      </c>
      <c r="P117" t="n">
        <v>0</v>
      </c>
      <c r="Q117" t="n">
        <v>1</v>
      </c>
      <c r="R117" s="2" t="inlineStr">
        <is>
          <t>Blåsippa</t>
        </is>
      </c>
      <c r="S117">
        <f>HYPERLINK("https://klasma.github.io/Logging_2281/artfynd/A 27216-2019 artfynd.xlsx", "A 27216-2019")</f>
        <v/>
      </c>
      <c r="T117">
        <f>HYPERLINK("https://klasma.github.io/Logging_2281/kartor/A 27216-2019 karta.png", "A 27216-2019")</f>
        <v/>
      </c>
      <c r="V117">
        <f>HYPERLINK("https://klasma.github.io/Logging_2281/klagomål/A 27216-2019 FSC-klagomål.docx", "A 27216-2019")</f>
        <v/>
      </c>
      <c r="W117">
        <f>HYPERLINK("https://klasma.github.io/Logging_2281/klagomålsmail/A 27216-2019 FSC-klagomål mail.docx", "A 27216-2019")</f>
        <v/>
      </c>
      <c r="X117">
        <f>HYPERLINK("https://klasma.github.io/Logging_2281/tillsyn/A 27216-2019 tillsynsbegäran.docx", "A 27216-2019")</f>
        <v/>
      </c>
      <c r="Y117">
        <f>HYPERLINK("https://klasma.github.io/Logging_2281/tillsynsmail/A 27216-2019 tillsynsbegäran mail.docx", "A 27216-2019")</f>
        <v/>
      </c>
    </row>
    <row r="118" ht="15" customHeight="1">
      <c r="A118" t="inlineStr">
        <is>
          <t>A 44607-2019</t>
        </is>
      </c>
      <c r="B118" s="1" t="n">
        <v>43711</v>
      </c>
      <c r="C118" s="1" t="n">
        <v>45691</v>
      </c>
      <c r="D118" t="inlineStr">
        <is>
          <t>VÄSTERNORRLANDS LÄN</t>
        </is>
      </c>
      <c r="E118" t="inlineStr">
        <is>
          <t>SUNDSVALL</t>
        </is>
      </c>
      <c r="G118" t="n">
        <v>1.6</v>
      </c>
      <c r="H118" t="n">
        <v>1</v>
      </c>
      <c r="I118" t="n">
        <v>0</v>
      </c>
      <c r="J118" t="n">
        <v>1</v>
      </c>
      <c r="K118" t="n">
        <v>0</v>
      </c>
      <c r="L118" t="n">
        <v>0</v>
      </c>
      <c r="M118" t="n">
        <v>0</v>
      </c>
      <c r="N118" t="n">
        <v>0</v>
      </c>
      <c r="O118" t="n">
        <v>1</v>
      </c>
      <c r="P118" t="n">
        <v>0</v>
      </c>
      <c r="Q118" t="n">
        <v>1</v>
      </c>
      <c r="R118" s="2" t="inlineStr">
        <is>
          <t>Järpe</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44609-2019</t>
        </is>
      </c>
      <c r="B119" s="1" t="n">
        <v>43711</v>
      </c>
      <c r="C119" s="1" t="n">
        <v>45691</v>
      </c>
      <c r="D119" t="inlineStr">
        <is>
          <t>VÄSTERNORRLANDS LÄN</t>
        </is>
      </c>
      <c r="E119" t="inlineStr">
        <is>
          <t>SUNDSVALL</t>
        </is>
      </c>
      <c r="G119" t="n">
        <v>0.9</v>
      </c>
      <c r="H119" t="n">
        <v>1</v>
      </c>
      <c r="I119" t="n">
        <v>0</v>
      </c>
      <c r="J119" t="n">
        <v>0</v>
      </c>
      <c r="K119" t="n">
        <v>0</v>
      </c>
      <c r="L119" t="n">
        <v>0</v>
      </c>
      <c r="M119" t="n">
        <v>0</v>
      </c>
      <c r="N119" t="n">
        <v>0</v>
      </c>
      <c r="O119" t="n">
        <v>0</v>
      </c>
      <c r="P119" t="n">
        <v>0</v>
      </c>
      <c r="Q119" t="n">
        <v>1</v>
      </c>
      <c r="R119" s="2" t="inlineStr">
        <is>
          <t>Nattviol</t>
        </is>
      </c>
      <c r="S119">
        <f>HYPERLINK("https://klasma.github.io/Logging_2281/artfynd/A 44609-2019 artfynd.xlsx", "A 44609-2019")</f>
        <v/>
      </c>
      <c r="T119">
        <f>HYPERLINK("https://klasma.github.io/Logging_2281/kartor/A 44609-2019 karta.png", "A 44609-2019")</f>
        <v/>
      </c>
      <c r="V119">
        <f>HYPERLINK("https://klasma.github.io/Logging_2281/klagomål/A 44609-2019 FSC-klagomål.docx", "A 44609-2019")</f>
        <v/>
      </c>
      <c r="W119">
        <f>HYPERLINK("https://klasma.github.io/Logging_2281/klagomålsmail/A 44609-2019 FSC-klagomål mail.docx", "A 44609-2019")</f>
        <v/>
      </c>
      <c r="X119">
        <f>HYPERLINK("https://klasma.github.io/Logging_2281/tillsyn/A 44609-2019 tillsynsbegäran.docx", "A 44609-2019")</f>
        <v/>
      </c>
      <c r="Y119">
        <f>HYPERLINK("https://klasma.github.io/Logging_2281/tillsynsmail/A 44609-2019 tillsynsbegäran mail.docx", "A 44609-2019")</f>
        <v/>
      </c>
    </row>
    <row r="120" ht="15" customHeight="1">
      <c r="A120" t="inlineStr">
        <is>
          <t>A 970-2020</t>
        </is>
      </c>
      <c r="B120" s="1" t="n">
        <v>43839</v>
      </c>
      <c r="C120" s="1" t="n">
        <v>45691</v>
      </c>
      <c r="D120" t="inlineStr">
        <is>
          <t>VÄSTERNORRLANDS LÄN</t>
        </is>
      </c>
      <c r="E120" t="inlineStr">
        <is>
          <t>SUNDSVALL</t>
        </is>
      </c>
      <c r="F120" t="inlineStr">
        <is>
          <t>Kommuner</t>
        </is>
      </c>
      <c r="G120" t="n">
        <v>0.8</v>
      </c>
      <c r="H120" t="n">
        <v>1</v>
      </c>
      <c r="I120" t="n">
        <v>0</v>
      </c>
      <c r="J120" t="n">
        <v>1</v>
      </c>
      <c r="K120" t="n">
        <v>0</v>
      </c>
      <c r="L120" t="n">
        <v>0</v>
      </c>
      <c r="M120" t="n">
        <v>0</v>
      </c>
      <c r="N120" t="n">
        <v>0</v>
      </c>
      <c r="O120" t="n">
        <v>1</v>
      </c>
      <c r="P120" t="n">
        <v>0</v>
      </c>
      <c r="Q120" t="n">
        <v>1</v>
      </c>
      <c r="R120" s="2" t="inlineStr">
        <is>
          <t>Rosenfink</t>
        </is>
      </c>
      <c r="S120">
        <f>HYPERLINK("https://klasma.github.io/Logging_2281/artfynd/A 970-2020 artfynd.xlsx", "A 970-2020")</f>
        <v/>
      </c>
      <c r="T120">
        <f>HYPERLINK("https://klasma.github.io/Logging_2281/kartor/A 970-2020 karta.png", "A 970-2020")</f>
        <v/>
      </c>
      <c r="V120">
        <f>HYPERLINK("https://klasma.github.io/Logging_2281/klagomål/A 970-2020 FSC-klagomål.docx", "A 970-2020")</f>
        <v/>
      </c>
      <c r="W120">
        <f>HYPERLINK("https://klasma.github.io/Logging_2281/klagomålsmail/A 970-2020 FSC-klagomål mail.docx", "A 970-2020")</f>
        <v/>
      </c>
      <c r="X120">
        <f>HYPERLINK("https://klasma.github.io/Logging_2281/tillsyn/A 970-2020 tillsynsbegäran.docx", "A 970-2020")</f>
        <v/>
      </c>
      <c r="Y120">
        <f>HYPERLINK("https://klasma.github.io/Logging_2281/tillsynsmail/A 970-2020 tillsynsbegäran mail.docx", "A 970-2020")</f>
        <v/>
      </c>
      <c r="Z120">
        <f>HYPERLINK("https://klasma.github.io/Logging_2281/fåglar/A 970-2020 prioriterade fågelarter.docx", "A 970-2020")</f>
        <v/>
      </c>
    </row>
    <row r="121" ht="15" customHeight="1">
      <c r="A121" t="inlineStr">
        <is>
          <t>A 3002-2020</t>
        </is>
      </c>
      <c r="B121" s="1" t="n">
        <v>43850</v>
      </c>
      <c r="C121" s="1" t="n">
        <v>45691</v>
      </c>
      <c r="D121" t="inlineStr">
        <is>
          <t>VÄSTERNORRLANDS LÄN</t>
        </is>
      </c>
      <c r="E121" t="inlineStr">
        <is>
          <t>SUNDSVALL</t>
        </is>
      </c>
      <c r="G121" t="n">
        <v>14</v>
      </c>
      <c r="H121" t="n">
        <v>1</v>
      </c>
      <c r="I121" t="n">
        <v>0</v>
      </c>
      <c r="J121" t="n">
        <v>1</v>
      </c>
      <c r="K121" t="n">
        <v>0</v>
      </c>
      <c r="L121" t="n">
        <v>0</v>
      </c>
      <c r="M121" t="n">
        <v>0</v>
      </c>
      <c r="N121" t="n">
        <v>0</v>
      </c>
      <c r="O121" t="n">
        <v>1</v>
      </c>
      <c r="P121" t="n">
        <v>0</v>
      </c>
      <c r="Q121" t="n">
        <v>1</v>
      </c>
      <c r="R121" s="2" t="inlineStr">
        <is>
          <t>Rosenfink</t>
        </is>
      </c>
      <c r="S121">
        <f>HYPERLINK("https://klasma.github.io/Logging_2281/artfynd/A 3002-2020 artfynd.xlsx", "A 3002-2020")</f>
        <v/>
      </c>
      <c r="T121">
        <f>HYPERLINK("https://klasma.github.io/Logging_2281/kartor/A 3002-2020 karta.png", "A 3002-2020")</f>
        <v/>
      </c>
      <c r="V121">
        <f>HYPERLINK("https://klasma.github.io/Logging_2281/klagomål/A 3002-2020 FSC-klagomål.docx", "A 3002-2020")</f>
        <v/>
      </c>
      <c r="W121">
        <f>HYPERLINK("https://klasma.github.io/Logging_2281/klagomålsmail/A 3002-2020 FSC-klagomål mail.docx", "A 3002-2020")</f>
        <v/>
      </c>
      <c r="X121">
        <f>HYPERLINK("https://klasma.github.io/Logging_2281/tillsyn/A 3002-2020 tillsynsbegäran.docx", "A 3002-2020")</f>
        <v/>
      </c>
      <c r="Y121">
        <f>HYPERLINK("https://klasma.github.io/Logging_2281/tillsynsmail/A 3002-2020 tillsynsbegäran mail.docx", "A 3002-2020")</f>
        <v/>
      </c>
      <c r="Z121">
        <f>HYPERLINK("https://klasma.github.io/Logging_2281/fåglar/A 3002-2020 prioriterade fågelarter.docx", "A 3002-2020")</f>
        <v/>
      </c>
    </row>
    <row r="122" ht="15" customHeight="1">
      <c r="A122" t="inlineStr">
        <is>
          <t>A 7956-2020</t>
        </is>
      </c>
      <c r="B122" s="1" t="n">
        <v>43873</v>
      </c>
      <c r="C122" s="1" t="n">
        <v>45691</v>
      </c>
      <c r="D122" t="inlineStr">
        <is>
          <t>VÄSTERNORRLANDS LÄN</t>
        </is>
      </c>
      <c r="E122" t="inlineStr">
        <is>
          <t>SUNDSVALL</t>
        </is>
      </c>
      <c r="G122" t="n">
        <v>15.3</v>
      </c>
      <c r="H122" t="n">
        <v>0</v>
      </c>
      <c r="I122" t="n">
        <v>0</v>
      </c>
      <c r="J122" t="n">
        <v>1</v>
      </c>
      <c r="K122" t="n">
        <v>0</v>
      </c>
      <c r="L122" t="n">
        <v>0</v>
      </c>
      <c r="M122" t="n">
        <v>0</v>
      </c>
      <c r="N122" t="n">
        <v>0</v>
      </c>
      <c r="O122" t="n">
        <v>1</v>
      </c>
      <c r="P122" t="n">
        <v>0</v>
      </c>
      <c r="Q122" t="n">
        <v>1</v>
      </c>
      <c r="R122" s="2" t="inlineStr">
        <is>
          <t>Vedskivlav</t>
        </is>
      </c>
      <c r="S122">
        <f>HYPERLINK("https://klasma.github.io/Logging_2281/artfynd/A 7956-2020 artfynd.xlsx", "A 7956-2020")</f>
        <v/>
      </c>
      <c r="T122">
        <f>HYPERLINK("https://klasma.github.io/Logging_2281/kartor/A 7956-2020 karta.png", "A 7956-2020")</f>
        <v/>
      </c>
      <c r="V122">
        <f>HYPERLINK("https://klasma.github.io/Logging_2281/klagomål/A 7956-2020 FSC-klagomål.docx", "A 7956-2020")</f>
        <v/>
      </c>
      <c r="W122">
        <f>HYPERLINK("https://klasma.github.io/Logging_2281/klagomålsmail/A 7956-2020 FSC-klagomål mail.docx", "A 7956-2020")</f>
        <v/>
      </c>
      <c r="X122">
        <f>HYPERLINK("https://klasma.github.io/Logging_2281/tillsyn/A 7956-2020 tillsynsbegäran.docx", "A 7956-2020")</f>
        <v/>
      </c>
      <c r="Y122">
        <f>HYPERLINK("https://klasma.github.io/Logging_2281/tillsynsmail/A 7956-2020 tillsynsbegäran mail.docx", "A 7956-2020")</f>
        <v/>
      </c>
    </row>
    <row r="123" ht="15" customHeight="1">
      <c r="A123" t="inlineStr">
        <is>
          <t>A 28764-2020</t>
        </is>
      </c>
      <c r="B123" s="1" t="n">
        <v>43999</v>
      </c>
      <c r="C123" s="1" t="n">
        <v>45691</v>
      </c>
      <c r="D123" t="inlineStr">
        <is>
          <t>VÄSTERNORRLANDS LÄN</t>
        </is>
      </c>
      <c r="E123" t="inlineStr">
        <is>
          <t>SUNDSVALL</t>
        </is>
      </c>
      <c r="F123" t="inlineStr">
        <is>
          <t>SCA</t>
        </is>
      </c>
      <c r="G123" t="n">
        <v>2.7</v>
      </c>
      <c r="H123" t="n">
        <v>1</v>
      </c>
      <c r="I123" t="n">
        <v>0</v>
      </c>
      <c r="J123" t="n">
        <v>1</v>
      </c>
      <c r="K123" t="n">
        <v>0</v>
      </c>
      <c r="L123" t="n">
        <v>0</v>
      </c>
      <c r="M123" t="n">
        <v>0</v>
      </c>
      <c r="N123" t="n">
        <v>0</v>
      </c>
      <c r="O123" t="n">
        <v>1</v>
      </c>
      <c r="P123" t="n">
        <v>0</v>
      </c>
      <c r="Q123" t="n">
        <v>1</v>
      </c>
      <c r="R123" s="2" t="inlineStr">
        <is>
          <t>Utter</t>
        </is>
      </c>
      <c r="S123">
        <f>HYPERLINK("https://klasma.github.io/Logging_2281/artfynd/A 28764-2020 artfynd.xlsx", "A 28764-2020")</f>
        <v/>
      </c>
      <c r="T123">
        <f>HYPERLINK("https://klasma.github.io/Logging_2281/kartor/A 28764-2020 karta.png", "A 28764-2020")</f>
        <v/>
      </c>
      <c r="V123">
        <f>HYPERLINK("https://klasma.github.io/Logging_2281/klagomål/A 28764-2020 FSC-klagomål.docx", "A 28764-2020")</f>
        <v/>
      </c>
      <c r="W123">
        <f>HYPERLINK("https://klasma.github.io/Logging_2281/klagomålsmail/A 28764-2020 FSC-klagomål mail.docx", "A 28764-2020")</f>
        <v/>
      </c>
      <c r="X123">
        <f>HYPERLINK("https://klasma.github.io/Logging_2281/tillsyn/A 28764-2020 tillsynsbegäran.docx", "A 28764-2020")</f>
        <v/>
      </c>
      <c r="Y123">
        <f>HYPERLINK("https://klasma.github.io/Logging_2281/tillsynsmail/A 28764-2020 tillsynsbegäran mail.docx", "A 28764-2020")</f>
        <v/>
      </c>
    </row>
    <row r="124" ht="15" customHeight="1">
      <c r="A124" t="inlineStr">
        <is>
          <t>A 50469-2020</t>
        </is>
      </c>
      <c r="B124" s="1" t="n">
        <v>44104</v>
      </c>
      <c r="C124" s="1" t="n">
        <v>45691</v>
      </c>
      <c r="D124" t="inlineStr">
        <is>
          <t>VÄSTERNORRLANDS LÄN</t>
        </is>
      </c>
      <c r="E124" t="inlineStr">
        <is>
          <t>SUNDSVALL</t>
        </is>
      </c>
      <c r="G124" t="n">
        <v>1.8</v>
      </c>
      <c r="H124" t="n">
        <v>1</v>
      </c>
      <c r="I124" t="n">
        <v>0</v>
      </c>
      <c r="J124" t="n">
        <v>1</v>
      </c>
      <c r="K124" t="n">
        <v>0</v>
      </c>
      <c r="L124" t="n">
        <v>0</v>
      </c>
      <c r="M124" t="n">
        <v>0</v>
      </c>
      <c r="N124" t="n">
        <v>0</v>
      </c>
      <c r="O124" t="n">
        <v>1</v>
      </c>
      <c r="P124" t="n">
        <v>0</v>
      </c>
      <c r="Q124" t="n">
        <v>1</v>
      </c>
      <c r="R124" s="2" t="inlineStr">
        <is>
          <t>Sötgräs</t>
        </is>
      </c>
      <c r="S124">
        <f>HYPERLINK("https://klasma.github.io/Logging_2281/artfynd/A 50469-2020 artfynd.xlsx", "A 50469-2020")</f>
        <v/>
      </c>
      <c r="T124">
        <f>HYPERLINK("https://klasma.github.io/Logging_2281/kartor/A 50469-2020 karta.png", "A 50469-2020")</f>
        <v/>
      </c>
      <c r="V124">
        <f>HYPERLINK("https://klasma.github.io/Logging_2281/klagomål/A 50469-2020 FSC-klagomål.docx", "A 50469-2020")</f>
        <v/>
      </c>
      <c r="W124">
        <f>HYPERLINK("https://klasma.github.io/Logging_2281/klagomålsmail/A 50469-2020 FSC-klagomål mail.docx", "A 50469-2020")</f>
        <v/>
      </c>
      <c r="X124">
        <f>HYPERLINK("https://klasma.github.io/Logging_2281/tillsyn/A 50469-2020 tillsynsbegäran.docx", "A 50469-2020")</f>
        <v/>
      </c>
      <c r="Y124">
        <f>HYPERLINK("https://klasma.github.io/Logging_2281/tillsynsmail/A 50469-2020 tillsynsbegäran mail.docx", "A 50469-2020")</f>
        <v/>
      </c>
    </row>
    <row r="125" ht="15" customHeight="1">
      <c r="A125" t="inlineStr">
        <is>
          <t>A 65632-2020</t>
        </is>
      </c>
      <c r="B125" s="1" t="n">
        <v>44173</v>
      </c>
      <c r="C125" s="1" t="n">
        <v>45691</v>
      </c>
      <c r="D125" t="inlineStr">
        <is>
          <t>VÄSTERNORRLANDS LÄN</t>
        </is>
      </c>
      <c r="E125" t="inlineStr">
        <is>
          <t>SUNDSVALL</t>
        </is>
      </c>
      <c r="F125" t="inlineStr">
        <is>
          <t>SCA</t>
        </is>
      </c>
      <c r="G125" t="n">
        <v>3.2</v>
      </c>
      <c r="H125" t="n">
        <v>0</v>
      </c>
      <c r="I125" t="n">
        <v>1</v>
      </c>
      <c r="J125" t="n">
        <v>0</v>
      </c>
      <c r="K125" t="n">
        <v>0</v>
      </c>
      <c r="L125" t="n">
        <v>0</v>
      </c>
      <c r="M125" t="n">
        <v>0</v>
      </c>
      <c r="N125" t="n">
        <v>0</v>
      </c>
      <c r="O125" t="n">
        <v>0</v>
      </c>
      <c r="P125" t="n">
        <v>0</v>
      </c>
      <c r="Q125" t="n">
        <v>1</v>
      </c>
      <c r="R125" s="2" t="inlineStr">
        <is>
          <t>Dropptaggsvamp</t>
        </is>
      </c>
      <c r="S125">
        <f>HYPERLINK("https://klasma.github.io/Logging_2281/artfynd/A 65632-2020 artfynd.xlsx", "A 65632-2020")</f>
        <v/>
      </c>
      <c r="T125">
        <f>HYPERLINK("https://klasma.github.io/Logging_2281/kartor/A 65632-2020 karta.png", "A 65632-2020")</f>
        <v/>
      </c>
      <c r="V125">
        <f>HYPERLINK("https://klasma.github.io/Logging_2281/klagomål/A 65632-2020 FSC-klagomål.docx", "A 65632-2020")</f>
        <v/>
      </c>
      <c r="W125">
        <f>HYPERLINK("https://klasma.github.io/Logging_2281/klagomålsmail/A 65632-2020 FSC-klagomål mail.docx", "A 65632-2020")</f>
        <v/>
      </c>
      <c r="X125">
        <f>HYPERLINK("https://klasma.github.io/Logging_2281/tillsyn/A 65632-2020 tillsynsbegäran.docx", "A 65632-2020")</f>
        <v/>
      </c>
      <c r="Y125">
        <f>HYPERLINK("https://klasma.github.io/Logging_2281/tillsynsmail/A 65632-2020 tillsynsbegäran mail.docx", "A 65632-2020")</f>
        <v/>
      </c>
    </row>
    <row r="126" ht="15" customHeight="1">
      <c r="A126" t="inlineStr">
        <is>
          <t>A 15775-2021</t>
        </is>
      </c>
      <c r="B126" s="1" t="n">
        <v>44286</v>
      </c>
      <c r="C126" s="1" t="n">
        <v>45691</v>
      </c>
      <c r="D126" t="inlineStr">
        <is>
          <t>VÄSTERNORRLANDS LÄN</t>
        </is>
      </c>
      <c r="E126" t="inlineStr">
        <is>
          <t>SUNDSVALL</t>
        </is>
      </c>
      <c r="F126" t="inlineStr">
        <is>
          <t>Kommuner</t>
        </is>
      </c>
      <c r="G126" t="n">
        <v>8.4</v>
      </c>
      <c r="H126" t="n">
        <v>1</v>
      </c>
      <c r="I126" t="n">
        <v>0</v>
      </c>
      <c r="J126" t="n">
        <v>0</v>
      </c>
      <c r="K126" t="n">
        <v>0</v>
      </c>
      <c r="L126" t="n">
        <v>0</v>
      </c>
      <c r="M126" t="n">
        <v>0</v>
      </c>
      <c r="N126" t="n">
        <v>0</v>
      </c>
      <c r="O126" t="n">
        <v>0</v>
      </c>
      <c r="P126" t="n">
        <v>0</v>
      </c>
      <c r="Q126" t="n">
        <v>1</v>
      </c>
      <c r="R126" s="2" t="inlineStr">
        <is>
          <t>Vanlig padda</t>
        </is>
      </c>
      <c r="S126">
        <f>HYPERLINK("https://klasma.github.io/Logging_2281/artfynd/A 15775-2021 artfynd.xlsx", "A 15775-2021")</f>
        <v/>
      </c>
      <c r="T126">
        <f>HYPERLINK("https://klasma.github.io/Logging_2281/kartor/A 15775-2021 karta.png", "A 15775-2021")</f>
        <v/>
      </c>
      <c r="V126">
        <f>HYPERLINK("https://klasma.github.io/Logging_2281/klagomål/A 15775-2021 FSC-klagomål.docx", "A 15775-2021")</f>
        <v/>
      </c>
      <c r="W126">
        <f>HYPERLINK("https://klasma.github.io/Logging_2281/klagomålsmail/A 15775-2021 FSC-klagomål mail.docx", "A 15775-2021")</f>
        <v/>
      </c>
      <c r="X126">
        <f>HYPERLINK("https://klasma.github.io/Logging_2281/tillsyn/A 15775-2021 tillsynsbegäran.docx", "A 15775-2021")</f>
        <v/>
      </c>
      <c r="Y126">
        <f>HYPERLINK("https://klasma.github.io/Logging_2281/tillsynsmail/A 15775-2021 tillsynsbegäran mail.docx", "A 15775-2021")</f>
        <v/>
      </c>
    </row>
    <row r="127" ht="15" customHeight="1">
      <c r="A127" t="inlineStr">
        <is>
          <t>A 17333-2021</t>
        </is>
      </c>
      <c r="B127" s="1" t="n">
        <v>44298</v>
      </c>
      <c r="C127" s="1" t="n">
        <v>45691</v>
      </c>
      <c r="D127" t="inlineStr">
        <is>
          <t>VÄSTERNORRLANDS LÄN</t>
        </is>
      </c>
      <c r="E127" t="inlineStr">
        <is>
          <t>SUNDSVALL</t>
        </is>
      </c>
      <c r="G127" t="n">
        <v>6.7</v>
      </c>
      <c r="H127" t="n">
        <v>1</v>
      </c>
      <c r="I127" t="n">
        <v>0</v>
      </c>
      <c r="J127" t="n">
        <v>1</v>
      </c>
      <c r="K127" t="n">
        <v>0</v>
      </c>
      <c r="L127" t="n">
        <v>0</v>
      </c>
      <c r="M127" t="n">
        <v>0</v>
      </c>
      <c r="N127" t="n">
        <v>0</v>
      </c>
      <c r="O127" t="n">
        <v>1</v>
      </c>
      <c r="P127" t="n">
        <v>0</v>
      </c>
      <c r="Q127" t="n">
        <v>1</v>
      </c>
      <c r="R127" s="2" t="inlineStr">
        <is>
          <t>Mindre hackspett</t>
        </is>
      </c>
      <c r="S127">
        <f>HYPERLINK("https://klasma.github.io/Logging_2281/artfynd/A 17333-2021 artfynd.xlsx", "A 17333-2021")</f>
        <v/>
      </c>
      <c r="T127">
        <f>HYPERLINK("https://klasma.github.io/Logging_2281/kartor/A 17333-2021 karta.png", "A 17333-2021")</f>
        <v/>
      </c>
      <c r="V127">
        <f>HYPERLINK("https://klasma.github.io/Logging_2281/klagomål/A 17333-2021 FSC-klagomål.docx", "A 17333-2021")</f>
        <v/>
      </c>
      <c r="W127">
        <f>HYPERLINK("https://klasma.github.io/Logging_2281/klagomålsmail/A 17333-2021 FSC-klagomål mail.docx", "A 17333-2021")</f>
        <v/>
      </c>
      <c r="X127">
        <f>HYPERLINK("https://klasma.github.io/Logging_2281/tillsyn/A 17333-2021 tillsynsbegäran.docx", "A 17333-2021")</f>
        <v/>
      </c>
      <c r="Y127">
        <f>HYPERLINK("https://klasma.github.io/Logging_2281/tillsynsmail/A 17333-2021 tillsynsbegäran mail.docx", "A 17333-2021")</f>
        <v/>
      </c>
      <c r="Z127">
        <f>HYPERLINK("https://klasma.github.io/Logging_2281/fåglar/A 17333-2021 prioriterade fågelarter.docx", "A 17333-2021")</f>
        <v/>
      </c>
    </row>
    <row r="128" ht="15" customHeight="1">
      <c r="A128" t="inlineStr">
        <is>
          <t>A 17331-2021</t>
        </is>
      </c>
      <c r="B128" s="1" t="n">
        <v>44298</v>
      </c>
      <c r="C128" s="1" t="n">
        <v>45691</v>
      </c>
      <c r="D128" t="inlineStr">
        <is>
          <t>VÄSTERNORRLANDS LÄN</t>
        </is>
      </c>
      <c r="E128" t="inlineStr">
        <is>
          <t>SUNDSVALL</t>
        </is>
      </c>
      <c r="G128" t="n">
        <v>3.7</v>
      </c>
      <c r="H128" t="n">
        <v>0</v>
      </c>
      <c r="I128" t="n">
        <v>0</v>
      </c>
      <c r="J128" t="n">
        <v>1</v>
      </c>
      <c r="K128" t="n">
        <v>0</v>
      </c>
      <c r="L128" t="n">
        <v>0</v>
      </c>
      <c r="M128" t="n">
        <v>0</v>
      </c>
      <c r="N128" t="n">
        <v>0</v>
      </c>
      <c r="O128" t="n">
        <v>1</v>
      </c>
      <c r="P128" t="n">
        <v>0</v>
      </c>
      <c r="Q128" t="n">
        <v>1</v>
      </c>
      <c r="R128" s="2" t="inlineStr">
        <is>
          <t>Myskmåra</t>
        </is>
      </c>
      <c r="S128">
        <f>HYPERLINK("https://klasma.github.io/Logging_2281/artfynd/A 17331-2021 artfynd.xlsx", "A 17331-2021")</f>
        <v/>
      </c>
      <c r="T128">
        <f>HYPERLINK("https://klasma.github.io/Logging_2281/kartor/A 17331-2021 karta.png", "A 17331-2021")</f>
        <v/>
      </c>
      <c r="V128">
        <f>HYPERLINK("https://klasma.github.io/Logging_2281/klagomål/A 17331-2021 FSC-klagomål.docx", "A 17331-2021")</f>
        <v/>
      </c>
      <c r="W128">
        <f>HYPERLINK("https://klasma.github.io/Logging_2281/klagomålsmail/A 17331-2021 FSC-klagomål mail.docx", "A 17331-2021")</f>
        <v/>
      </c>
      <c r="X128">
        <f>HYPERLINK("https://klasma.github.io/Logging_2281/tillsyn/A 17331-2021 tillsynsbegäran.docx", "A 17331-2021")</f>
        <v/>
      </c>
      <c r="Y128">
        <f>HYPERLINK("https://klasma.github.io/Logging_2281/tillsynsmail/A 17331-2021 tillsynsbegäran mail.docx", "A 17331-2021")</f>
        <v/>
      </c>
    </row>
    <row r="129" ht="15" customHeight="1">
      <c r="A129" t="inlineStr">
        <is>
          <t>A 22395-2021</t>
        </is>
      </c>
      <c r="B129" s="1" t="n">
        <v>44326</v>
      </c>
      <c r="C129" s="1" t="n">
        <v>45691</v>
      </c>
      <c r="D129" t="inlineStr">
        <is>
          <t>VÄSTERNORRLANDS LÄN</t>
        </is>
      </c>
      <c r="E129" t="inlineStr">
        <is>
          <t>SUNDSVALL</t>
        </is>
      </c>
      <c r="G129" t="n">
        <v>8.6</v>
      </c>
      <c r="H129" t="n">
        <v>1</v>
      </c>
      <c r="I129" t="n">
        <v>0</v>
      </c>
      <c r="J129" t="n">
        <v>0</v>
      </c>
      <c r="K129" t="n">
        <v>0</v>
      </c>
      <c r="L129" t="n">
        <v>0</v>
      </c>
      <c r="M129" t="n">
        <v>0</v>
      </c>
      <c r="N129" t="n">
        <v>0</v>
      </c>
      <c r="O129" t="n">
        <v>0</v>
      </c>
      <c r="P129" t="n">
        <v>0</v>
      </c>
      <c r="Q129" t="n">
        <v>1</v>
      </c>
      <c r="R129" s="2" t="inlineStr">
        <is>
          <t>Gröngöling</t>
        </is>
      </c>
      <c r="S129">
        <f>HYPERLINK("https://klasma.github.io/Logging_2281/artfynd/A 22395-2021 artfynd.xlsx", "A 22395-2021")</f>
        <v/>
      </c>
      <c r="T129">
        <f>HYPERLINK("https://klasma.github.io/Logging_2281/kartor/A 22395-2021 karta.png", "A 22395-2021")</f>
        <v/>
      </c>
      <c r="V129">
        <f>HYPERLINK("https://klasma.github.io/Logging_2281/klagomål/A 22395-2021 FSC-klagomål.docx", "A 22395-2021")</f>
        <v/>
      </c>
      <c r="W129">
        <f>HYPERLINK("https://klasma.github.io/Logging_2281/klagomålsmail/A 22395-2021 FSC-klagomål mail.docx", "A 22395-2021")</f>
        <v/>
      </c>
      <c r="X129">
        <f>HYPERLINK("https://klasma.github.io/Logging_2281/tillsyn/A 22395-2021 tillsynsbegäran.docx", "A 22395-2021")</f>
        <v/>
      </c>
      <c r="Y129">
        <f>HYPERLINK("https://klasma.github.io/Logging_2281/tillsynsmail/A 22395-2021 tillsynsbegäran mail.docx", "A 22395-2021")</f>
        <v/>
      </c>
      <c r="Z129">
        <f>HYPERLINK("https://klasma.github.io/Logging_2281/fåglar/A 22395-2021 prioriterade fågelarter.docx", "A 22395-2021")</f>
        <v/>
      </c>
    </row>
    <row r="130" ht="15" customHeight="1">
      <c r="A130" t="inlineStr">
        <is>
          <t>A 22420-2021</t>
        </is>
      </c>
      <c r="B130" s="1" t="n">
        <v>44326</v>
      </c>
      <c r="C130" s="1" t="n">
        <v>45691</v>
      </c>
      <c r="D130" t="inlineStr">
        <is>
          <t>VÄSTERNORRLANDS LÄN</t>
        </is>
      </c>
      <c r="E130" t="inlineStr">
        <is>
          <t>SUNDSVALL</t>
        </is>
      </c>
      <c r="F130" t="inlineStr">
        <is>
          <t>Kyrkan</t>
        </is>
      </c>
      <c r="G130" t="n">
        <v>21.9</v>
      </c>
      <c r="H130" t="n">
        <v>1</v>
      </c>
      <c r="I130" t="n">
        <v>0</v>
      </c>
      <c r="J130" t="n">
        <v>1</v>
      </c>
      <c r="K130" t="n">
        <v>0</v>
      </c>
      <c r="L130" t="n">
        <v>0</v>
      </c>
      <c r="M130" t="n">
        <v>0</v>
      </c>
      <c r="N130" t="n">
        <v>0</v>
      </c>
      <c r="O130" t="n">
        <v>1</v>
      </c>
      <c r="P130" t="n">
        <v>0</v>
      </c>
      <c r="Q130" t="n">
        <v>1</v>
      </c>
      <c r="R130" s="2" t="inlineStr">
        <is>
          <t>Järpe</t>
        </is>
      </c>
      <c r="S130">
        <f>HYPERLINK("https://klasma.github.io/Logging_2281/artfynd/A 22420-2021 artfynd.xlsx", "A 22420-2021")</f>
        <v/>
      </c>
      <c r="T130">
        <f>HYPERLINK("https://klasma.github.io/Logging_2281/kartor/A 22420-2021 karta.png", "A 22420-2021")</f>
        <v/>
      </c>
      <c r="V130">
        <f>HYPERLINK("https://klasma.github.io/Logging_2281/klagomål/A 22420-2021 FSC-klagomål.docx", "A 22420-2021")</f>
        <v/>
      </c>
      <c r="W130">
        <f>HYPERLINK("https://klasma.github.io/Logging_2281/klagomålsmail/A 22420-2021 FSC-klagomål mail.docx", "A 22420-2021")</f>
        <v/>
      </c>
      <c r="X130">
        <f>HYPERLINK("https://klasma.github.io/Logging_2281/tillsyn/A 22420-2021 tillsynsbegäran.docx", "A 22420-2021")</f>
        <v/>
      </c>
      <c r="Y130">
        <f>HYPERLINK("https://klasma.github.io/Logging_2281/tillsynsmail/A 22420-2021 tillsynsbegäran mail.docx", "A 22420-2021")</f>
        <v/>
      </c>
      <c r="Z130">
        <f>HYPERLINK("https://klasma.github.io/Logging_2281/fåglar/A 22420-2021 prioriterade fågelarter.docx", "A 22420-2021")</f>
        <v/>
      </c>
    </row>
    <row r="131" ht="15" customHeight="1">
      <c r="A131" t="inlineStr">
        <is>
          <t>A 28332-2021</t>
        </is>
      </c>
      <c r="B131" s="1" t="n">
        <v>44356</v>
      </c>
      <c r="C131" s="1" t="n">
        <v>45691</v>
      </c>
      <c r="D131" t="inlineStr">
        <is>
          <t>VÄSTERNORRLANDS LÄN</t>
        </is>
      </c>
      <c r="E131" t="inlineStr">
        <is>
          <t>SUNDSVALL</t>
        </is>
      </c>
      <c r="G131" t="n">
        <v>11.8</v>
      </c>
      <c r="H131" t="n">
        <v>0</v>
      </c>
      <c r="I131" t="n">
        <v>1</v>
      </c>
      <c r="J131" t="n">
        <v>0</v>
      </c>
      <c r="K131" t="n">
        <v>0</v>
      </c>
      <c r="L131" t="n">
        <v>0</v>
      </c>
      <c r="M131" t="n">
        <v>0</v>
      </c>
      <c r="N131" t="n">
        <v>0</v>
      </c>
      <c r="O131" t="n">
        <v>0</v>
      </c>
      <c r="P131" t="n">
        <v>0</v>
      </c>
      <c r="Q131" t="n">
        <v>1</v>
      </c>
      <c r="R131" s="2" t="inlineStr">
        <is>
          <t>Fjällig taggsvamp s.str.</t>
        </is>
      </c>
      <c r="S131">
        <f>HYPERLINK("https://klasma.github.io/Logging_2281/artfynd/A 28332-2021 artfynd.xlsx", "A 28332-2021")</f>
        <v/>
      </c>
      <c r="T131">
        <f>HYPERLINK("https://klasma.github.io/Logging_2281/kartor/A 28332-2021 karta.png", "A 28332-2021")</f>
        <v/>
      </c>
      <c r="V131">
        <f>HYPERLINK("https://klasma.github.io/Logging_2281/klagomål/A 28332-2021 FSC-klagomål.docx", "A 28332-2021")</f>
        <v/>
      </c>
      <c r="W131">
        <f>HYPERLINK("https://klasma.github.io/Logging_2281/klagomålsmail/A 28332-2021 FSC-klagomål mail.docx", "A 28332-2021")</f>
        <v/>
      </c>
      <c r="X131">
        <f>HYPERLINK("https://klasma.github.io/Logging_2281/tillsyn/A 28332-2021 tillsynsbegäran.docx", "A 28332-2021")</f>
        <v/>
      </c>
      <c r="Y131">
        <f>HYPERLINK("https://klasma.github.io/Logging_2281/tillsynsmail/A 28332-2021 tillsynsbegäran mail.docx", "A 28332-2021")</f>
        <v/>
      </c>
    </row>
    <row r="132" ht="15" customHeight="1">
      <c r="A132" t="inlineStr">
        <is>
          <t>A 37057-2021</t>
        </is>
      </c>
      <c r="B132" s="1" t="n">
        <v>44394</v>
      </c>
      <c r="C132" s="1" t="n">
        <v>45691</v>
      </c>
      <c r="D132" t="inlineStr">
        <is>
          <t>VÄSTERNORRLANDS LÄN</t>
        </is>
      </c>
      <c r="E132" t="inlineStr">
        <is>
          <t>SUNDSVALL</t>
        </is>
      </c>
      <c r="F132" t="inlineStr">
        <is>
          <t>SCA</t>
        </is>
      </c>
      <c r="G132" t="n">
        <v>9.800000000000001</v>
      </c>
      <c r="H132" t="n">
        <v>1</v>
      </c>
      <c r="I132" t="n">
        <v>0</v>
      </c>
      <c r="J132" t="n">
        <v>1</v>
      </c>
      <c r="K132" t="n">
        <v>0</v>
      </c>
      <c r="L132" t="n">
        <v>0</v>
      </c>
      <c r="M132" t="n">
        <v>0</v>
      </c>
      <c r="N132" t="n">
        <v>0</v>
      </c>
      <c r="O132" t="n">
        <v>1</v>
      </c>
      <c r="P132" t="n">
        <v>0</v>
      </c>
      <c r="Q132" t="n">
        <v>1</v>
      </c>
      <c r="R132" s="2" t="inlineStr">
        <is>
          <t>Tretåig hackspett</t>
        </is>
      </c>
      <c r="S132">
        <f>HYPERLINK("https://klasma.github.io/Logging_2281/artfynd/A 37057-2021 artfynd.xlsx", "A 37057-2021")</f>
        <v/>
      </c>
      <c r="T132">
        <f>HYPERLINK("https://klasma.github.io/Logging_2281/kartor/A 37057-2021 karta.png", "A 37057-2021")</f>
        <v/>
      </c>
      <c r="V132">
        <f>HYPERLINK("https://klasma.github.io/Logging_2281/klagomål/A 37057-2021 FSC-klagomål.docx", "A 37057-2021")</f>
        <v/>
      </c>
      <c r="W132">
        <f>HYPERLINK("https://klasma.github.io/Logging_2281/klagomålsmail/A 37057-2021 FSC-klagomål mail.docx", "A 37057-2021")</f>
        <v/>
      </c>
      <c r="X132">
        <f>HYPERLINK("https://klasma.github.io/Logging_2281/tillsyn/A 37057-2021 tillsynsbegäran.docx", "A 37057-2021")</f>
        <v/>
      </c>
      <c r="Y132">
        <f>HYPERLINK("https://klasma.github.io/Logging_2281/tillsynsmail/A 37057-2021 tillsynsbegäran mail.docx", "A 37057-2021")</f>
        <v/>
      </c>
      <c r="Z132">
        <f>HYPERLINK("https://klasma.github.io/Logging_2281/fåglar/A 37057-2021 prioriterade fågelarter.docx", "A 37057-2021")</f>
        <v/>
      </c>
    </row>
    <row r="133" ht="15" customHeight="1">
      <c r="A133" t="inlineStr">
        <is>
          <t>A 37231-2021</t>
        </is>
      </c>
      <c r="B133" s="1" t="n">
        <v>44396</v>
      </c>
      <c r="C133" s="1" t="n">
        <v>45691</v>
      </c>
      <c r="D133" t="inlineStr">
        <is>
          <t>VÄSTERNORRLANDS LÄN</t>
        </is>
      </c>
      <c r="E133" t="inlineStr">
        <is>
          <t>SUNDSVALL</t>
        </is>
      </c>
      <c r="F133" t="inlineStr">
        <is>
          <t>SCA</t>
        </is>
      </c>
      <c r="G133" t="n">
        <v>7.3</v>
      </c>
      <c r="H133" t="n">
        <v>1</v>
      </c>
      <c r="I133" t="n">
        <v>0</v>
      </c>
      <c r="J133" t="n">
        <v>0</v>
      </c>
      <c r="K133" t="n">
        <v>0</v>
      </c>
      <c r="L133" t="n">
        <v>0</v>
      </c>
      <c r="M133" t="n">
        <v>0</v>
      </c>
      <c r="N133" t="n">
        <v>0</v>
      </c>
      <c r="O133" t="n">
        <v>0</v>
      </c>
      <c r="P133" t="n">
        <v>0</v>
      </c>
      <c r="Q133" t="n">
        <v>1</v>
      </c>
      <c r="R133" s="2" t="inlineStr">
        <is>
          <t>Orre</t>
        </is>
      </c>
      <c r="S133">
        <f>HYPERLINK("https://klasma.github.io/Logging_2281/artfynd/A 37231-2021 artfynd.xlsx", "A 37231-2021")</f>
        <v/>
      </c>
      <c r="T133">
        <f>HYPERLINK("https://klasma.github.io/Logging_2281/kartor/A 37231-2021 karta.png", "A 37231-2021")</f>
        <v/>
      </c>
      <c r="V133">
        <f>HYPERLINK("https://klasma.github.io/Logging_2281/klagomål/A 37231-2021 FSC-klagomål.docx", "A 37231-2021")</f>
        <v/>
      </c>
      <c r="W133">
        <f>HYPERLINK("https://klasma.github.io/Logging_2281/klagomålsmail/A 37231-2021 FSC-klagomål mail.docx", "A 37231-2021")</f>
        <v/>
      </c>
      <c r="X133">
        <f>HYPERLINK("https://klasma.github.io/Logging_2281/tillsyn/A 37231-2021 tillsynsbegäran.docx", "A 37231-2021")</f>
        <v/>
      </c>
      <c r="Y133">
        <f>HYPERLINK("https://klasma.github.io/Logging_2281/tillsynsmail/A 37231-2021 tillsynsbegäran mail.docx", "A 37231-2021")</f>
        <v/>
      </c>
      <c r="Z133">
        <f>HYPERLINK("https://klasma.github.io/Logging_2281/fåglar/A 37231-2021 prioriterade fågelarter.docx", "A 37231-2021")</f>
        <v/>
      </c>
    </row>
    <row r="134" ht="15" customHeight="1">
      <c r="A134" t="inlineStr">
        <is>
          <t>A 40123-2021</t>
        </is>
      </c>
      <c r="B134" s="1" t="n">
        <v>44418</v>
      </c>
      <c r="C134" s="1" t="n">
        <v>45691</v>
      </c>
      <c r="D134" t="inlineStr">
        <is>
          <t>VÄSTERNORRLANDS LÄN</t>
        </is>
      </c>
      <c r="E134" t="inlineStr">
        <is>
          <t>SUNDSVALL</t>
        </is>
      </c>
      <c r="G134" t="n">
        <v>12.2</v>
      </c>
      <c r="H134" t="n">
        <v>1</v>
      </c>
      <c r="I134" t="n">
        <v>0</v>
      </c>
      <c r="J134" t="n">
        <v>1</v>
      </c>
      <c r="K134" t="n">
        <v>0</v>
      </c>
      <c r="L134" t="n">
        <v>0</v>
      </c>
      <c r="M134" t="n">
        <v>0</v>
      </c>
      <c r="N134" t="n">
        <v>0</v>
      </c>
      <c r="O134" t="n">
        <v>1</v>
      </c>
      <c r="P134" t="n">
        <v>0</v>
      </c>
      <c r="Q134" t="n">
        <v>1</v>
      </c>
      <c r="R134" s="2" t="inlineStr">
        <is>
          <t>Skogsfru</t>
        </is>
      </c>
      <c r="S134">
        <f>HYPERLINK("https://klasma.github.io/Logging_2281/artfynd/A 40123-2021 artfynd.xlsx", "A 40123-2021")</f>
        <v/>
      </c>
      <c r="T134">
        <f>HYPERLINK("https://klasma.github.io/Logging_2281/kartor/A 40123-2021 karta.png", "A 40123-2021")</f>
        <v/>
      </c>
      <c r="V134">
        <f>HYPERLINK("https://klasma.github.io/Logging_2281/klagomål/A 40123-2021 FSC-klagomål.docx", "A 40123-2021")</f>
        <v/>
      </c>
      <c r="W134">
        <f>HYPERLINK("https://klasma.github.io/Logging_2281/klagomålsmail/A 40123-2021 FSC-klagomål mail.docx", "A 40123-2021")</f>
        <v/>
      </c>
      <c r="X134">
        <f>HYPERLINK("https://klasma.github.io/Logging_2281/tillsyn/A 40123-2021 tillsynsbegäran.docx", "A 40123-2021")</f>
        <v/>
      </c>
      <c r="Y134">
        <f>HYPERLINK("https://klasma.github.io/Logging_2281/tillsynsmail/A 40123-2021 tillsynsbegäran mail.docx", "A 40123-2021")</f>
        <v/>
      </c>
    </row>
    <row r="135" ht="15" customHeight="1">
      <c r="A135" t="inlineStr">
        <is>
          <t>A 64922-2021</t>
        </is>
      </c>
      <c r="B135" s="1" t="n">
        <v>44512</v>
      </c>
      <c r="C135" s="1" t="n">
        <v>45691</v>
      </c>
      <c r="D135" t="inlineStr">
        <is>
          <t>VÄSTERNORRLANDS LÄN</t>
        </is>
      </c>
      <c r="E135" t="inlineStr">
        <is>
          <t>SUNDSVALL</t>
        </is>
      </c>
      <c r="F135" t="inlineStr">
        <is>
          <t>Kommuner</t>
        </is>
      </c>
      <c r="G135" t="n">
        <v>1.5</v>
      </c>
      <c r="H135" t="n">
        <v>1</v>
      </c>
      <c r="I135" t="n">
        <v>0</v>
      </c>
      <c r="J135" t="n">
        <v>0</v>
      </c>
      <c r="K135" t="n">
        <v>0</v>
      </c>
      <c r="L135" t="n">
        <v>0</v>
      </c>
      <c r="M135" t="n">
        <v>0</v>
      </c>
      <c r="N135" t="n">
        <v>0</v>
      </c>
      <c r="O135" t="n">
        <v>0</v>
      </c>
      <c r="P135" t="n">
        <v>0</v>
      </c>
      <c r="Q135" t="n">
        <v>1</v>
      </c>
      <c r="R135" s="2" t="inlineStr">
        <is>
          <t>Näktergal</t>
        </is>
      </c>
      <c r="S135">
        <f>HYPERLINK("https://klasma.github.io/Logging_2281/artfynd/A 64922-2021 artfynd.xlsx", "A 64922-2021")</f>
        <v/>
      </c>
      <c r="T135">
        <f>HYPERLINK("https://klasma.github.io/Logging_2281/kartor/A 64922-2021 karta.png", "A 64922-2021")</f>
        <v/>
      </c>
      <c r="V135">
        <f>HYPERLINK("https://klasma.github.io/Logging_2281/klagomål/A 64922-2021 FSC-klagomål.docx", "A 64922-2021")</f>
        <v/>
      </c>
      <c r="W135">
        <f>HYPERLINK("https://klasma.github.io/Logging_2281/klagomålsmail/A 64922-2021 FSC-klagomål mail.docx", "A 64922-2021")</f>
        <v/>
      </c>
      <c r="X135">
        <f>HYPERLINK("https://klasma.github.io/Logging_2281/tillsyn/A 64922-2021 tillsynsbegäran.docx", "A 64922-2021")</f>
        <v/>
      </c>
      <c r="Y135">
        <f>HYPERLINK("https://klasma.github.io/Logging_2281/tillsynsmail/A 64922-2021 tillsynsbegäran mail.docx", "A 64922-2021")</f>
        <v/>
      </c>
      <c r="Z135">
        <f>HYPERLINK("https://klasma.github.io/Logging_2281/fåglar/A 64922-2021 prioriterade fågelarter.docx", "A 64922-2021")</f>
        <v/>
      </c>
    </row>
    <row r="136" ht="15" customHeight="1">
      <c r="A136" t="inlineStr">
        <is>
          <t>A 3008-2022</t>
        </is>
      </c>
      <c r="B136" s="1" t="n">
        <v>44581</v>
      </c>
      <c r="C136" s="1" t="n">
        <v>45691</v>
      </c>
      <c r="D136" t="inlineStr">
        <is>
          <t>VÄSTERNORRLANDS LÄN</t>
        </is>
      </c>
      <c r="E136" t="inlineStr">
        <is>
          <t>SUNDSVALL</t>
        </is>
      </c>
      <c r="G136" t="n">
        <v>1</v>
      </c>
      <c r="H136" t="n">
        <v>0</v>
      </c>
      <c r="I136" t="n">
        <v>0</v>
      </c>
      <c r="J136" t="n">
        <v>1</v>
      </c>
      <c r="K136" t="n">
        <v>0</v>
      </c>
      <c r="L136" t="n">
        <v>0</v>
      </c>
      <c r="M136" t="n">
        <v>0</v>
      </c>
      <c r="N136" t="n">
        <v>0</v>
      </c>
      <c r="O136" t="n">
        <v>1</v>
      </c>
      <c r="P136" t="n">
        <v>0</v>
      </c>
      <c r="Q136" t="n">
        <v>1</v>
      </c>
      <c r="R136" s="2" t="inlineStr">
        <is>
          <t>Fjällhumla</t>
        </is>
      </c>
      <c r="S136">
        <f>HYPERLINK("https://klasma.github.io/Logging_2281/artfynd/A 3008-2022 artfynd.xlsx", "A 3008-2022")</f>
        <v/>
      </c>
      <c r="T136">
        <f>HYPERLINK("https://klasma.github.io/Logging_2281/kartor/A 3008-2022 karta.png", "A 3008-2022")</f>
        <v/>
      </c>
      <c r="V136">
        <f>HYPERLINK("https://klasma.github.io/Logging_2281/klagomål/A 3008-2022 FSC-klagomål.docx", "A 3008-2022")</f>
        <v/>
      </c>
      <c r="W136">
        <f>HYPERLINK("https://klasma.github.io/Logging_2281/klagomålsmail/A 3008-2022 FSC-klagomål mail.docx", "A 3008-2022")</f>
        <v/>
      </c>
      <c r="X136">
        <f>HYPERLINK("https://klasma.github.io/Logging_2281/tillsyn/A 3008-2022 tillsynsbegäran.docx", "A 3008-2022")</f>
        <v/>
      </c>
      <c r="Y136">
        <f>HYPERLINK("https://klasma.github.io/Logging_2281/tillsynsmail/A 3008-2022 tillsynsbegäran mail.docx", "A 3008-2022")</f>
        <v/>
      </c>
    </row>
    <row r="137" ht="15" customHeight="1">
      <c r="A137" t="inlineStr">
        <is>
          <t>A 14676-2022</t>
        </is>
      </c>
      <c r="B137" s="1" t="n">
        <v>44655</v>
      </c>
      <c r="C137" s="1" t="n">
        <v>45691</v>
      </c>
      <c r="D137" t="inlineStr">
        <is>
          <t>VÄSTERNORRLANDS LÄN</t>
        </is>
      </c>
      <c r="E137" t="inlineStr">
        <is>
          <t>SUNDSVALL</t>
        </is>
      </c>
      <c r="G137" t="n">
        <v>10.1</v>
      </c>
      <c r="H137" t="n">
        <v>0</v>
      </c>
      <c r="I137" t="n">
        <v>0</v>
      </c>
      <c r="J137" t="n">
        <v>1</v>
      </c>
      <c r="K137" t="n">
        <v>0</v>
      </c>
      <c r="L137" t="n">
        <v>0</v>
      </c>
      <c r="M137" t="n">
        <v>0</v>
      </c>
      <c r="N137" t="n">
        <v>0</v>
      </c>
      <c r="O137" t="n">
        <v>1</v>
      </c>
      <c r="P137" t="n">
        <v>0</v>
      </c>
      <c r="Q137" t="n">
        <v>1</v>
      </c>
      <c r="R137" s="2" t="inlineStr">
        <is>
          <t>Granticka</t>
        </is>
      </c>
      <c r="S137">
        <f>HYPERLINK("https://klasma.github.io/Logging_2281/artfynd/A 14676-2022 artfynd.xlsx", "A 14676-2022")</f>
        <v/>
      </c>
      <c r="T137">
        <f>HYPERLINK("https://klasma.github.io/Logging_2281/kartor/A 14676-2022 karta.png", "A 14676-2022")</f>
        <v/>
      </c>
      <c r="V137">
        <f>HYPERLINK("https://klasma.github.io/Logging_2281/klagomål/A 14676-2022 FSC-klagomål.docx", "A 14676-2022")</f>
        <v/>
      </c>
      <c r="W137">
        <f>HYPERLINK("https://klasma.github.io/Logging_2281/klagomålsmail/A 14676-2022 FSC-klagomål mail.docx", "A 14676-2022")</f>
        <v/>
      </c>
      <c r="X137">
        <f>HYPERLINK("https://klasma.github.io/Logging_2281/tillsyn/A 14676-2022 tillsynsbegäran.docx", "A 14676-2022")</f>
        <v/>
      </c>
      <c r="Y137">
        <f>HYPERLINK("https://klasma.github.io/Logging_2281/tillsynsmail/A 14676-2022 tillsynsbegäran mail.docx", "A 14676-2022")</f>
        <v/>
      </c>
    </row>
    <row r="138" ht="15" customHeight="1">
      <c r="A138" t="inlineStr">
        <is>
          <t>A 19305-2022</t>
        </is>
      </c>
      <c r="B138" s="1" t="n">
        <v>44692</v>
      </c>
      <c r="C138" s="1" t="n">
        <v>45691</v>
      </c>
      <c r="D138" t="inlineStr">
        <is>
          <t>VÄSTERNORRLANDS LÄN</t>
        </is>
      </c>
      <c r="E138" t="inlineStr">
        <is>
          <t>SUNDSVALL</t>
        </is>
      </c>
      <c r="G138" t="n">
        <v>4.1</v>
      </c>
      <c r="H138" t="n">
        <v>0</v>
      </c>
      <c r="I138" t="n">
        <v>0</v>
      </c>
      <c r="J138" t="n">
        <v>1</v>
      </c>
      <c r="K138" t="n">
        <v>0</v>
      </c>
      <c r="L138" t="n">
        <v>0</v>
      </c>
      <c r="M138" t="n">
        <v>0</v>
      </c>
      <c r="N138" t="n">
        <v>0</v>
      </c>
      <c r="O138" t="n">
        <v>1</v>
      </c>
      <c r="P138" t="n">
        <v>0</v>
      </c>
      <c r="Q138" t="n">
        <v>1</v>
      </c>
      <c r="R138" s="2" t="inlineStr">
        <is>
          <t>Månlåsbräken</t>
        </is>
      </c>
      <c r="S138">
        <f>HYPERLINK("https://klasma.github.io/Logging_2281/artfynd/A 19305-2022 artfynd.xlsx", "A 19305-2022")</f>
        <v/>
      </c>
      <c r="T138">
        <f>HYPERLINK("https://klasma.github.io/Logging_2281/kartor/A 19305-2022 karta.png", "A 19305-2022")</f>
        <v/>
      </c>
      <c r="V138">
        <f>HYPERLINK("https://klasma.github.io/Logging_2281/klagomål/A 19305-2022 FSC-klagomål.docx", "A 19305-2022")</f>
        <v/>
      </c>
      <c r="W138">
        <f>HYPERLINK("https://klasma.github.io/Logging_2281/klagomålsmail/A 19305-2022 FSC-klagomål mail.docx", "A 19305-2022")</f>
        <v/>
      </c>
      <c r="X138">
        <f>HYPERLINK("https://klasma.github.io/Logging_2281/tillsyn/A 19305-2022 tillsynsbegäran.docx", "A 19305-2022")</f>
        <v/>
      </c>
      <c r="Y138">
        <f>HYPERLINK("https://klasma.github.io/Logging_2281/tillsynsmail/A 19305-2022 tillsynsbegäran mail.docx", "A 19305-2022")</f>
        <v/>
      </c>
    </row>
    <row r="139" ht="15" customHeight="1">
      <c r="A139" t="inlineStr">
        <is>
          <t>A 21663-2022</t>
        </is>
      </c>
      <c r="B139" s="1" t="n">
        <v>44707</v>
      </c>
      <c r="C139" s="1" t="n">
        <v>45691</v>
      </c>
      <c r="D139" t="inlineStr">
        <is>
          <t>VÄSTERNORRLANDS LÄN</t>
        </is>
      </c>
      <c r="E139" t="inlineStr">
        <is>
          <t>SUNDSVALL</t>
        </is>
      </c>
      <c r="F139" t="inlineStr">
        <is>
          <t>SCA</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HYPERLINK("https://klasma.github.io/Logging_2281/artfynd/A 21663-2022 artfynd.xlsx", "A 21663-2022")</f>
        <v/>
      </c>
      <c r="T139">
        <f>HYPERLINK("https://klasma.github.io/Logging_2281/kartor/A 21663-2022 karta.png", "A 21663-2022")</f>
        <v/>
      </c>
      <c r="V139">
        <f>HYPERLINK("https://klasma.github.io/Logging_2281/klagomål/A 21663-2022 FSC-klagomål.docx", "A 21663-2022")</f>
        <v/>
      </c>
      <c r="W139">
        <f>HYPERLINK("https://klasma.github.io/Logging_2281/klagomålsmail/A 21663-2022 FSC-klagomål mail.docx", "A 21663-2022")</f>
        <v/>
      </c>
      <c r="X139">
        <f>HYPERLINK("https://klasma.github.io/Logging_2281/tillsyn/A 21663-2022 tillsynsbegäran.docx", "A 21663-2022")</f>
        <v/>
      </c>
      <c r="Y139">
        <f>HYPERLINK("https://klasma.github.io/Logging_2281/tillsynsmail/A 21663-2022 tillsynsbegäran mail.docx", "A 21663-2022")</f>
        <v/>
      </c>
    </row>
    <row r="140" ht="15" customHeight="1">
      <c r="A140" t="inlineStr">
        <is>
          <t>A 22556-2022</t>
        </is>
      </c>
      <c r="B140" s="1" t="n">
        <v>44714</v>
      </c>
      <c r="C140" s="1" t="n">
        <v>45691</v>
      </c>
      <c r="D140" t="inlineStr">
        <is>
          <t>VÄSTERNORRLANDS LÄN</t>
        </is>
      </c>
      <c r="E140" t="inlineStr">
        <is>
          <t>SUNDSVALL</t>
        </is>
      </c>
      <c r="F140" t="inlineStr">
        <is>
          <t>SCA</t>
        </is>
      </c>
      <c r="G140" t="n">
        <v>1.9</v>
      </c>
      <c r="H140" t="n">
        <v>0</v>
      </c>
      <c r="I140" t="n">
        <v>0</v>
      </c>
      <c r="J140" t="n">
        <v>1</v>
      </c>
      <c r="K140" t="n">
        <v>0</v>
      </c>
      <c r="L140" t="n">
        <v>0</v>
      </c>
      <c r="M140" t="n">
        <v>0</v>
      </c>
      <c r="N140" t="n">
        <v>0</v>
      </c>
      <c r="O140" t="n">
        <v>1</v>
      </c>
      <c r="P140" t="n">
        <v>0</v>
      </c>
      <c r="Q140" t="n">
        <v>1</v>
      </c>
      <c r="R140" s="2" t="inlineStr">
        <is>
          <t>Garnlav</t>
        </is>
      </c>
      <c r="S140">
        <f>HYPERLINK("https://klasma.github.io/Logging_2281/artfynd/A 22556-2022 artfynd.xlsx", "A 22556-2022")</f>
        <v/>
      </c>
      <c r="T140">
        <f>HYPERLINK("https://klasma.github.io/Logging_2281/kartor/A 22556-2022 karta.png", "A 22556-2022")</f>
        <v/>
      </c>
      <c r="V140">
        <f>HYPERLINK("https://klasma.github.io/Logging_2281/klagomål/A 22556-2022 FSC-klagomål.docx", "A 22556-2022")</f>
        <v/>
      </c>
      <c r="W140">
        <f>HYPERLINK("https://klasma.github.io/Logging_2281/klagomålsmail/A 22556-2022 FSC-klagomål mail.docx", "A 22556-2022")</f>
        <v/>
      </c>
      <c r="X140">
        <f>HYPERLINK("https://klasma.github.io/Logging_2281/tillsyn/A 22556-2022 tillsynsbegäran.docx", "A 22556-2022")</f>
        <v/>
      </c>
      <c r="Y140">
        <f>HYPERLINK("https://klasma.github.io/Logging_2281/tillsynsmail/A 22556-2022 tillsynsbegäran mail.docx", "A 22556-2022")</f>
        <v/>
      </c>
    </row>
    <row r="141" ht="15" customHeight="1">
      <c r="A141" t="inlineStr">
        <is>
          <t>A 23711-2022</t>
        </is>
      </c>
      <c r="B141" s="1" t="n">
        <v>44722</v>
      </c>
      <c r="C141" s="1" t="n">
        <v>45691</v>
      </c>
      <c r="D141" t="inlineStr">
        <is>
          <t>VÄSTERNORRLANDS LÄN</t>
        </is>
      </c>
      <c r="E141" t="inlineStr">
        <is>
          <t>SUNDSVALL</t>
        </is>
      </c>
      <c r="F141" t="inlineStr">
        <is>
          <t>Holmen skog AB</t>
        </is>
      </c>
      <c r="G141" t="n">
        <v>2.8</v>
      </c>
      <c r="H141" t="n">
        <v>0</v>
      </c>
      <c r="I141" t="n">
        <v>0</v>
      </c>
      <c r="J141" t="n">
        <v>1</v>
      </c>
      <c r="K141" t="n">
        <v>0</v>
      </c>
      <c r="L141" t="n">
        <v>0</v>
      </c>
      <c r="M141" t="n">
        <v>0</v>
      </c>
      <c r="N141" t="n">
        <v>0</v>
      </c>
      <c r="O141" t="n">
        <v>1</v>
      </c>
      <c r="P141" t="n">
        <v>0</v>
      </c>
      <c r="Q141" t="n">
        <v>1</v>
      </c>
      <c r="R141" s="2" t="inlineStr">
        <is>
          <t>Garnlav</t>
        </is>
      </c>
      <c r="S141">
        <f>HYPERLINK("https://klasma.github.io/Logging_2281/artfynd/A 23711-2022 artfynd.xlsx", "A 23711-2022")</f>
        <v/>
      </c>
      <c r="T141">
        <f>HYPERLINK("https://klasma.github.io/Logging_2281/kartor/A 23711-2022 karta.png", "A 23711-2022")</f>
        <v/>
      </c>
      <c r="V141">
        <f>HYPERLINK("https://klasma.github.io/Logging_2281/klagomål/A 23711-2022 FSC-klagomål.docx", "A 23711-2022")</f>
        <v/>
      </c>
      <c r="W141">
        <f>HYPERLINK("https://klasma.github.io/Logging_2281/klagomålsmail/A 23711-2022 FSC-klagomål mail.docx", "A 23711-2022")</f>
        <v/>
      </c>
      <c r="X141">
        <f>HYPERLINK("https://klasma.github.io/Logging_2281/tillsyn/A 23711-2022 tillsynsbegäran.docx", "A 23711-2022")</f>
        <v/>
      </c>
      <c r="Y141">
        <f>HYPERLINK("https://klasma.github.io/Logging_2281/tillsynsmail/A 23711-2022 tillsynsbegäran mail.docx", "A 23711-2022")</f>
        <v/>
      </c>
    </row>
    <row r="142" ht="15" customHeight="1">
      <c r="A142" t="inlineStr">
        <is>
          <t>A 25250-2022</t>
        </is>
      </c>
      <c r="B142" s="1" t="n">
        <v>44729</v>
      </c>
      <c r="C142" s="1" t="n">
        <v>45691</v>
      </c>
      <c r="D142" t="inlineStr">
        <is>
          <t>VÄSTERNORRLANDS LÄN</t>
        </is>
      </c>
      <c r="E142" t="inlineStr">
        <is>
          <t>SUNDSVALL</t>
        </is>
      </c>
      <c r="F142" t="inlineStr">
        <is>
          <t>SCA</t>
        </is>
      </c>
      <c r="G142" t="n">
        <v>2.6</v>
      </c>
      <c r="H142" t="n">
        <v>0</v>
      </c>
      <c r="I142" t="n">
        <v>1</v>
      </c>
      <c r="J142" t="n">
        <v>0</v>
      </c>
      <c r="K142" t="n">
        <v>0</v>
      </c>
      <c r="L142" t="n">
        <v>0</v>
      </c>
      <c r="M142" t="n">
        <v>0</v>
      </c>
      <c r="N142" t="n">
        <v>0</v>
      </c>
      <c r="O142" t="n">
        <v>0</v>
      </c>
      <c r="P142" t="n">
        <v>0</v>
      </c>
      <c r="Q142" t="n">
        <v>1</v>
      </c>
      <c r="R142" s="2" t="inlineStr">
        <is>
          <t>Stor aspticka</t>
        </is>
      </c>
      <c r="S142">
        <f>HYPERLINK("https://klasma.github.io/Logging_2281/artfynd/A 25250-2022 artfynd.xlsx", "A 25250-2022")</f>
        <v/>
      </c>
      <c r="T142">
        <f>HYPERLINK("https://klasma.github.io/Logging_2281/kartor/A 25250-2022 karta.png", "A 25250-2022")</f>
        <v/>
      </c>
      <c r="V142">
        <f>HYPERLINK("https://klasma.github.io/Logging_2281/klagomål/A 25250-2022 FSC-klagomål.docx", "A 25250-2022")</f>
        <v/>
      </c>
      <c r="W142">
        <f>HYPERLINK("https://klasma.github.io/Logging_2281/klagomålsmail/A 25250-2022 FSC-klagomål mail.docx", "A 25250-2022")</f>
        <v/>
      </c>
      <c r="X142">
        <f>HYPERLINK("https://klasma.github.io/Logging_2281/tillsyn/A 25250-2022 tillsynsbegäran.docx", "A 25250-2022")</f>
        <v/>
      </c>
      <c r="Y142">
        <f>HYPERLINK("https://klasma.github.io/Logging_2281/tillsynsmail/A 25250-2022 tillsynsbegäran mail.docx", "A 25250-2022")</f>
        <v/>
      </c>
    </row>
    <row r="143" ht="15" customHeight="1">
      <c r="A143" t="inlineStr">
        <is>
          <t>A 28728-2022</t>
        </is>
      </c>
      <c r="B143" s="1" t="n">
        <v>44749</v>
      </c>
      <c r="C143" s="1" t="n">
        <v>45691</v>
      </c>
      <c r="D143" t="inlineStr">
        <is>
          <t>VÄSTERNORRLANDS LÄN</t>
        </is>
      </c>
      <c r="E143" t="inlineStr">
        <is>
          <t>SUNDSVALL</t>
        </is>
      </c>
      <c r="F143" t="inlineStr">
        <is>
          <t>SCA</t>
        </is>
      </c>
      <c r="G143" t="n">
        <v>3.4</v>
      </c>
      <c r="H143" t="n">
        <v>0</v>
      </c>
      <c r="I143" t="n">
        <v>0</v>
      </c>
      <c r="J143" t="n">
        <v>1</v>
      </c>
      <c r="K143" t="n">
        <v>0</v>
      </c>
      <c r="L143" t="n">
        <v>0</v>
      </c>
      <c r="M143" t="n">
        <v>0</v>
      </c>
      <c r="N143" t="n">
        <v>0</v>
      </c>
      <c r="O143" t="n">
        <v>1</v>
      </c>
      <c r="P143" t="n">
        <v>0</v>
      </c>
      <c r="Q143" t="n">
        <v>1</v>
      </c>
      <c r="R143" s="2" t="inlineStr">
        <is>
          <t>Garnlav</t>
        </is>
      </c>
      <c r="S143">
        <f>HYPERLINK("https://klasma.github.io/Logging_2281/artfynd/A 28728-2022 artfynd.xlsx", "A 28728-2022")</f>
        <v/>
      </c>
      <c r="T143">
        <f>HYPERLINK("https://klasma.github.io/Logging_2281/kartor/A 28728-2022 karta.png", "A 28728-2022")</f>
        <v/>
      </c>
      <c r="V143">
        <f>HYPERLINK("https://klasma.github.io/Logging_2281/klagomål/A 28728-2022 FSC-klagomål.docx", "A 28728-2022")</f>
        <v/>
      </c>
      <c r="W143">
        <f>HYPERLINK("https://klasma.github.io/Logging_2281/klagomålsmail/A 28728-2022 FSC-klagomål mail.docx", "A 28728-2022")</f>
        <v/>
      </c>
      <c r="X143">
        <f>HYPERLINK("https://klasma.github.io/Logging_2281/tillsyn/A 28728-2022 tillsynsbegäran.docx", "A 28728-2022")</f>
        <v/>
      </c>
      <c r="Y143">
        <f>HYPERLINK("https://klasma.github.io/Logging_2281/tillsynsmail/A 28728-2022 tillsynsbegäran mail.docx", "A 28728-2022")</f>
        <v/>
      </c>
    </row>
    <row r="144" ht="15" customHeight="1">
      <c r="A144" t="inlineStr">
        <is>
          <t>A 30933-2022</t>
        </is>
      </c>
      <c r="B144" s="1" t="n">
        <v>44768</v>
      </c>
      <c r="C144" s="1" t="n">
        <v>45691</v>
      </c>
      <c r="D144" t="inlineStr">
        <is>
          <t>VÄSTERNORRLANDS LÄN</t>
        </is>
      </c>
      <c r="E144" t="inlineStr">
        <is>
          <t>SUNDSVALL</t>
        </is>
      </c>
      <c r="F144" t="inlineStr">
        <is>
          <t>SCA</t>
        </is>
      </c>
      <c r="G144" t="n">
        <v>1.9</v>
      </c>
      <c r="H144" t="n">
        <v>1</v>
      </c>
      <c r="I144" t="n">
        <v>0</v>
      </c>
      <c r="J144" t="n">
        <v>1</v>
      </c>
      <c r="K144" t="n">
        <v>0</v>
      </c>
      <c r="L144" t="n">
        <v>0</v>
      </c>
      <c r="M144" t="n">
        <v>0</v>
      </c>
      <c r="N144" t="n">
        <v>0</v>
      </c>
      <c r="O144" t="n">
        <v>1</v>
      </c>
      <c r="P144" t="n">
        <v>0</v>
      </c>
      <c r="Q144" t="n">
        <v>1</v>
      </c>
      <c r="R144" s="2" t="inlineStr">
        <is>
          <t>Björktrast</t>
        </is>
      </c>
      <c r="S144">
        <f>HYPERLINK("https://klasma.github.io/Logging_2281/artfynd/A 30933-2022 artfynd.xlsx", "A 30933-2022")</f>
        <v/>
      </c>
      <c r="T144">
        <f>HYPERLINK("https://klasma.github.io/Logging_2281/kartor/A 30933-2022 karta.png", "A 30933-2022")</f>
        <v/>
      </c>
      <c r="V144">
        <f>HYPERLINK("https://klasma.github.io/Logging_2281/klagomål/A 30933-2022 FSC-klagomål.docx", "A 30933-2022")</f>
        <v/>
      </c>
      <c r="W144">
        <f>HYPERLINK("https://klasma.github.io/Logging_2281/klagomålsmail/A 30933-2022 FSC-klagomål mail.docx", "A 30933-2022")</f>
        <v/>
      </c>
      <c r="X144">
        <f>HYPERLINK("https://klasma.github.io/Logging_2281/tillsyn/A 30933-2022 tillsynsbegäran.docx", "A 30933-2022")</f>
        <v/>
      </c>
      <c r="Y144">
        <f>HYPERLINK("https://klasma.github.io/Logging_2281/tillsynsmail/A 30933-2022 tillsynsbegäran mail.docx", "A 30933-2022")</f>
        <v/>
      </c>
      <c r="Z144">
        <f>HYPERLINK("https://klasma.github.io/Logging_2281/fåglar/A 30933-2022 prioriterade fågelarter.docx", "A 30933-2022")</f>
        <v/>
      </c>
    </row>
    <row r="145" ht="15" customHeight="1">
      <c r="A145" t="inlineStr">
        <is>
          <t>A 47807-2022</t>
        </is>
      </c>
      <c r="B145" s="1" t="n">
        <v>44854</v>
      </c>
      <c r="C145" s="1" t="n">
        <v>45691</v>
      </c>
      <c r="D145" t="inlineStr">
        <is>
          <t>VÄSTERNORRLANDS LÄN</t>
        </is>
      </c>
      <c r="E145" t="inlineStr">
        <is>
          <t>SUNDSVALL</t>
        </is>
      </c>
      <c r="F145" t="inlineStr">
        <is>
          <t>SCA</t>
        </is>
      </c>
      <c r="G145" t="n">
        <v>9.9</v>
      </c>
      <c r="H145" t="n">
        <v>0</v>
      </c>
      <c r="I145" t="n">
        <v>0</v>
      </c>
      <c r="J145" t="n">
        <v>1</v>
      </c>
      <c r="K145" t="n">
        <v>0</v>
      </c>
      <c r="L145" t="n">
        <v>0</v>
      </c>
      <c r="M145" t="n">
        <v>0</v>
      </c>
      <c r="N145" t="n">
        <v>0</v>
      </c>
      <c r="O145" t="n">
        <v>1</v>
      </c>
      <c r="P145" t="n">
        <v>0</v>
      </c>
      <c r="Q145" t="n">
        <v>1</v>
      </c>
      <c r="R145" s="2" t="inlineStr">
        <is>
          <t>Garnlav</t>
        </is>
      </c>
      <c r="S145">
        <f>HYPERLINK("https://klasma.github.io/Logging_2281/artfynd/A 47807-2022 artfynd.xlsx", "A 47807-2022")</f>
        <v/>
      </c>
      <c r="T145">
        <f>HYPERLINK("https://klasma.github.io/Logging_2281/kartor/A 47807-2022 karta.png", "A 47807-2022")</f>
        <v/>
      </c>
      <c r="V145">
        <f>HYPERLINK("https://klasma.github.io/Logging_2281/klagomål/A 47807-2022 FSC-klagomål.docx", "A 47807-2022")</f>
        <v/>
      </c>
      <c r="W145">
        <f>HYPERLINK("https://klasma.github.io/Logging_2281/klagomålsmail/A 47807-2022 FSC-klagomål mail.docx", "A 47807-2022")</f>
        <v/>
      </c>
      <c r="X145">
        <f>HYPERLINK("https://klasma.github.io/Logging_2281/tillsyn/A 47807-2022 tillsynsbegäran.docx", "A 47807-2022")</f>
        <v/>
      </c>
      <c r="Y145">
        <f>HYPERLINK("https://klasma.github.io/Logging_2281/tillsynsmail/A 47807-2022 tillsynsbegäran mail.docx", "A 47807-2022")</f>
        <v/>
      </c>
    </row>
    <row r="146" ht="15" customHeight="1">
      <c r="A146" t="inlineStr">
        <is>
          <t>A 49850-2022</t>
        </is>
      </c>
      <c r="B146" s="1" t="n">
        <v>44862</v>
      </c>
      <c r="C146" s="1" t="n">
        <v>45691</v>
      </c>
      <c r="D146" t="inlineStr">
        <is>
          <t>VÄSTERNORRLANDS LÄN</t>
        </is>
      </c>
      <c r="E146" t="inlineStr">
        <is>
          <t>SUNDSVALL</t>
        </is>
      </c>
      <c r="F146" t="inlineStr">
        <is>
          <t>SCA</t>
        </is>
      </c>
      <c r="G146" t="n">
        <v>5.5</v>
      </c>
      <c r="H146" t="n">
        <v>0</v>
      </c>
      <c r="I146" t="n">
        <v>0</v>
      </c>
      <c r="J146" t="n">
        <v>0</v>
      </c>
      <c r="K146" t="n">
        <v>1</v>
      </c>
      <c r="L146" t="n">
        <v>0</v>
      </c>
      <c r="M146" t="n">
        <v>0</v>
      </c>
      <c r="N146" t="n">
        <v>0</v>
      </c>
      <c r="O146" t="n">
        <v>1</v>
      </c>
      <c r="P146" t="n">
        <v>1</v>
      </c>
      <c r="Q146" t="n">
        <v>1</v>
      </c>
      <c r="R146" s="2" t="inlineStr">
        <is>
          <t>Rynkskinn</t>
        </is>
      </c>
      <c r="S146">
        <f>HYPERLINK("https://klasma.github.io/Logging_2281/artfynd/A 49850-2022 artfynd.xlsx", "A 49850-2022")</f>
        <v/>
      </c>
      <c r="T146">
        <f>HYPERLINK("https://klasma.github.io/Logging_2281/kartor/A 49850-2022 karta.png", "A 49850-2022")</f>
        <v/>
      </c>
      <c r="V146">
        <f>HYPERLINK("https://klasma.github.io/Logging_2281/klagomål/A 49850-2022 FSC-klagomål.docx", "A 49850-2022")</f>
        <v/>
      </c>
      <c r="W146">
        <f>HYPERLINK("https://klasma.github.io/Logging_2281/klagomålsmail/A 49850-2022 FSC-klagomål mail.docx", "A 49850-2022")</f>
        <v/>
      </c>
      <c r="X146">
        <f>HYPERLINK("https://klasma.github.io/Logging_2281/tillsyn/A 49850-2022 tillsynsbegäran.docx", "A 49850-2022")</f>
        <v/>
      </c>
      <c r="Y146">
        <f>HYPERLINK("https://klasma.github.io/Logging_2281/tillsynsmail/A 49850-2022 tillsynsbegäran mail.docx", "A 49850-2022")</f>
        <v/>
      </c>
    </row>
    <row r="147" ht="15" customHeight="1">
      <c r="A147" t="inlineStr">
        <is>
          <t>A 57281-2022</t>
        </is>
      </c>
      <c r="B147" s="1" t="n">
        <v>44895</v>
      </c>
      <c r="C147" s="1" t="n">
        <v>45691</v>
      </c>
      <c r="D147" t="inlineStr">
        <is>
          <t>VÄSTERNORRLANDS LÄN</t>
        </is>
      </c>
      <c r="E147" t="inlineStr">
        <is>
          <t>SUNDSVALL</t>
        </is>
      </c>
      <c r="F147" t="inlineStr">
        <is>
          <t>Naturvårdsverket</t>
        </is>
      </c>
      <c r="G147" t="n">
        <v>9.300000000000001</v>
      </c>
      <c r="H147" t="n">
        <v>1</v>
      </c>
      <c r="I147" t="n">
        <v>0</v>
      </c>
      <c r="J147" t="n">
        <v>1</v>
      </c>
      <c r="K147" t="n">
        <v>0</v>
      </c>
      <c r="L147" t="n">
        <v>0</v>
      </c>
      <c r="M147" t="n">
        <v>0</v>
      </c>
      <c r="N147" t="n">
        <v>0</v>
      </c>
      <c r="O147" t="n">
        <v>1</v>
      </c>
      <c r="P147" t="n">
        <v>0</v>
      </c>
      <c r="Q147" t="n">
        <v>1</v>
      </c>
      <c r="R147" s="2" t="inlineStr">
        <is>
          <t>Tretåig hackspett</t>
        </is>
      </c>
      <c r="S147">
        <f>HYPERLINK("https://klasma.github.io/Logging_2281/artfynd/A 57281-2022 artfynd.xlsx", "A 57281-2022")</f>
        <v/>
      </c>
      <c r="T147">
        <f>HYPERLINK("https://klasma.github.io/Logging_2281/kartor/A 57281-2022 karta.png", "A 57281-2022")</f>
        <v/>
      </c>
      <c r="V147">
        <f>HYPERLINK("https://klasma.github.io/Logging_2281/klagomål/A 57281-2022 FSC-klagomål.docx", "A 57281-2022")</f>
        <v/>
      </c>
      <c r="W147">
        <f>HYPERLINK("https://klasma.github.io/Logging_2281/klagomålsmail/A 57281-2022 FSC-klagomål mail.docx", "A 57281-2022")</f>
        <v/>
      </c>
      <c r="X147">
        <f>HYPERLINK("https://klasma.github.io/Logging_2281/tillsyn/A 57281-2022 tillsynsbegäran.docx", "A 57281-2022")</f>
        <v/>
      </c>
      <c r="Y147">
        <f>HYPERLINK("https://klasma.github.io/Logging_2281/tillsynsmail/A 57281-2022 tillsynsbegäran mail.docx", "A 57281-2022")</f>
        <v/>
      </c>
      <c r="Z147">
        <f>HYPERLINK("https://klasma.github.io/Logging_2281/fåglar/A 57281-2022 prioriterade fågelarter.docx", "A 57281-2022")</f>
        <v/>
      </c>
    </row>
    <row r="148" ht="15" customHeight="1">
      <c r="A148" t="inlineStr">
        <is>
          <t>A 58186-2022</t>
        </is>
      </c>
      <c r="B148" s="1" t="n">
        <v>44900</v>
      </c>
      <c r="C148" s="1" t="n">
        <v>45691</v>
      </c>
      <c r="D148" t="inlineStr">
        <is>
          <t>VÄSTERNORRLANDS LÄN</t>
        </is>
      </c>
      <c r="E148" t="inlineStr">
        <is>
          <t>SUNDSVALL</t>
        </is>
      </c>
      <c r="F148" t="inlineStr">
        <is>
          <t>SCA</t>
        </is>
      </c>
      <c r="G148" t="n">
        <v>9.300000000000001</v>
      </c>
      <c r="H148" t="n">
        <v>1</v>
      </c>
      <c r="I148" t="n">
        <v>1</v>
      </c>
      <c r="J148" t="n">
        <v>0</v>
      </c>
      <c r="K148" t="n">
        <v>0</v>
      </c>
      <c r="L148" t="n">
        <v>0</v>
      </c>
      <c r="M148" t="n">
        <v>0</v>
      </c>
      <c r="N148" t="n">
        <v>0</v>
      </c>
      <c r="O148" t="n">
        <v>0</v>
      </c>
      <c r="P148" t="n">
        <v>0</v>
      </c>
      <c r="Q148" t="n">
        <v>1</v>
      </c>
      <c r="R148" s="2" t="inlineStr">
        <is>
          <t>Plattlummer</t>
        </is>
      </c>
      <c r="S148">
        <f>HYPERLINK("https://klasma.github.io/Logging_2281/artfynd/A 58186-2022 artfynd.xlsx", "A 58186-2022")</f>
        <v/>
      </c>
      <c r="T148">
        <f>HYPERLINK("https://klasma.github.io/Logging_2281/kartor/A 58186-2022 karta.png", "A 58186-2022")</f>
        <v/>
      </c>
      <c r="V148">
        <f>HYPERLINK("https://klasma.github.io/Logging_2281/klagomål/A 58186-2022 FSC-klagomål.docx", "A 58186-2022")</f>
        <v/>
      </c>
      <c r="W148">
        <f>HYPERLINK("https://klasma.github.io/Logging_2281/klagomålsmail/A 58186-2022 FSC-klagomål mail.docx", "A 58186-2022")</f>
        <v/>
      </c>
      <c r="X148">
        <f>HYPERLINK("https://klasma.github.io/Logging_2281/tillsyn/A 58186-2022 tillsynsbegäran.docx", "A 58186-2022")</f>
        <v/>
      </c>
      <c r="Y148">
        <f>HYPERLINK("https://klasma.github.io/Logging_2281/tillsynsmail/A 58186-2022 tillsynsbegäran mail.docx", "A 58186-2022")</f>
        <v/>
      </c>
    </row>
    <row r="149" ht="15" customHeight="1">
      <c r="A149" t="inlineStr">
        <is>
          <t>A 311-2023</t>
        </is>
      </c>
      <c r="B149" s="1" t="n">
        <v>44929</v>
      </c>
      <c r="C149" s="1" t="n">
        <v>45691</v>
      </c>
      <c r="D149" t="inlineStr">
        <is>
          <t>VÄSTERNORRLANDS LÄN</t>
        </is>
      </c>
      <c r="E149" t="inlineStr">
        <is>
          <t>SUNDSVALL</t>
        </is>
      </c>
      <c r="G149" t="n">
        <v>16.5</v>
      </c>
      <c r="H149" t="n">
        <v>1</v>
      </c>
      <c r="I149" t="n">
        <v>0</v>
      </c>
      <c r="J149" t="n">
        <v>0</v>
      </c>
      <c r="K149" t="n">
        <v>0</v>
      </c>
      <c r="L149" t="n">
        <v>0</v>
      </c>
      <c r="M149" t="n">
        <v>0</v>
      </c>
      <c r="N149" t="n">
        <v>0</v>
      </c>
      <c r="O149" t="n">
        <v>0</v>
      </c>
      <c r="P149" t="n">
        <v>0</v>
      </c>
      <c r="Q149" t="n">
        <v>1</v>
      </c>
      <c r="R149" s="2" t="inlineStr">
        <is>
          <t>Tjäder</t>
        </is>
      </c>
      <c r="S149">
        <f>HYPERLINK("https://klasma.github.io/Logging_2281/artfynd/A 311-2023 artfynd.xlsx", "A 311-2023")</f>
        <v/>
      </c>
      <c r="T149">
        <f>HYPERLINK("https://klasma.github.io/Logging_2281/kartor/A 311-2023 karta.png", "A 311-2023")</f>
        <v/>
      </c>
      <c r="V149">
        <f>HYPERLINK("https://klasma.github.io/Logging_2281/klagomål/A 311-2023 FSC-klagomål.docx", "A 311-2023")</f>
        <v/>
      </c>
      <c r="W149">
        <f>HYPERLINK("https://klasma.github.io/Logging_2281/klagomålsmail/A 311-2023 FSC-klagomål mail.docx", "A 311-2023")</f>
        <v/>
      </c>
      <c r="X149">
        <f>HYPERLINK("https://klasma.github.io/Logging_2281/tillsyn/A 311-2023 tillsynsbegäran.docx", "A 311-2023")</f>
        <v/>
      </c>
      <c r="Y149">
        <f>HYPERLINK("https://klasma.github.io/Logging_2281/tillsynsmail/A 311-2023 tillsynsbegäran mail.docx", "A 311-2023")</f>
        <v/>
      </c>
      <c r="Z149">
        <f>HYPERLINK("https://klasma.github.io/Logging_2281/fåglar/A 311-2023 prioriterade fågelarter.docx", "A 311-2023")</f>
        <v/>
      </c>
    </row>
    <row r="150" ht="15" customHeight="1">
      <c r="A150" t="inlineStr">
        <is>
          <t>A 1220-2023</t>
        </is>
      </c>
      <c r="B150" s="1" t="n">
        <v>44935</v>
      </c>
      <c r="C150" s="1" t="n">
        <v>45691</v>
      </c>
      <c r="D150" t="inlineStr">
        <is>
          <t>VÄSTERNORRLANDS LÄN</t>
        </is>
      </c>
      <c r="E150" t="inlineStr">
        <is>
          <t>SUNDSVALL</t>
        </is>
      </c>
      <c r="G150" t="n">
        <v>2.7</v>
      </c>
      <c r="H150" t="n">
        <v>1</v>
      </c>
      <c r="I150" t="n">
        <v>0</v>
      </c>
      <c r="J150" t="n">
        <v>1</v>
      </c>
      <c r="K150" t="n">
        <v>0</v>
      </c>
      <c r="L150" t="n">
        <v>0</v>
      </c>
      <c r="M150" t="n">
        <v>0</v>
      </c>
      <c r="N150" t="n">
        <v>0</v>
      </c>
      <c r="O150" t="n">
        <v>1</v>
      </c>
      <c r="P150" t="n">
        <v>0</v>
      </c>
      <c r="Q150" t="n">
        <v>1</v>
      </c>
      <c r="R150" s="2" t="inlineStr">
        <is>
          <t>Spillkråka</t>
        </is>
      </c>
      <c r="S150">
        <f>HYPERLINK("https://klasma.github.io/Logging_2281/artfynd/A 1220-2023 artfynd.xlsx", "A 1220-2023")</f>
        <v/>
      </c>
      <c r="T150">
        <f>HYPERLINK("https://klasma.github.io/Logging_2281/kartor/A 1220-2023 karta.png", "A 1220-2023")</f>
        <v/>
      </c>
      <c r="V150">
        <f>HYPERLINK("https://klasma.github.io/Logging_2281/klagomål/A 1220-2023 FSC-klagomål.docx", "A 1220-2023")</f>
        <v/>
      </c>
      <c r="W150">
        <f>HYPERLINK("https://klasma.github.io/Logging_2281/klagomålsmail/A 1220-2023 FSC-klagomål mail.docx", "A 1220-2023")</f>
        <v/>
      </c>
      <c r="X150">
        <f>HYPERLINK("https://klasma.github.io/Logging_2281/tillsyn/A 1220-2023 tillsynsbegäran.docx", "A 1220-2023")</f>
        <v/>
      </c>
      <c r="Y150">
        <f>HYPERLINK("https://klasma.github.io/Logging_2281/tillsynsmail/A 1220-2023 tillsynsbegäran mail.docx", "A 1220-2023")</f>
        <v/>
      </c>
      <c r="Z150">
        <f>HYPERLINK("https://klasma.github.io/Logging_2281/fåglar/A 1220-2023 prioriterade fågelarter.docx", "A 1220-2023")</f>
        <v/>
      </c>
    </row>
    <row r="151" ht="15" customHeight="1">
      <c r="A151" t="inlineStr">
        <is>
          <t>A 7524-2023</t>
        </is>
      </c>
      <c r="B151" s="1" t="n">
        <v>44971</v>
      </c>
      <c r="C151" s="1" t="n">
        <v>45691</v>
      </c>
      <c r="D151" t="inlineStr">
        <is>
          <t>VÄSTERNORRLANDS LÄN</t>
        </is>
      </c>
      <c r="E151" t="inlineStr">
        <is>
          <t>SUNDSVALL</t>
        </is>
      </c>
      <c r="F151" t="inlineStr">
        <is>
          <t>Naturvårdsverket</t>
        </is>
      </c>
      <c r="G151" t="n">
        <v>5.2</v>
      </c>
      <c r="H151" t="n">
        <v>0</v>
      </c>
      <c r="I151" t="n">
        <v>0</v>
      </c>
      <c r="J151" t="n">
        <v>0</v>
      </c>
      <c r="K151" t="n">
        <v>1</v>
      </c>
      <c r="L151" t="n">
        <v>0</v>
      </c>
      <c r="M151" t="n">
        <v>0</v>
      </c>
      <c r="N151" t="n">
        <v>0</v>
      </c>
      <c r="O151" t="n">
        <v>1</v>
      </c>
      <c r="P151" t="n">
        <v>1</v>
      </c>
      <c r="Q151" t="n">
        <v>1</v>
      </c>
      <c r="R151" s="2" t="inlineStr">
        <is>
          <t>Rynkskinn</t>
        </is>
      </c>
      <c r="S151">
        <f>HYPERLINK("https://klasma.github.io/Logging_2281/artfynd/A 7524-2023 artfynd.xlsx", "A 7524-2023")</f>
        <v/>
      </c>
      <c r="T151">
        <f>HYPERLINK("https://klasma.github.io/Logging_2281/kartor/A 7524-2023 karta.png", "A 7524-2023")</f>
        <v/>
      </c>
      <c r="V151">
        <f>HYPERLINK("https://klasma.github.io/Logging_2281/klagomål/A 7524-2023 FSC-klagomål.docx", "A 7524-2023")</f>
        <v/>
      </c>
      <c r="W151">
        <f>HYPERLINK("https://klasma.github.io/Logging_2281/klagomålsmail/A 7524-2023 FSC-klagomål mail.docx", "A 7524-2023")</f>
        <v/>
      </c>
      <c r="X151">
        <f>HYPERLINK("https://klasma.github.io/Logging_2281/tillsyn/A 7524-2023 tillsynsbegäran.docx", "A 7524-2023")</f>
        <v/>
      </c>
      <c r="Y151">
        <f>HYPERLINK("https://klasma.github.io/Logging_2281/tillsynsmail/A 7524-2023 tillsynsbegäran mail.docx", "A 7524-2023")</f>
        <v/>
      </c>
    </row>
    <row r="152" ht="15" customHeight="1">
      <c r="A152" t="inlineStr">
        <is>
          <t>A 8032-2023</t>
        </is>
      </c>
      <c r="B152" s="1" t="n">
        <v>44973</v>
      </c>
      <c r="C152" s="1" t="n">
        <v>45691</v>
      </c>
      <c r="D152" t="inlineStr">
        <is>
          <t>VÄSTERNORRLANDS LÄN</t>
        </is>
      </c>
      <c r="E152" t="inlineStr">
        <is>
          <t>SUNDSVALL</t>
        </is>
      </c>
      <c r="F152" t="inlineStr">
        <is>
          <t>SCA</t>
        </is>
      </c>
      <c r="G152" t="n">
        <v>8.6</v>
      </c>
      <c r="H152" t="n">
        <v>1</v>
      </c>
      <c r="I152" t="n">
        <v>0</v>
      </c>
      <c r="J152" t="n">
        <v>0</v>
      </c>
      <c r="K152" t="n">
        <v>0</v>
      </c>
      <c r="L152" t="n">
        <v>0</v>
      </c>
      <c r="M152" t="n">
        <v>0</v>
      </c>
      <c r="N152" t="n">
        <v>0</v>
      </c>
      <c r="O152" t="n">
        <v>0</v>
      </c>
      <c r="P152" t="n">
        <v>0</v>
      </c>
      <c r="Q152" t="n">
        <v>1</v>
      </c>
      <c r="R152" s="2" t="inlineStr">
        <is>
          <t>Vanlig padda</t>
        </is>
      </c>
      <c r="S152">
        <f>HYPERLINK("https://klasma.github.io/Logging_2281/artfynd/A 8032-2023 artfynd.xlsx", "A 8032-2023")</f>
        <v/>
      </c>
      <c r="T152">
        <f>HYPERLINK("https://klasma.github.io/Logging_2281/kartor/A 8032-2023 karta.png", "A 8032-2023")</f>
        <v/>
      </c>
      <c r="V152">
        <f>HYPERLINK("https://klasma.github.io/Logging_2281/klagomål/A 8032-2023 FSC-klagomål.docx", "A 8032-2023")</f>
        <v/>
      </c>
      <c r="W152">
        <f>HYPERLINK("https://klasma.github.io/Logging_2281/klagomålsmail/A 8032-2023 FSC-klagomål mail.docx", "A 8032-2023")</f>
        <v/>
      </c>
      <c r="X152">
        <f>HYPERLINK("https://klasma.github.io/Logging_2281/tillsyn/A 8032-2023 tillsynsbegäran.docx", "A 8032-2023")</f>
        <v/>
      </c>
      <c r="Y152">
        <f>HYPERLINK("https://klasma.github.io/Logging_2281/tillsynsmail/A 8032-2023 tillsynsbegäran mail.docx", "A 8032-2023")</f>
        <v/>
      </c>
    </row>
    <row r="153" ht="15" customHeight="1">
      <c r="A153" t="inlineStr">
        <is>
          <t>A 10774-2023</t>
        </is>
      </c>
      <c r="B153" s="1" t="n">
        <v>44988</v>
      </c>
      <c r="C153" s="1" t="n">
        <v>45691</v>
      </c>
      <c r="D153" t="inlineStr">
        <is>
          <t>VÄSTERNORRLANDS LÄN</t>
        </is>
      </c>
      <c r="E153" t="inlineStr">
        <is>
          <t>SUNDSVALL</t>
        </is>
      </c>
      <c r="F153" t="inlineStr">
        <is>
          <t>SCA</t>
        </is>
      </c>
      <c r="G153" t="n">
        <v>2</v>
      </c>
      <c r="H153" t="n">
        <v>1</v>
      </c>
      <c r="I153" t="n">
        <v>0</v>
      </c>
      <c r="J153" t="n">
        <v>1</v>
      </c>
      <c r="K153" t="n">
        <v>0</v>
      </c>
      <c r="L153" t="n">
        <v>0</v>
      </c>
      <c r="M153" t="n">
        <v>0</v>
      </c>
      <c r="N153" t="n">
        <v>0</v>
      </c>
      <c r="O153" t="n">
        <v>1</v>
      </c>
      <c r="P153" t="n">
        <v>0</v>
      </c>
      <c r="Q153" t="n">
        <v>1</v>
      </c>
      <c r="R153" s="2" t="inlineStr">
        <is>
          <t>Järpe</t>
        </is>
      </c>
      <c r="S153">
        <f>HYPERLINK("https://klasma.github.io/Logging_2281/artfynd/A 10774-2023 artfynd.xlsx", "A 10774-2023")</f>
        <v/>
      </c>
      <c r="T153">
        <f>HYPERLINK("https://klasma.github.io/Logging_2281/kartor/A 10774-2023 karta.png", "A 10774-2023")</f>
        <v/>
      </c>
      <c r="V153">
        <f>HYPERLINK("https://klasma.github.io/Logging_2281/klagomål/A 10774-2023 FSC-klagomål.docx", "A 10774-2023")</f>
        <v/>
      </c>
      <c r="W153">
        <f>HYPERLINK("https://klasma.github.io/Logging_2281/klagomålsmail/A 10774-2023 FSC-klagomål mail.docx", "A 10774-2023")</f>
        <v/>
      </c>
      <c r="X153">
        <f>HYPERLINK("https://klasma.github.io/Logging_2281/tillsyn/A 10774-2023 tillsynsbegäran.docx", "A 10774-2023")</f>
        <v/>
      </c>
      <c r="Y153">
        <f>HYPERLINK("https://klasma.github.io/Logging_2281/tillsynsmail/A 10774-2023 tillsynsbegäran mail.docx", "A 10774-2023")</f>
        <v/>
      </c>
      <c r="Z153">
        <f>HYPERLINK("https://klasma.github.io/Logging_2281/fåglar/A 10774-2023 prioriterade fågelarter.docx", "A 10774-2023")</f>
        <v/>
      </c>
    </row>
    <row r="154" ht="15" customHeight="1">
      <c r="A154" t="inlineStr">
        <is>
          <t>A 12049-2023</t>
        </is>
      </c>
      <c r="B154" s="1" t="n">
        <v>44996</v>
      </c>
      <c r="C154" s="1" t="n">
        <v>45691</v>
      </c>
      <c r="D154" t="inlineStr">
        <is>
          <t>VÄSTERNORRLANDS LÄN</t>
        </is>
      </c>
      <c r="E154" t="inlineStr">
        <is>
          <t>SUNDSVALL</t>
        </is>
      </c>
      <c r="F154" t="inlineStr">
        <is>
          <t>SCA</t>
        </is>
      </c>
      <c r="G154" t="n">
        <v>13</v>
      </c>
      <c r="H154" t="n">
        <v>1</v>
      </c>
      <c r="I154" t="n">
        <v>0</v>
      </c>
      <c r="J154" t="n">
        <v>0</v>
      </c>
      <c r="K154" t="n">
        <v>1</v>
      </c>
      <c r="L154" t="n">
        <v>0</v>
      </c>
      <c r="M154" t="n">
        <v>0</v>
      </c>
      <c r="N154" t="n">
        <v>0</v>
      </c>
      <c r="O154" t="n">
        <v>1</v>
      </c>
      <c r="P154" t="n">
        <v>1</v>
      </c>
      <c r="Q154" t="n">
        <v>1</v>
      </c>
      <c r="R154" s="2" t="inlineStr">
        <is>
          <t>Lappuggla</t>
        </is>
      </c>
      <c r="S154">
        <f>HYPERLINK("https://klasma.github.io/Logging_2281/artfynd/A 12049-2023 artfynd.xlsx", "A 12049-2023")</f>
        <v/>
      </c>
      <c r="T154">
        <f>HYPERLINK("https://klasma.github.io/Logging_2281/kartor/A 12049-2023 karta.png", "A 12049-2023")</f>
        <v/>
      </c>
      <c r="V154">
        <f>HYPERLINK("https://klasma.github.io/Logging_2281/klagomål/A 12049-2023 FSC-klagomål.docx", "A 12049-2023")</f>
        <v/>
      </c>
      <c r="W154">
        <f>HYPERLINK("https://klasma.github.io/Logging_2281/klagomålsmail/A 12049-2023 FSC-klagomål mail.docx", "A 12049-2023")</f>
        <v/>
      </c>
      <c r="X154">
        <f>HYPERLINK("https://klasma.github.io/Logging_2281/tillsyn/A 12049-2023 tillsynsbegäran.docx", "A 12049-2023")</f>
        <v/>
      </c>
      <c r="Y154">
        <f>HYPERLINK("https://klasma.github.io/Logging_2281/tillsynsmail/A 12049-2023 tillsynsbegäran mail.docx", "A 12049-2023")</f>
        <v/>
      </c>
      <c r="Z154">
        <f>HYPERLINK("https://klasma.github.io/Logging_2281/fåglar/A 12049-2023 prioriterade fågelarter.docx", "A 12049-2023")</f>
        <v/>
      </c>
    </row>
    <row r="155" ht="15" customHeight="1">
      <c r="A155" t="inlineStr">
        <is>
          <t>A 12058-2023</t>
        </is>
      </c>
      <c r="B155" s="1" t="n">
        <v>44995</v>
      </c>
      <c r="C155" s="1" t="n">
        <v>45691</v>
      </c>
      <c r="D155" t="inlineStr">
        <is>
          <t>VÄSTERNORRLANDS LÄN</t>
        </is>
      </c>
      <c r="E155" t="inlineStr">
        <is>
          <t>SUNDSVALL</t>
        </is>
      </c>
      <c r="F155" t="inlineStr">
        <is>
          <t>SCA</t>
        </is>
      </c>
      <c r="G155" t="n">
        <v>4</v>
      </c>
      <c r="H155" t="n">
        <v>1</v>
      </c>
      <c r="I155" t="n">
        <v>0</v>
      </c>
      <c r="J155" t="n">
        <v>1</v>
      </c>
      <c r="K155" t="n">
        <v>0</v>
      </c>
      <c r="L155" t="n">
        <v>0</v>
      </c>
      <c r="M155" t="n">
        <v>0</v>
      </c>
      <c r="N155" t="n">
        <v>0</v>
      </c>
      <c r="O155" t="n">
        <v>1</v>
      </c>
      <c r="P155" t="n">
        <v>0</v>
      </c>
      <c r="Q155" t="n">
        <v>1</v>
      </c>
      <c r="R155" s="2" t="inlineStr">
        <is>
          <t>Fiskmås</t>
        </is>
      </c>
      <c r="S155">
        <f>HYPERLINK("https://klasma.github.io/Logging_2281/artfynd/A 12058-2023 artfynd.xlsx", "A 12058-2023")</f>
        <v/>
      </c>
      <c r="T155">
        <f>HYPERLINK("https://klasma.github.io/Logging_2281/kartor/A 12058-2023 karta.png", "A 12058-2023")</f>
        <v/>
      </c>
      <c r="V155">
        <f>HYPERLINK("https://klasma.github.io/Logging_2281/klagomål/A 12058-2023 FSC-klagomål.docx", "A 12058-2023")</f>
        <v/>
      </c>
      <c r="W155">
        <f>HYPERLINK("https://klasma.github.io/Logging_2281/klagomålsmail/A 12058-2023 FSC-klagomål mail.docx", "A 12058-2023")</f>
        <v/>
      </c>
      <c r="X155">
        <f>HYPERLINK("https://klasma.github.io/Logging_2281/tillsyn/A 12058-2023 tillsynsbegäran.docx", "A 12058-2023")</f>
        <v/>
      </c>
      <c r="Y155">
        <f>HYPERLINK("https://klasma.github.io/Logging_2281/tillsynsmail/A 12058-2023 tillsynsbegäran mail.docx", "A 12058-2023")</f>
        <v/>
      </c>
    </row>
    <row r="156" ht="15" customHeight="1">
      <c r="A156" t="inlineStr">
        <is>
          <t>A 14665-2023</t>
        </is>
      </c>
      <c r="B156" s="1" t="n">
        <v>45014</v>
      </c>
      <c r="C156" s="1" t="n">
        <v>45691</v>
      </c>
      <c r="D156" t="inlineStr">
        <is>
          <t>VÄSTERNORRLANDS LÄN</t>
        </is>
      </c>
      <c r="E156" t="inlineStr">
        <is>
          <t>SUNDSVALL</t>
        </is>
      </c>
      <c r="G156" t="n">
        <v>1.8</v>
      </c>
      <c r="H156" t="n">
        <v>1</v>
      </c>
      <c r="I156" t="n">
        <v>0</v>
      </c>
      <c r="J156" t="n">
        <v>0</v>
      </c>
      <c r="K156" t="n">
        <v>0</v>
      </c>
      <c r="L156" t="n">
        <v>0</v>
      </c>
      <c r="M156" t="n">
        <v>0</v>
      </c>
      <c r="N156" t="n">
        <v>0</v>
      </c>
      <c r="O156" t="n">
        <v>0</v>
      </c>
      <c r="P156" t="n">
        <v>0</v>
      </c>
      <c r="Q156" t="n">
        <v>1</v>
      </c>
      <c r="R156" s="2" t="inlineStr">
        <is>
          <t>Trana</t>
        </is>
      </c>
      <c r="S156">
        <f>HYPERLINK("https://klasma.github.io/Logging_2281/artfynd/A 14665-2023 artfynd.xlsx", "A 14665-2023")</f>
        <v/>
      </c>
      <c r="T156">
        <f>HYPERLINK("https://klasma.github.io/Logging_2281/kartor/A 14665-2023 karta.png", "A 14665-2023")</f>
        <v/>
      </c>
      <c r="V156">
        <f>HYPERLINK("https://klasma.github.io/Logging_2281/klagomål/A 14665-2023 FSC-klagomål.docx", "A 14665-2023")</f>
        <v/>
      </c>
      <c r="W156">
        <f>HYPERLINK("https://klasma.github.io/Logging_2281/klagomålsmail/A 14665-2023 FSC-klagomål mail.docx", "A 14665-2023")</f>
        <v/>
      </c>
      <c r="X156">
        <f>HYPERLINK("https://klasma.github.io/Logging_2281/tillsyn/A 14665-2023 tillsynsbegäran.docx", "A 14665-2023")</f>
        <v/>
      </c>
      <c r="Y156">
        <f>HYPERLINK("https://klasma.github.io/Logging_2281/tillsynsmail/A 14665-2023 tillsynsbegäran mail.docx", "A 14665-2023")</f>
        <v/>
      </c>
      <c r="Z156">
        <f>HYPERLINK("https://klasma.github.io/Logging_2281/fåglar/A 14665-2023 prioriterade fågelarter.docx", "A 14665-2023")</f>
        <v/>
      </c>
    </row>
    <row r="157" ht="15" customHeight="1">
      <c r="A157" t="inlineStr">
        <is>
          <t>A 15346-2023</t>
        </is>
      </c>
      <c r="B157" s="1" t="n">
        <v>45016</v>
      </c>
      <c r="C157" s="1" t="n">
        <v>45691</v>
      </c>
      <c r="D157" t="inlineStr">
        <is>
          <t>VÄSTERNORRLANDS LÄN</t>
        </is>
      </c>
      <c r="E157" t="inlineStr">
        <is>
          <t>SUNDSVALL</t>
        </is>
      </c>
      <c r="G157" t="n">
        <v>3.8</v>
      </c>
      <c r="H157" t="n">
        <v>1</v>
      </c>
      <c r="I157" t="n">
        <v>0</v>
      </c>
      <c r="J157" t="n">
        <v>1</v>
      </c>
      <c r="K157" t="n">
        <v>0</v>
      </c>
      <c r="L157" t="n">
        <v>0</v>
      </c>
      <c r="M157" t="n">
        <v>0</v>
      </c>
      <c r="N157" t="n">
        <v>0</v>
      </c>
      <c r="O157" t="n">
        <v>1</v>
      </c>
      <c r="P157" t="n">
        <v>0</v>
      </c>
      <c r="Q157" t="n">
        <v>1</v>
      </c>
      <c r="R157" s="2" t="inlineStr">
        <is>
          <t>Tretåig hackspett</t>
        </is>
      </c>
      <c r="S157">
        <f>HYPERLINK("https://klasma.github.io/Logging_2281/artfynd/A 15346-2023 artfynd.xlsx", "A 15346-2023")</f>
        <v/>
      </c>
      <c r="T157">
        <f>HYPERLINK("https://klasma.github.io/Logging_2281/kartor/A 15346-2023 karta.png", "A 15346-2023")</f>
        <v/>
      </c>
      <c r="V157">
        <f>HYPERLINK("https://klasma.github.io/Logging_2281/klagomål/A 15346-2023 FSC-klagomål.docx", "A 15346-2023")</f>
        <v/>
      </c>
      <c r="W157">
        <f>HYPERLINK("https://klasma.github.io/Logging_2281/klagomålsmail/A 15346-2023 FSC-klagomål mail.docx", "A 15346-2023")</f>
        <v/>
      </c>
      <c r="X157">
        <f>HYPERLINK("https://klasma.github.io/Logging_2281/tillsyn/A 15346-2023 tillsynsbegäran.docx", "A 15346-2023")</f>
        <v/>
      </c>
      <c r="Y157">
        <f>HYPERLINK("https://klasma.github.io/Logging_2281/tillsynsmail/A 15346-2023 tillsynsbegäran mail.docx", "A 15346-2023")</f>
        <v/>
      </c>
      <c r="Z157">
        <f>HYPERLINK("https://klasma.github.io/Logging_2281/fåglar/A 15346-2023 prioriterade fågelarter.docx", "A 15346-2023")</f>
        <v/>
      </c>
    </row>
    <row r="158" ht="15" customHeight="1">
      <c r="A158" t="inlineStr">
        <is>
          <t>A 17772-2023</t>
        </is>
      </c>
      <c r="B158" s="1" t="n">
        <v>45036</v>
      </c>
      <c r="C158" s="1" t="n">
        <v>45691</v>
      </c>
      <c r="D158" t="inlineStr">
        <is>
          <t>VÄSTERNORRLANDS LÄN</t>
        </is>
      </c>
      <c r="E158" t="inlineStr">
        <is>
          <t>SUNDSVALL</t>
        </is>
      </c>
      <c r="G158" t="n">
        <v>4.2</v>
      </c>
      <c r="H158" t="n">
        <v>0</v>
      </c>
      <c r="I158" t="n">
        <v>0</v>
      </c>
      <c r="J158" t="n">
        <v>1</v>
      </c>
      <c r="K158" t="n">
        <v>0</v>
      </c>
      <c r="L158" t="n">
        <v>0</v>
      </c>
      <c r="M158" t="n">
        <v>0</v>
      </c>
      <c r="N158" t="n">
        <v>0</v>
      </c>
      <c r="O158" t="n">
        <v>1</v>
      </c>
      <c r="P158" t="n">
        <v>0</v>
      </c>
      <c r="Q158" t="n">
        <v>1</v>
      </c>
      <c r="R158" s="2" t="inlineStr">
        <is>
          <t>Garnlav</t>
        </is>
      </c>
      <c r="S158">
        <f>HYPERLINK("https://klasma.github.io/Logging_2281/artfynd/A 17772-2023 artfynd.xlsx", "A 17772-2023")</f>
        <v/>
      </c>
      <c r="T158">
        <f>HYPERLINK("https://klasma.github.io/Logging_2281/kartor/A 17772-2023 karta.png", "A 17772-2023")</f>
        <v/>
      </c>
      <c r="V158">
        <f>HYPERLINK("https://klasma.github.io/Logging_2281/klagomål/A 17772-2023 FSC-klagomål.docx", "A 17772-2023")</f>
        <v/>
      </c>
      <c r="W158">
        <f>HYPERLINK("https://klasma.github.io/Logging_2281/klagomålsmail/A 17772-2023 FSC-klagomål mail.docx", "A 17772-2023")</f>
        <v/>
      </c>
      <c r="X158">
        <f>HYPERLINK("https://klasma.github.io/Logging_2281/tillsyn/A 17772-2023 tillsynsbegäran.docx", "A 17772-2023")</f>
        <v/>
      </c>
      <c r="Y158">
        <f>HYPERLINK("https://klasma.github.io/Logging_2281/tillsynsmail/A 17772-2023 tillsynsbegäran mail.docx", "A 17772-2023")</f>
        <v/>
      </c>
    </row>
    <row r="159" ht="15" customHeight="1">
      <c r="A159" t="inlineStr">
        <is>
          <t>A 19441-2023</t>
        </is>
      </c>
      <c r="B159" s="1" t="n">
        <v>45049</v>
      </c>
      <c r="C159" s="1" t="n">
        <v>45691</v>
      </c>
      <c r="D159" t="inlineStr">
        <is>
          <t>VÄSTERNORRLANDS LÄN</t>
        </is>
      </c>
      <c r="E159" t="inlineStr">
        <is>
          <t>SUNDSVALL</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HYPERLINK("https://klasma.github.io/Logging_2281/artfynd/A 19441-2023 artfynd.xlsx", "A 19441-2023")</f>
        <v/>
      </c>
      <c r="T159">
        <f>HYPERLINK("https://klasma.github.io/Logging_2281/kartor/A 19441-2023 karta.png", "A 19441-2023")</f>
        <v/>
      </c>
      <c r="V159">
        <f>HYPERLINK("https://klasma.github.io/Logging_2281/klagomål/A 19441-2023 FSC-klagomål.docx", "A 19441-2023")</f>
        <v/>
      </c>
      <c r="W159">
        <f>HYPERLINK("https://klasma.github.io/Logging_2281/klagomålsmail/A 19441-2023 FSC-klagomål mail.docx", "A 19441-2023")</f>
        <v/>
      </c>
      <c r="X159">
        <f>HYPERLINK("https://klasma.github.io/Logging_2281/tillsyn/A 19441-2023 tillsynsbegäran.docx", "A 19441-2023")</f>
        <v/>
      </c>
      <c r="Y159">
        <f>HYPERLINK("https://klasma.github.io/Logging_2281/tillsynsmail/A 19441-2023 tillsynsbegäran mail.docx", "A 19441-2023")</f>
        <v/>
      </c>
    </row>
    <row r="160" ht="15" customHeight="1">
      <c r="A160" t="inlineStr">
        <is>
          <t>A 22227-2023</t>
        </is>
      </c>
      <c r="B160" s="1" t="n">
        <v>45069</v>
      </c>
      <c r="C160" s="1" t="n">
        <v>45691</v>
      </c>
      <c r="D160" t="inlineStr">
        <is>
          <t>VÄSTERNORRLANDS LÄN</t>
        </is>
      </c>
      <c r="E160" t="inlineStr">
        <is>
          <t>SUNDSVALL</t>
        </is>
      </c>
      <c r="F160" t="inlineStr">
        <is>
          <t>Naturvårdsverket</t>
        </is>
      </c>
      <c r="G160" t="n">
        <v>6.7</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22227-2023 artfynd.xlsx", "A 22227-2023")</f>
        <v/>
      </c>
      <c r="T160">
        <f>HYPERLINK("https://klasma.github.io/Logging_2281/kartor/A 22227-2023 karta.png", "A 22227-2023")</f>
        <v/>
      </c>
      <c r="V160">
        <f>HYPERLINK("https://klasma.github.io/Logging_2281/klagomål/A 22227-2023 FSC-klagomål.docx", "A 22227-2023")</f>
        <v/>
      </c>
      <c r="W160">
        <f>HYPERLINK("https://klasma.github.io/Logging_2281/klagomålsmail/A 22227-2023 FSC-klagomål mail.docx", "A 22227-2023")</f>
        <v/>
      </c>
      <c r="X160">
        <f>HYPERLINK("https://klasma.github.io/Logging_2281/tillsyn/A 22227-2023 tillsynsbegäran.docx", "A 22227-2023")</f>
        <v/>
      </c>
      <c r="Y160">
        <f>HYPERLINK("https://klasma.github.io/Logging_2281/tillsynsmail/A 22227-2023 tillsynsbegäran mail.docx", "A 22227-2023")</f>
        <v/>
      </c>
      <c r="Z160">
        <f>HYPERLINK("https://klasma.github.io/Logging_2281/fåglar/A 22227-2023 prioriterade fågelarter.docx", "A 22227-2023")</f>
        <v/>
      </c>
    </row>
    <row r="161" ht="15" customHeight="1">
      <c r="A161" t="inlineStr">
        <is>
          <t>A 28008-2023</t>
        </is>
      </c>
      <c r="B161" s="1" t="n">
        <v>45098</v>
      </c>
      <c r="C161" s="1" t="n">
        <v>45691</v>
      </c>
      <c r="D161" t="inlineStr">
        <is>
          <t>VÄSTERNORRLANDS LÄN</t>
        </is>
      </c>
      <c r="E161" t="inlineStr">
        <is>
          <t>SUNDSVALL</t>
        </is>
      </c>
      <c r="F161" t="inlineStr">
        <is>
          <t>SCA</t>
        </is>
      </c>
      <c r="G161" t="n">
        <v>6.4</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28008-2023 artfynd.xlsx", "A 28008-2023")</f>
        <v/>
      </c>
      <c r="T161">
        <f>HYPERLINK("https://klasma.github.io/Logging_2281/kartor/A 28008-2023 karta.png", "A 28008-2023")</f>
        <v/>
      </c>
      <c r="V161">
        <f>HYPERLINK("https://klasma.github.io/Logging_2281/klagomål/A 28008-2023 FSC-klagomål.docx", "A 28008-2023")</f>
        <v/>
      </c>
      <c r="W161">
        <f>HYPERLINK("https://klasma.github.io/Logging_2281/klagomålsmail/A 28008-2023 FSC-klagomål mail.docx", "A 28008-2023")</f>
        <v/>
      </c>
      <c r="X161">
        <f>HYPERLINK("https://klasma.github.io/Logging_2281/tillsyn/A 28008-2023 tillsynsbegäran.docx", "A 28008-2023")</f>
        <v/>
      </c>
      <c r="Y161">
        <f>HYPERLINK("https://klasma.github.io/Logging_2281/tillsynsmail/A 28008-2023 tillsynsbegäran mail.docx", "A 28008-2023")</f>
        <v/>
      </c>
      <c r="Z161">
        <f>HYPERLINK("https://klasma.github.io/Logging_2281/fåglar/A 28008-2023 prioriterade fågelarter.docx", "A 28008-2023")</f>
        <v/>
      </c>
    </row>
    <row r="162" ht="15" customHeight="1">
      <c r="A162" t="inlineStr">
        <is>
          <t>A 32077-2023</t>
        </is>
      </c>
      <c r="B162" s="1" t="n">
        <v>45107</v>
      </c>
      <c r="C162" s="1" t="n">
        <v>45691</v>
      </c>
      <c r="D162" t="inlineStr">
        <is>
          <t>VÄSTERNORRLANDS LÄN</t>
        </is>
      </c>
      <c r="E162" t="inlineStr">
        <is>
          <t>SUNDSVALL</t>
        </is>
      </c>
      <c r="G162" t="n">
        <v>5.3</v>
      </c>
      <c r="H162" t="n">
        <v>0</v>
      </c>
      <c r="I162" t="n">
        <v>0</v>
      </c>
      <c r="J162" t="n">
        <v>1</v>
      </c>
      <c r="K162" t="n">
        <v>0</v>
      </c>
      <c r="L162" t="n">
        <v>0</v>
      </c>
      <c r="M162" t="n">
        <v>0</v>
      </c>
      <c r="N162" t="n">
        <v>0</v>
      </c>
      <c r="O162" t="n">
        <v>1</v>
      </c>
      <c r="P162" t="n">
        <v>0</v>
      </c>
      <c r="Q162" t="n">
        <v>1</v>
      </c>
      <c r="R162" s="2" t="inlineStr">
        <is>
          <t>Garnlav</t>
        </is>
      </c>
      <c r="S162">
        <f>HYPERLINK("https://klasma.github.io/Logging_2281/artfynd/A 32077-2023 artfynd.xlsx", "A 32077-2023")</f>
        <v/>
      </c>
      <c r="T162">
        <f>HYPERLINK("https://klasma.github.io/Logging_2281/kartor/A 32077-2023 karta.png", "A 32077-2023")</f>
        <v/>
      </c>
      <c r="V162">
        <f>HYPERLINK("https://klasma.github.io/Logging_2281/klagomål/A 32077-2023 FSC-klagomål.docx", "A 32077-2023")</f>
        <v/>
      </c>
      <c r="W162">
        <f>HYPERLINK("https://klasma.github.io/Logging_2281/klagomålsmail/A 32077-2023 FSC-klagomål mail.docx", "A 32077-2023")</f>
        <v/>
      </c>
      <c r="X162">
        <f>HYPERLINK("https://klasma.github.io/Logging_2281/tillsyn/A 32077-2023 tillsynsbegäran.docx", "A 32077-2023")</f>
        <v/>
      </c>
      <c r="Y162">
        <f>HYPERLINK("https://klasma.github.io/Logging_2281/tillsynsmail/A 32077-2023 tillsynsbegäran mail.docx", "A 32077-2023")</f>
        <v/>
      </c>
    </row>
    <row r="163" ht="15" customHeight="1">
      <c r="A163" t="inlineStr">
        <is>
          <t>A 30837-2023</t>
        </is>
      </c>
      <c r="B163" s="1" t="n">
        <v>45112</v>
      </c>
      <c r="C163" s="1" t="n">
        <v>45691</v>
      </c>
      <c r="D163" t="inlineStr">
        <is>
          <t>VÄSTERNORRLANDS LÄN</t>
        </is>
      </c>
      <c r="E163" t="inlineStr">
        <is>
          <t>SUNDSVALL</t>
        </is>
      </c>
      <c r="F163" t="inlineStr">
        <is>
          <t>SCA</t>
        </is>
      </c>
      <c r="G163" t="n">
        <v>5.6</v>
      </c>
      <c r="H163" t="n">
        <v>0</v>
      </c>
      <c r="I163" t="n">
        <v>0</v>
      </c>
      <c r="J163" t="n">
        <v>1</v>
      </c>
      <c r="K163" t="n">
        <v>0</v>
      </c>
      <c r="L163" t="n">
        <v>0</v>
      </c>
      <c r="M163" t="n">
        <v>0</v>
      </c>
      <c r="N163" t="n">
        <v>0</v>
      </c>
      <c r="O163" t="n">
        <v>1</v>
      </c>
      <c r="P163" t="n">
        <v>0</v>
      </c>
      <c r="Q163" t="n">
        <v>1</v>
      </c>
      <c r="R163" s="2" t="inlineStr">
        <is>
          <t>Garnlav</t>
        </is>
      </c>
      <c r="S163">
        <f>HYPERLINK("https://klasma.github.io/Logging_2281/artfynd/A 30837-2023 artfynd.xlsx", "A 30837-2023")</f>
        <v/>
      </c>
      <c r="T163">
        <f>HYPERLINK("https://klasma.github.io/Logging_2281/kartor/A 30837-2023 karta.png", "A 30837-2023")</f>
        <v/>
      </c>
      <c r="V163">
        <f>HYPERLINK("https://klasma.github.io/Logging_2281/klagomål/A 30837-2023 FSC-klagomål.docx", "A 30837-2023")</f>
        <v/>
      </c>
      <c r="W163">
        <f>HYPERLINK("https://klasma.github.io/Logging_2281/klagomålsmail/A 30837-2023 FSC-klagomål mail.docx", "A 30837-2023")</f>
        <v/>
      </c>
      <c r="X163">
        <f>HYPERLINK("https://klasma.github.io/Logging_2281/tillsyn/A 30837-2023 tillsynsbegäran.docx", "A 30837-2023")</f>
        <v/>
      </c>
      <c r="Y163">
        <f>HYPERLINK("https://klasma.github.io/Logging_2281/tillsynsmail/A 30837-2023 tillsynsbegäran mail.docx", "A 30837-2023")</f>
        <v/>
      </c>
    </row>
    <row r="164" ht="15" customHeight="1">
      <c r="A164" t="inlineStr">
        <is>
          <t>A 30827-2023</t>
        </is>
      </c>
      <c r="B164" s="1" t="n">
        <v>45112</v>
      </c>
      <c r="C164" s="1" t="n">
        <v>45691</v>
      </c>
      <c r="D164" t="inlineStr">
        <is>
          <t>VÄSTERNORRLANDS LÄN</t>
        </is>
      </c>
      <c r="E164" t="inlineStr">
        <is>
          <t>SUNDSVALL</t>
        </is>
      </c>
      <c r="F164" t="inlineStr">
        <is>
          <t>SCA</t>
        </is>
      </c>
      <c r="G164" t="n">
        <v>21.9</v>
      </c>
      <c r="H164" t="n">
        <v>0</v>
      </c>
      <c r="I164" t="n">
        <v>1</v>
      </c>
      <c r="J164" t="n">
        <v>0</v>
      </c>
      <c r="K164" t="n">
        <v>0</v>
      </c>
      <c r="L164" t="n">
        <v>0</v>
      </c>
      <c r="M164" t="n">
        <v>0</v>
      </c>
      <c r="N164" t="n">
        <v>0</v>
      </c>
      <c r="O164" t="n">
        <v>0</v>
      </c>
      <c r="P164" t="n">
        <v>0</v>
      </c>
      <c r="Q164" t="n">
        <v>1</v>
      </c>
      <c r="R164" s="2" t="inlineStr">
        <is>
          <t>Dropptaggsvamp</t>
        </is>
      </c>
      <c r="S164">
        <f>HYPERLINK("https://klasma.github.io/Logging_2281/artfynd/A 30827-2023 artfynd.xlsx", "A 30827-2023")</f>
        <v/>
      </c>
      <c r="T164">
        <f>HYPERLINK("https://klasma.github.io/Logging_2281/kartor/A 30827-2023 karta.png", "A 30827-2023")</f>
        <v/>
      </c>
      <c r="V164">
        <f>HYPERLINK("https://klasma.github.io/Logging_2281/klagomål/A 30827-2023 FSC-klagomål.docx", "A 30827-2023")</f>
        <v/>
      </c>
      <c r="W164">
        <f>HYPERLINK("https://klasma.github.io/Logging_2281/klagomålsmail/A 30827-2023 FSC-klagomål mail.docx", "A 30827-2023")</f>
        <v/>
      </c>
      <c r="X164">
        <f>HYPERLINK("https://klasma.github.io/Logging_2281/tillsyn/A 30827-2023 tillsynsbegäran.docx", "A 30827-2023")</f>
        <v/>
      </c>
      <c r="Y164">
        <f>HYPERLINK("https://klasma.github.io/Logging_2281/tillsynsmail/A 30827-2023 tillsynsbegäran mail.docx", "A 30827-2023")</f>
        <v/>
      </c>
    </row>
    <row r="165" ht="15" customHeight="1">
      <c r="A165" t="inlineStr">
        <is>
          <t>A 35751-2023</t>
        </is>
      </c>
      <c r="B165" s="1" t="n">
        <v>45147</v>
      </c>
      <c r="C165" s="1" t="n">
        <v>45691</v>
      </c>
      <c r="D165" t="inlineStr">
        <is>
          <t>VÄSTERNORRLANDS LÄN</t>
        </is>
      </c>
      <c r="E165" t="inlineStr">
        <is>
          <t>SUNDSVALL</t>
        </is>
      </c>
      <c r="F165" t="inlineStr">
        <is>
          <t>SCA</t>
        </is>
      </c>
      <c r="G165" t="n">
        <v>5</v>
      </c>
      <c r="H165" t="n">
        <v>1</v>
      </c>
      <c r="I165" t="n">
        <v>0</v>
      </c>
      <c r="J165" t="n">
        <v>1</v>
      </c>
      <c r="K165" t="n">
        <v>0</v>
      </c>
      <c r="L165" t="n">
        <v>0</v>
      </c>
      <c r="M165" t="n">
        <v>0</v>
      </c>
      <c r="N165" t="n">
        <v>0</v>
      </c>
      <c r="O165" t="n">
        <v>1</v>
      </c>
      <c r="P165" t="n">
        <v>0</v>
      </c>
      <c r="Q165" t="n">
        <v>1</v>
      </c>
      <c r="R165" s="2" t="inlineStr">
        <is>
          <t>Nordfladdermus</t>
        </is>
      </c>
      <c r="S165">
        <f>HYPERLINK("https://klasma.github.io/Logging_2281/artfynd/A 35751-2023 artfynd.xlsx", "A 35751-2023")</f>
        <v/>
      </c>
      <c r="T165">
        <f>HYPERLINK("https://klasma.github.io/Logging_2281/kartor/A 35751-2023 karta.png", "A 35751-2023")</f>
        <v/>
      </c>
      <c r="V165">
        <f>HYPERLINK("https://klasma.github.io/Logging_2281/klagomål/A 35751-2023 FSC-klagomål.docx", "A 35751-2023")</f>
        <v/>
      </c>
      <c r="W165">
        <f>HYPERLINK("https://klasma.github.io/Logging_2281/klagomålsmail/A 35751-2023 FSC-klagomål mail.docx", "A 35751-2023")</f>
        <v/>
      </c>
      <c r="X165">
        <f>HYPERLINK("https://klasma.github.io/Logging_2281/tillsyn/A 35751-2023 tillsynsbegäran.docx", "A 35751-2023")</f>
        <v/>
      </c>
      <c r="Y165">
        <f>HYPERLINK("https://klasma.github.io/Logging_2281/tillsynsmail/A 35751-2023 tillsynsbegäran mail.docx", "A 35751-2023")</f>
        <v/>
      </c>
    </row>
    <row r="166" ht="15" customHeight="1">
      <c r="A166" t="inlineStr">
        <is>
          <t>A 43424-2023</t>
        </is>
      </c>
      <c r="B166" s="1" t="n">
        <v>45183</v>
      </c>
      <c r="C166" s="1" t="n">
        <v>45691</v>
      </c>
      <c r="D166" t="inlineStr">
        <is>
          <t>VÄSTERNORRLANDS LÄN</t>
        </is>
      </c>
      <c r="E166" t="inlineStr">
        <is>
          <t>SUNDSVALL</t>
        </is>
      </c>
      <c r="F166" t="inlineStr">
        <is>
          <t>SCA</t>
        </is>
      </c>
      <c r="G166" t="n">
        <v>2.8</v>
      </c>
      <c r="H166" t="n">
        <v>0</v>
      </c>
      <c r="I166" t="n">
        <v>0</v>
      </c>
      <c r="J166" t="n">
        <v>1</v>
      </c>
      <c r="K166" t="n">
        <v>0</v>
      </c>
      <c r="L166" t="n">
        <v>0</v>
      </c>
      <c r="M166" t="n">
        <v>0</v>
      </c>
      <c r="N166" t="n">
        <v>0</v>
      </c>
      <c r="O166" t="n">
        <v>1</v>
      </c>
      <c r="P166" t="n">
        <v>0</v>
      </c>
      <c r="Q166" t="n">
        <v>1</v>
      </c>
      <c r="R166" s="2" t="inlineStr">
        <is>
          <t>Garnlav</t>
        </is>
      </c>
      <c r="S166">
        <f>HYPERLINK("https://klasma.github.io/Logging_2281/artfynd/A 43424-2023 artfynd.xlsx", "A 43424-2023")</f>
        <v/>
      </c>
      <c r="T166">
        <f>HYPERLINK("https://klasma.github.io/Logging_2281/kartor/A 43424-2023 karta.png", "A 43424-2023")</f>
        <v/>
      </c>
      <c r="V166">
        <f>HYPERLINK("https://klasma.github.io/Logging_2281/klagomål/A 43424-2023 FSC-klagomål.docx", "A 43424-2023")</f>
        <v/>
      </c>
      <c r="W166">
        <f>HYPERLINK("https://klasma.github.io/Logging_2281/klagomålsmail/A 43424-2023 FSC-klagomål mail.docx", "A 43424-2023")</f>
        <v/>
      </c>
      <c r="X166">
        <f>HYPERLINK("https://klasma.github.io/Logging_2281/tillsyn/A 43424-2023 tillsynsbegäran.docx", "A 43424-2023")</f>
        <v/>
      </c>
      <c r="Y166">
        <f>HYPERLINK("https://klasma.github.io/Logging_2281/tillsynsmail/A 43424-2023 tillsynsbegäran mail.docx", "A 43424-2023")</f>
        <v/>
      </c>
    </row>
    <row r="167" ht="15" customHeight="1">
      <c r="A167" t="inlineStr">
        <is>
          <t>A 44193-2023</t>
        </is>
      </c>
      <c r="B167" s="1" t="n">
        <v>45188</v>
      </c>
      <c r="C167" s="1" t="n">
        <v>45691</v>
      </c>
      <c r="D167" t="inlineStr">
        <is>
          <t>VÄSTERNORRLANDS LÄN</t>
        </is>
      </c>
      <c r="E167" t="inlineStr">
        <is>
          <t>SUNDSVALL</t>
        </is>
      </c>
      <c r="F167" t="inlineStr">
        <is>
          <t>Holmen skog AB</t>
        </is>
      </c>
      <c r="G167" t="n">
        <v>15.1</v>
      </c>
      <c r="H167" t="n">
        <v>1</v>
      </c>
      <c r="I167" t="n">
        <v>0</v>
      </c>
      <c r="J167" t="n">
        <v>0</v>
      </c>
      <c r="K167" t="n">
        <v>0</v>
      </c>
      <c r="L167" t="n">
        <v>0</v>
      </c>
      <c r="M167" t="n">
        <v>0</v>
      </c>
      <c r="N167" t="n">
        <v>0</v>
      </c>
      <c r="O167" t="n">
        <v>0</v>
      </c>
      <c r="P167" t="n">
        <v>0</v>
      </c>
      <c r="Q167" t="n">
        <v>1</v>
      </c>
      <c r="R167" s="2" t="inlineStr">
        <is>
          <t>Tjäder</t>
        </is>
      </c>
      <c r="S167">
        <f>HYPERLINK("https://klasma.github.io/Logging_2281/artfynd/A 44193-2023 artfynd.xlsx", "A 44193-2023")</f>
        <v/>
      </c>
      <c r="T167">
        <f>HYPERLINK("https://klasma.github.io/Logging_2281/kartor/A 44193-2023 karta.png", "A 44193-2023")</f>
        <v/>
      </c>
      <c r="V167">
        <f>HYPERLINK("https://klasma.github.io/Logging_2281/klagomål/A 44193-2023 FSC-klagomål.docx", "A 44193-2023")</f>
        <v/>
      </c>
      <c r="W167">
        <f>HYPERLINK("https://klasma.github.io/Logging_2281/klagomålsmail/A 44193-2023 FSC-klagomål mail.docx", "A 44193-2023")</f>
        <v/>
      </c>
      <c r="X167">
        <f>HYPERLINK("https://klasma.github.io/Logging_2281/tillsyn/A 44193-2023 tillsynsbegäran.docx", "A 44193-2023")</f>
        <v/>
      </c>
      <c r="Y167">
        <f>HYPERLINK("https://klasma.github.io/Logging_2281/tillsynsmail/A 44193-2023 tillsynsbegäran mail.docx", "A 44193-2023")</f>
        <v/>
      </c>
      <c r="Z167">
        <f>HYPERLINK("https://klasma.github.io/Logging_2281/fåglar/A 44193-2023 prioriterade fågelarter.docx", "A 44193-2023")</f>
        <v/>
      </c>
    </row>
    <row r="168" ht="15" customHeight="1">
      <c r="A168" t="inlineStr">
        <is>
          <t>A 46260-2023</t>
        </is>
      </c>
      <c r="B168" s="1" t="n">
        <v>45196</v>
      </c>
      <c r="C168" s="1" t="n">
        <v>45691</v>
      </c>
      <c r="D168" t="inlineStr">
        <is>
          <t>VÄSTERNORRLANDS LÄN</t>
        </is>
      </c>
      <c r="E168" t="inlineStr">
        <is>
          <t>SUNDSVALL</t>
        </is>
      </c>
      <c r="F168" t="inlineStr">
        <is>
          <t>SCA</t>
        </is>
      </c>
      <c r="G168" t="n">
        <v>3</v>
      </c>
      <c r="H168" t="n">
        <v>1</v>
      </c>
      <c r="I168" t="n">
        <v>0</v>
      </c>
      <c r="J168" t="n">
        <v>1</v>
      </c>
      <c r="K168" t="n">
        <v>0</v>
      </c>
      <c r="L168" t="n">
        <v>0</v>
      </c>
      <c r="M168" t="n">
        <v>0</v>
      </c>
      <c r="N168" t="n">
        <v>0</v>
      </c>
      <c r="O168" t="n">
        <v>1</v>
      </c>
      <c r="P168" t="n">
        <v>0</v>
      </c>
      <c r="Q168" t="n">
        <v>1</v>
      </c>
      <c r="R168" s="2" t="inlineStr">
        <is>
          <t>Spillkråka</t>
        </is>
      </c>
      <c r="S168">
        <f>HYPERLINK("https://klasma.github.io/Logging_2281/artfynd/A 46260-2023 artfynd.xlsx", "A 46260-2023")</f>
        <v/>
      </c>
      <c r="T168">
        <f>HYPERLINK("https://klasma.github.io/Logging_2281/kartor/A 46260-2023 karta.png", "A 46260-2023")</f>
        <v/>
      </c>
      <c r="V168">
        <f>HYPERLINK("https://klasma.github.io/Logging_2281/klagomål/A 46260-2023 FSC-klagomål.docx", "A 46260-2023")</f>
        <v/>
      </c>
      <c r="W168">
        <f>HYPERLINK("https://klasma.github.io/Logging_2281/klagomålsmail/A 46260-2023 FSC-klagomål mail.docx", "A 46260-2023")</f>
        <v/>
      </c>
      <c r="X168">
        <f>HYPERLINK("https://klasma.github.io/Logging_2281/tillsyn/A 46260-2023 tillsynsbegäran.docx", "A 46260-2023")</f>
        <v/>
      </c>
      <c r="Y168">
        <f>HYPERLINK("https://klasma.github.io/Logging_2281/tillsynsmail/A 46260-2023 tillsynsbegäran mail.docx", "A 46260-2023")</f>
        <v/>
      </c>
      <c r="Z168">
        <f>HYPERLINK("https://klasma.github.io/Logging_2281/fåglar/A 46260-2023 prioriterade fågelarter.docx", "A 46260-2023")</f>
        <v/>
      </c>
    </row>
    <row r="169" ht="15" customHeight="1">
      <c r="A169" t="inlineStr">
        <is>
          <t>A 47245-2023</t>
        </is>
      </c>
      <c r="B169" s="1" t="n">
        <v>45202</v>
      </c>
      <c r="C169" s="1" t="n">
        <v>45691</v>
      </c>
      <c r="D169" t="inlineStr">
        <is>
          <t>VÄSTERNORRLANDS LÄN</t>
        </is>
      </c>
      <c r="E169" t="inlineStr">
        <is>
          <t>SUNDSVALL</t>
        </is>
      </c>
      <c r="G169" t="n">
        <v>1.6</v>
      </c>
      <c r="H169" t="n">
        <v>1</v>
      </c>
      <c r="I169" t="n">
        <v>1</v>
      </c>
      <c r="J169" t="n">
        <v>0</v>
      </c>
      <c r="K169" t="n">
        <v>0</v>
      </c>
      <c r="L169" t="n">
        <v>0</v>
      </c>
      <c r="M169" t="n">
        <v>0</v>
      </c>
      <c r="N169" t="n">
        <v>0</v>
      </c>
      <c r="O169" t="n">
        <v>0</v>
      </c>
      <c r="P169" t="n">
        <v>0</v>
      </c>
      <c r="Q169" t="n">
        <v>1</v>
      </c>
      <c r="R169" s="2" t="inlineStr">
        <is>
          <t>Tvåblad</t>
        </is>
      </c>
      <c r="S169">
        <f>HYPERLINK("https://klasma.github.io/Logging_2281/artfynd/A 47245-2023 artfynd.xlsx", "A 47245-2023")</f>
        <v/>
      </c>
      <c r="T169">
        <f>HYPERLINK("https://klasma.github.io/Logging_2281/kartor/A 47245-2023 karta.png", "A 47245-2023")</f>
        <v/>
      </c>
      <c r="V169">
        <f>HYPERLINK("https://klasma.github.io/Logging_2281/klagomål/A 47245-2023 FSC-klagomål.docx", "A 47245-2023")</f>
        <v/>
      </c>
      <c r="W169">
        <f>HYPERLINK("https://klasma.github.io/Logging_2281/klagomålsmail/A 47245-2023 FSC-klagomål mail.docx", "A 47245-2023")</f>
        <v/>
      </c>
      <c r="X169">
        <f>HYPERLINK("https://klasma.github.io/Logging_2281/tillsyn/A 47245-2023 tillsynsbegäran.docx", "A 47245-2023")</f>
        <v/>
      </c>
      <c r="Y169">
        <f>HYPERLINK("https://klasma.github.io/Logging_2281/tillsynsmail/A 47245-2023 tillsynsbegäran mail.docx", "A 47245-2023")</f>
        <v/>
      </c>
    </row>
    <row r="170" ht="15" customHeight="1">
      <c r="A170" t="inlineStr">
        <is>
          <t>A 49863-2023</t>
        </is>
      </c>
      <c r="B170" s="1" t="n">
        <v>45212</v>
      </c>
      <c r="C170" s="1" t="n">
        <v>45691</v>
      </c>
      <c r="D170" t="inlineStr">
        <is>
          <t>VÄSTERNORRLANDS LÄN</t>
        </is>
      </c>
      <c r="E170" t="inlineStr">
        <is>
          <t>SUNDSVALL</t>
        </is>
      </c>
      <c r="F170" t="inlineStr">
        <is>
          <t>SCA</t>
        </is>
      </c>
      <c r="G170" t="n">
        <v>2.3</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49863-2023 artfynd.xlsx", "A 49863-2023")</f>
        <v/>
      </c>
      <c r="T170">
        <f>HYPERLINK("https://klasma.github.io/Logging_2281/kartor/A 49863-2023 karta.png", "A 49863-2023")</f>
        <v/>
      </c>
      <c r="V170">
        <f>HYPERLINK("https://klasma.github.io/Logging_2281/klagomål/A 49863-2023 FSC-klagomål.docx", "A 49863-2023")</f>
        <v/>
      </c>
      <c r="W170">
        <f>HYPERLINK("https://klasma.github.io/Logging_2281/klagomålsmail/A 49863-2023 FSC-klagomål mail.docx", "A 49863-2023")</f>
        <v/>
      </c>
      <c r="X170">
        <f>HYPERLINK("https://klasma.github.io/Logging_2281/tillsyn/A 49863-2023 tillsynsbegäran.docx", "A 49863-2023")</f>
        <v/>
      </c>
      <c r="Y170">
        <f>HYPERLINK("https://klasma.github.io/Logging_2281/tillsynsmail/A 49863-2023 tillsynsbegäran mail.docx", "A 49863-2023")</f>
        <v/>
      </c>
      <c r="Z170">
        <f>HYPERLINK("https://klasma.github.io/Logging_2281/fåglar/A 49863-2023 prioriterade fågelarter.docx", "A 49863-2023")</f>
        <v/>
      </c>
    </row>
    <row r="171" ht="15" customHeight="1">
      <c r="A171" t="inlineStr">
        <is>
          <t>A 54325-2023</t>
        </is>
      </c>
      <c r="B171" s="1" t="n">
        <v>45232</v>
      </c>
      <c r="C171" s="1" t="n">
        <v>45691</v>
      </c>
      <c r="D171" t="inlineStr">
        <is>
          <t>VÄSTERNORRLANDS LÄN</t>
        </is>
      </c>
      <c r="E171" t="inlineStr">
        <is>
          <t>SUNDSVALL</t>
        </is>
      </c>
      <c r="F171" t="inlineStr">
        <is>
          <t>SCA</t>
        </is>
      </c>
      <c r="G171" t="n">
        <v>5.7</v>
      </c>
      <c r="H171" t="n">
        <v>0</v>
      </c>
      <c r="I171" t="n">
        <v>0</v>
      </c>
      <c r="J171" t="n">
        <v>1</v>
      </c>
      <c r="K171" t="n">
        <v>0</v>
      </c>
      <c r="L171" t="n">
        <v>0</v>
      </c>
      <c r="M171" t="n">
        <v>0</v>
      </c>
      <c r="N171" t="n">
        <v>0</v>
      </c>
      <c r="O171" t="n">
        <v>1</v>
      </c>
      <c r="P171" t="n">
        <v>0</v>
      </c>
      <c r="Q171" t="n">
        <v>1</v>
      </c>
      <c r="R171" s="2" t="inlineStr">
        <is>
          <t>Igelkott</t>
        </is>
      </c>
      <c r="S171">
        <f>HYPERLINK("https://klasma.github.io/Logging_2281/artfynd/A 54325-2023 artfynd.xlsx", "A 54325-2023")</f>
        <v/>
      </c>
      <c r="T171">
        <f>HYPERLINK("https://klasma.github.io/Logging_2281/kartor/A 54325-2023 karta.png", "A 54325-2023")</f>
        <v/>
      </c>
      <c r="V171">
        <f>HYPERLINK("https://klasma.github.io/Logging_2281/klagomål/A 54325-2023 FSC-klagomål.docx", "A 54325-2023")</f>
        <v/>
      </c>
      <c r="W171">
        <f>HYPERLINK("https://klasma.github.io/Logging_2281/klagomålsmail/A 54325-2023 FSC-klagomål mail.docx", "A 54325-2023")</f>
        <v/>
      </c>
      <c r="X171">
        <f>HYPERLINK("https://klasma.github.io/Logging_2281/tillsyn/A 54325-2023 tillsynsbegäran.docx", "A 54325-2023")</f>
        <v/>
      </c>
      <c r="Y171">
        <f>HYPERLINK("https://klasma.github.io/Logging_2281/tillsynsmail/A 54325-2023 tillsynsbegäran mail.docx", "A 54325-2023")</f>
        <v/>
      </c>
    </row>
    <row r="172" ht="15" customHeight="1">
      <c r="A172" t="inlineStr">
        <is>
          <t>A 56698-2023</t>
        </is>
      </c>
      <c r="B172" s="1" t="n">
        <v>45244</v>
      </c>
      <c r="C172" s="1" t="n">
        <v>45691</v>
      </c>
      <c r="D172" t="inlineStr">
        <is>
          <t>VÄSTERNORRLANDS LÄN</t>
        </is>
      </c>
      <c r="E172" t="inlineStr">
        <is>
          <t>SUNDSVALL</t>
        </is>
      </c>
      <c r="F172" t="inlineStr">
        <is>
          <t>SCA</t>
        </is>
      </c>
      <c r="G172" t="n">
        <v>3.1</v>
      </c>
      <c r="H172" t="n">
        <v>0</v>
      </c>
      <c r="I172" t="n">
        <v>0</v>
      </c>
      <c r="J172" t="n">
        <v>1</v>
      </c>
      <c r="K172" t="n">
        <v>0</v>
      </c>
      <c r="L172" t="n">
        <v>0</v>
      </c>
      <c r="M172" t="n">
        <v>0</v>
      </c>
      <c r="N172" t="n">
        <v>0</v>
      </c>
      <c r="O172" t="n">
        <v>1</v>
      </c>
      <c r="P172" t="n">
        <v>0</v>
      </c>
      <c r="Q172" t="n">
        <v>1</v>
      </c>
      <c r="R172" s="2" t="inlineStr">
        <is>
          <t>Granticka</t>
        </is>
      </c>
      <c r="S172">
        <f>HYPERLINK("https://klasma.github.io/Logging_2281/artfynd/A 56698-2023 artfynd.xlsx", "A 56698-2023")</f>
        <v/>
      </c>
      <c r="T172">
        <f>HYPERLINK("https://klasma.github.io/Logging_2281/kartor/A 56698-2023 karta.png", "A 56698-2023")</f>
        <v/>
      </c>
      <c r="V172">
        <f>HYPERLINK("https://klasma.github.io/Logging_2281/klagomål/A 56698-2023 FSC-klagomål.docx", "A 56698-2023")</f>
        <v/>
      </c>
      <c r="W172">
        <f>HYPERLINK("https://klasma.github.io/Logging_2281/klagomålsmail/A 56698-2023 FSC-klagomål mail.docx", "A 56698-2023")</f>
        <v/>
      </c>
      <c r="X172">
        <f>HYPERLINK("https://klasma.github.io/Logging_2281/tillsyn/A 56698-2023 tillsynsbegäran.docx", "A 56698-2023")</f>
        <v/>
      </c>
      <c r="Y172">
        <f>HYPERLINK("https://klasma.github.io/Logging_2281/tillsynsmail/A 56698-2023 tillsynsbegäran mail.docx", "A 56698-2023")</f>
        <v/>
      </c>
    </row>
    <row r="173" ht="15" customHeight="1">
      <c r="A173" t="inlineStr">
        <is>
          <t>A 59870-2023</t>
        </is>
      </c>
      <c r="B173" s="1" t="n">
        <v>45254</v>
      </c>
      <c r="C173" s="1" t="n">
        <v>45691</v>
      </c>
      <c r="D173" t="inlineStr">
        <is>
          <t>VÄSTERNORRLANDS LÄN</t>
        </is>
      </c>
      <c r="E173" t="inlineStr">
        <is>
          <t>SUNDSVALL</t>
        </is>
      </c>
      <c r="G173" t="n">
        <v>3.2</v>
      </c>
      <c r="H173" t="n">
        <v>0</v>
      </c>
      <c r="I173" t="n">
        <v>0</v>
      </c>
      <c r="J173" t="n">
        <v>1</v>
      </c>
      <c r="K173" t="n">
        <v>0</v>
      </c>
      <c r="L173" t="n">
        <v>0</v>
      </c>
      <c r="M173" t="n">
        <v>0</v>
      </c>
      <c r="N173" t="n">
        <v>0</v>
      </c>
      <c r="O173" t="n">
        <v>1</v>
      </c>
      <c r="P173" t="n">
        <v>0</v>
      </c>
      <c r="Q173" t="n">
        <v>1</v>
      </c>
      <c r="R173" s="2" t="inlineStr">
        <is>
          <t>Lunglav</t>
        </is>
      </c>
      <c r="S173">
        <f>HYPERLINK("https://klasma.github.io/Logging_2281/artfynd/A 59870-2023 artfynd.xlsx", "A 59870-2023")</f>
        <v/>
      </c>
      <c r="T173">
        <f>HYPERLINK("https://klasma.github.io/Logging_2281/kartor/A 59870-2023 karta.png", "A 59870-2023")</f>
        <v/>
      </c>
      <c r="V173">
        <f>HYPERLINK("https://klasma.github.io/Logging_2281/klagomål/A 59870-2023 FSC-klagomål.docx", "A 59870-2023")</f>
        <v/>
      </c>
      <c r="W173">
        <f>HYPERLINK("https://klasma.github.io/Logging_2281/klagomålsmail/A 59870-2023 FSC-klagomål mail.docx", "A 59870-2023")</f>
        <v/>
      </c>
      <c r="X173">
        <f>HYPERLINK("https://klasma.github.io/Logging_2281/tillsyn/A 59870-2023 tillsynsbegäran.docx", "A 59870-2023")</f>
        <v/>
      </c>
      <c r="Y173">
        <f>HYPERLINK("https://klasma.github.io/Logging_2281/tillsynsmail/A 59870-2023 tillsynsbegäran mail.docx", "A 59870-2023")</f>
        <v/>
      </c>
    </row>
    <row r="174" ht="15" customHeight="1">
      <c r="A174" t="inlineStr">
        <is>
          <t>A 233-2024</t>
        </is>
      </c>
      <c r="B174" s="1" t="n">
        <v>45294</v>
      </c>
      <c r="C174" s="1" t="n">
        <v>45691</v>
      </c>
      <c r="D174" t="inlineStr">
        <is>
          <t>VÄSTERNORRLANDS LÄN</t>
        </is>
      </c>
      <c r="E174" t="inlineStr">
        <is>
          <t>SUNDSVALL</t>
        </is>
      </c>
      <c r="G174" t="n">
        <v>2.4</v>
      </c>
      <c r="H174" t="n">
        <v>1</v>
      </c>
      <c r="I174" t="n">
        <v>0</v>
      </c>
      <c r="J174" t="n">
        <v>1</v>
      </c>
      <c r="K174" t="n">
        <v>0</v>
      </c>
      <c r="L174" t="n">
        <v>0</v>
      </c>
      <c r="M174" t="n">
        <v>0</v>
      </c>
      <c r="N174" t="n">
        <v>0</v>
      </c>
      <c r="O174" t="n">
        <v>1</v>
      </c>
      <c r="P174" t="n">
        <v>0</v>
      </c>
      <c r="Q174" t="n">
        <v>1</v>
      </c>
      <c r="R174" s="2" t="inlineStr">
        <is>
          <t>Duvhök</t>
        </is>
      </c>
      <c r="S174">
        <f>HYPERLINK("https://klasma.github.io/Logging_2281/artfynd/A 233-2024 artfynd.xlsx", "A 233-2024")</f>
        <v/>
      </c>
      <c r="T174">
        <f>HYPERLINK("https://klasma.github.io/Logging_2281/kartor/A 233-2024 karta.png", "A 233-2024")</f>
        <v/>
      </c>
      <c r="V174">
        <f>HYPERLINK("https://klasma.github.io/Logging_2281/klagomål/A 233-2024 FSC-klagomål.docx", "A 233-2024")</f>
        <v/>
      </c>
      <c r="W174">
        <f>HYPERLINK("https://klasma.github.io/Logging_2281/klagomålsmail/A 233-2024 FSC-klagomål mail.docx", "A 233-2024")</f>
        <v/>
      </c>
      <c r="X174">
        <f>HYPERLINK("https://klasma.github.io/Logging_2281/tillsyn/A 233-2024 tillsynsbegäran.docx", "A 233-2024")</f>
        <v/>
      </c>
      <c r="Y174">
        <f>HYPERLINK("https://klasma.github.io/Logging_2281/tillsynsmail/A 233-2024 tillsynsbegäran mail.docx", "A 233-2024")</f>
        <v/>
      </c>
      <c r="Z174">
        <f>HYPERLINK("https://klasma.github.io/Logging_2281/fåglar/A 233-2024 prioriterade fågelarter.docx", "A 233-2024")</f>
        <v/>
      </c>
    </row>
    <row r="175" ht="15" customHeight="1">
      <c r="A175" t="inlineStr">
        <is>
          <t>A 1058-2024</t>
        </is>
      </c>
      <c r="B175" s="1" t="n">
        <v>45301</v>
      </c>
      <c r="C175" s="1" t="n">
        <v>45691</v>
      </c>
      <c r="D175" t="inlineStr">
        <is>
          <t>VÄSTERNORRLANDS LÄN</t>
        </is>
      </c>
      <c r="E175" t="inlineStr">
        <is>
          <t>SUNDSVALL</t>
        </is>
      </c>
      <c r="F175" t="inlineStr">
        <is>
          <t>SCA</t>
        </is>
      </c>
      <c r="G175" t="n">
        <v>8</v>
      </c>
      <c r="H175" t="n">
        <v>0</v>
      </c>
      <c r="I175" t="n">
        <v>0</v>
      </c>
      <c r="J175" t="n">
        <v>1</v>
      </c>
      <c r="K175" t="n">
        <v>0</v>
      </c>
      <c r="L175" t="n">
        <v>0</v>
      </c>
      <c r="M175" t="n">
        <v>0</v>
      </c>
      <c r="N175" t="n">
        <v>0</v>
      </c>
      <c r="O175" t="n">
        <v>1</v>
      </c>
      <c r="P175" t="n">
        <v>0</v>
      </c>
      <c r="Q175" t="n">
        <v>1</v>
      </c>
      <c r="R175" s="2" t="inlineStr">
        <is>
          <t>Garnlav</t>
        </is>
      </c>
      <c r="S175">
        <f>HYPERLINK("https://klasma.github.io/Logging_2281/artfynd/A 1058-2024 artfynd.xlsx", "A 1058-2024")</f>
        <v/>
      </c>
      <c r="T175">
        <f>HYPERLINK("https://klasma.github.io/Logging_2281/kartor/A 1058-2024 karta.png", "A 1058-2024")</f>
        <v/>
      </c>
      <c r="V175">
        <f>HYPERLINK("https://klasma.github.io/Logging_2281/klagomål/A 1058-2024 FSC-klagomål.docx", "A 1058-2024")</f>
        <v/>
      </c>
      <c r="W175">
        <f>HYPERLINK("https://klasma.github.io/Logging_2281/klagomålsmail/A 1058-2024 FSC-klagomål mail.docx", "A 1058-2024")</f>
        <v/>
      </c>
      <c r="X175">
        <f>HYPERLINK("https://klasma.github.io/Logging_2281/tillsyn/A 1058-2024 tillsynsbegäran.docx", "A 1058-2024")</f>
        <v/>
      </c>
      <c r="Y175">
        <f>HYPERLINK("https://klasma.github.io/Logging_2281/tillsynsmail/A 1058-2024 tillsynsbegäran mail.docx", "A 1058-2024")</f>
        <v/>
      </c>
    </row>
    <row r="176" ht="15" customHeight="1">
      <c r="A176" t="inlineStr">
        <is>
          <t>A 3819-2024</t>
        </is>
      </c>
      <c r="B176" s="1" t="n">
        <v>45321</v>
      </c>
      <c r="C176" s="1" t="n">
        <v>45691</v>
      </c>
      <c r="D176" t="inlineStr">
        <is>
          <t>VÄSTERNORRLANDS LÄN</t>
        </is>
      </c>
      <c r="E176" t="inlineStr">
        <is>
          <t>SUNDSVALL</t>
        </is>
      </c>
      <c r="G176" t="n">
        <v>13.5</v>
      </c>
      <c r="H176" t="n">
        <v>1</v>
      </c>
      <c r="I176" t="n">
        <v>0</v>
      </c>
      <c r="J176" t="n">
        <v>0</v>
      </c>
      <c r="K176" t="n">
        <v>1</v>
      </c>
      <c r="L176" t="n">
        <v>0</v>
      </c>
      <c r="M176" t="n">
        <v>0</v>
      </c>
      <c r="N176" t="n">
        <v>0</v>
      </c>
      <c r="O176" t="n">
        <v>1</v>
      </c>
      <c r="P176" t="n">
        <v>1</v>
      </c>
      <c r="Q176" t="n">
        <v>1</v>
      </c>
      <c r="R176" s="2" t="inlineStr">
        <is>
          <t>Bombmurkla</t>
        </is>
      </c>
      <c r="S176">
        <f>HYPERLINK("https://klasma.github.io/Logging_2281/artfynd/A 3819-2024 artfynd.xlsx", "A 3819-2024")</f>
        <v/>
      </c>
      <c r="T176">
        <f>HYPERLINK("https://klasma.github.io/Logging_2281/kartor/A 3819-2024 karta.png", "A 3819-2024")</f>
        <v/>
      </c>
      <c r="V176">
        <f>HYPERLINK("https://klasma.github.io/Logging_2281/klagomål/A 3819-2024 FSC-klagomål.docx", "A 3819-2024")</f>
        <v/>
      </c>
      <c r="W176">
        <f>HYPERLINK("https://klasma.github.io/Logging_2281/klagomålsmail/A 3819-2024 FSC-klagomål mail.docx", "A 3819-2024")</f>
        <v/>
      </c>
      <c r="X176">
        <f>HYPERLINK("https://klasma.github.io/Logging_2281/tillsyn/A 3819-2024 tillsynsbegäran.docx", "A 3819-2024")</f>
        <v/>
      </c>
      <c r="Y176">
        <f>HYPERLINK("https://klasma.github.io/Logging_2281/tillsynsmail/A 3819-2024 tillsynsbegäran mail.docx", "A 3819-2024")</f>
        <v/>
      </c>
    </row>
    <row r="177" ht="15" customHeight="1">
      <c r="A177" t="inlineStr">
        <is>
          <t>A 6629-2024</t>
        </is>
      </c>
      <c r="B177" s="1" t="n">
        <v>45341</v>
      </c>
      <c r="C177" s="1" t="n">
        <v>45691</v>
      </c>
      <c r="D177" t="inlineStr">
        <is>
          <t>VÄSTERNORRLANDS LÄN</t>
        </is>
      </c>
      <c r="E177" t="inlineStr">
        <is>
          <t>SUNDSVALL</t>
        </is>
      </c>
      <c r="G177" t="n">
        <v>0.7</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6629-2024 artfynd.xlsx", "A 6629-2024")</f>
        <v/>
      </c>
      <c r="T177">
        <f>HYPERLINK("https://klasma.github.io/Logging_2281/kartor/A 6629-2024 karta.png", "A 6629-2024")</f>
        <v/>
      </c>
      <c r="V177">
        <f>HYPERLINK("https://klasma.github.io/Logging_2281/klagomål/A 6629-2024 FSC-klagomål.docx", "A 6629-2024")</f>
        <v/>
      </c>
      <c r="W177">
        <f>HYPERLINK("https://klasma.github.io/Logging_2281/klagomålsmail/A 6629-2024 FSC-klagomål mail.docx", "A 6629-2024")</f>
        <v/>
      </c>
      <c r="X177">
        <f>HYPERLINK("https://klasma.github.io/Logging_2281/tillsyn/A 6629-2024 tillsynsbegäran.docx", "A 6629-2024")</f>
        <v/>
      </c>
      <c r="Y177">
        <f>HYPERLINK("https://klasma.github.io/Logging_2281/tillsynsmail/A 6629-2024 tillsynsbegäran mail.docx", "A 6629-2024")</f>
        <v/>
      </c>
      <c r="Z177">
        <f>HYPERLINK("https://klasma.github.io/Logging_2281/fåglar/A 6629-2024 prioriterade fågelarter.docx", "A 6629-2024")</f>
        <v/>
      </c>
    </row>
    <row r="178" ht="15" customHeight="1">
      <c r="A178" t="inlineStr">
        <is>
          <t>A 6897-2024</t>
        </is>
      </c>
      <c r="B178" s="1" t="n">
        <v>45342</v>
      </c>
      <c r="C178" s="1" t="n">
        <v>45691</v>
      </c>
      <c r="D178" t="inlineStr">
        <is>
          <t>VÄSTERNORRLANDS LÄN</t>
        </is>
      </c>
      <c r="E178" t="inlineStr">
        <is>
          <t>SUNDSVALL</t>
        </is>
      </c>
      <c r="G178" t="n">
        <v>22.7</v>
      </c>
      <c r="H178" t="n">
        <v>1</v>
      </c>
      <c r="I178" t="n">
        <v>0</v>
      </c>
      <c r="J178" t="n">
        <v>1</v>
      </c>
      <c r="K178" t="n">
        <v>0</v>
      </c>
      <c r="L178" t="n">
        <v>0</v>
      </c>
      <c r="M178" t="n">
        <v>0</v>
      </c>
      <c r="N178" t="n">
        <v>0</v>
      </c>
      <c r="O178" t="n">
        <v>1</v>
      </c>
      <c r="P178" t="n">
        <v>0</v>
      </c>
      <c r="Q178" t="n">
        <v>1</v>
      </c>
      <c r="R178" s="2" t="inlineStr">
        <is>
          <t>Utter</t>
        </is>
      </c>
      <c r="S178">
        <f>HYPERLINK("https://klasma.github.io/Logging_2281/artfynd/A 6897-2024 artfynd.xlsx", "A 6897-2024")</f>
        <v/>
      </c>
      <c r="T178">
        <f>HYPERLINK("https://klasma.github.io/Logging_2281/kartor/A 6897-2024 karta.png", "A 6897-2024")</f>
        <v/>
      </c>
      <c r="V178">
        <f>HYPERLINK("https://klasma.github.io/Logging_2281/klagomål/A 6897-2024 FSC-klagomål.docx", "A 6897-2024")</f>
        <v/>
      </c>
      <c r="W178">
        <f>HYPERLINK("https://klasma.github.io/Logging_2281/klagomålsmail/A 6897-2024 FSC-klagomål mail.docx", "A 6897-2024")</f>
        <v/>
      </c>
      <c r="X178">
        <f>HYPERLINK("https://klasma.github.io/Logging_2281/tillsyn/A 6897-2024 tillsynsbegäran.docx", "A 6897-2024")</f>
        <v/>
      </c>
      <c r="Y178">
        <f>HYPERLINK("https://klasma.github.io/Logging_2281/tillsynsmail/A 6897-2024 tillsynsbegäran mail.docx", "A 6897-2024")</f>
        <v/>
      </c>
    </row>
    <row r="179" ht="15" customHeight="1">
      <c r="A179" t="inlineStr">
        <is>
          <t>A 11681-2024</t>
        </is>
      </c>
      <c r="B179" s="1" t="n">
        <v>45373</v>
      </c>
      <c r="C179" s="1" t="n">
        <v>45691</v>
      </c>
      <c r="D179" t="inlineStr">
        <is>
          <t>VÄSTERNORRLANDS LÄN</t>
        </is>
      </c>
      <c r="E179" t="inlineStr">
        <is>
          <t>SUNDSVALL</t>
        </is>
      </c>
      <c r="F179" t="inlineStr">
        <is>
          <t>Holmen skog AB</t>
        </is>
      </c>
      <c r="G179" t="n">
        <v>9</v>
      </c>
      <c r="H179" t="n">
        <v>1</v>
      </c>
      <c r="I179" t="n">
        <v>0</v>
      </c>
      <c r="J179" t="n">
        <v>0</v>
      </c>
      <c r="K179" t="n">
        <v>0</v>
      </c>
      <c r="L179" t="n">
        <v>0</v>
      </c>
      <c r="M179" t="n">
        <v>0</v>
      </c>
      <c r="N179" t="n">
        <v>0</v>
      </c>
      <c r="O179" t="n">
        <v>0</v>
      </c>
      <c r="P179" t="n">
        <v>0</v>
      </c>
      <c r="Q179" t="n">
        <v>1</v>
      </c>
      <c r="R179" s="2" t="inlineStr">
        <is>
          <t>Tjäder</t>
        </is>
      </c>
      <c r="S179">
        <f>HYPERLINK("https://klasma.github.io/Logging_2281/artfynd/A 11681-2024 artfynd.xlsx", "A 11681-2024")</f>
        <v/>
      </c>
      <c r="T179">
        <f>HYPERLINK("https://klasma.github.io/Logging_2281/kartor/A 11681-2024 karta.png", "A 11681-2024")</f>
        <v/>
      </c>
      <c r="V179">
        <f>HYPERLINK("https://klasma.github.io/Logging_2281/klagomål/A 11681-2024 FSC-klagomål.docx", "A 11681-2024")</f>
        <v/>
      </c>
      <c r="W179">
        <f>HYPERLINK("https://klasma.github.io/Logging_2281/klagomålsmail/A 11681-2024 FSC-klagomål mail.docx", "A 11681-2024")</f>
        <v/>
      </c>
      <c r="X179">
        <f>HYPERLINK("https://klasma.github.io/Logging_2281/tillsyn/A 11681-2024 tillsynsbegäran.docx", "A 11681-2024")</f>
        <v/>
      </c>
      <c r="Y179">
        <f>HYPERLINK("https://klasma.github.io/Logging_2281/tillsynsmail/A 11681-2024 tillsynsbegäran mail.docx", "A 11681-2024")</f>
        <v/>
      </c>
      <c r="Z179">
        <f>HYPERLINK("https://klasma.github.io/Logging_2281/fåglar/A 11681-2024 prioriterade fågelarter.docx", "A 11681-2024")</f>
        <v/>
      </c>
    </row>
    <row r="180" ht="15" customHeight="1">
      <c r="A180" t="inlineStr">
        <is>
          <t>A 15151-2024</t>
        </is>
      </c>
      <c r="B180" s="1" t="n">
        <v>45400</v>
      </c>
      <c r="C180" s="1" t="n">
        <v>45691</v>
      </c>
      <c r="D180" t="inlineStr">
        <is>
          <t>VÄSTERNORRLANDS LÄN</t>
        </is>
      </c>
      <c r="E180" t="inlineStr">
        <is>
          <t>SUNDSVALL</t>
        </is>
      </c>
      <c r="F180" t="inlineStr">
        <is>
          <t>Naturvårdsverket</t>
        </is>
      </c>
      <c r="G180" t="n">
        <v>17.2</v>
      </c>
      <c r="H180" t="n">
        <v>1</v>
      </c>
      <c r="I180" t="n">
        <v>0</v>
      </c>
      <c r="J180" t="n">
        <v>0</v>
      </c>
      <c r="K180" t="n">
        <v>1</v>
      </c>
      <c r="L180" t="n">
        <v>0</v>
      </c>
      <c r="M180" t="n">
        <v>0</v>
      </c>
      <c r="N180" t="n">
        <v>0</v>
      </c>
      <c r="O180" t="n">
        <v>1</v>
      </c>
      <c r="P180" t="n">
        <v>1</v>
      </c>
      <c r="Q180" t="n">
        <v>1</v>
      </c>
      <c r="R180" s="2" t="inlineStr">
        <is>
          <t>Knärot</t>
        </is>
      </c>
      <c r="S180">
        <f>HYPERLINK("https://klasma.github.io/Logging_2281/artfynd/A 15151-2024 artfynd.xlsx", "A 15151-2024")</f>
        <v/>
      </c>
      <c r="T180">
        <f>HYPERLINK("https://klasma.github.io/Logging_2281/kartor/A 15151-2024 karta.png", "A 15151-2024")</f>
        <v/>
      </c>
      <c r="U180">
        <f>HYPERLINK("https://klasma.github.io/Logging_2281/knärot/A 15151-2024 karta knärot.png", "A 15151-2024")</f>
        <v/>
      </c>
      <c r="V180">
        <f>HYPERLINK("https://klasma.github.io/Logging_2281/klagomål/A 15151-2024 FSC-klagomål.docx", "A 15151-2024")</f>
        <v/>
      </c>
      <c r="W180">
        <f>HYPERLINK("https://klasma.github.io/Logging_2281/klagomålsmail/A 15151-2024 FSC-klagomål mail.docx", "A 15151-2024")</f>
        <v/>
      </c>
      <c r="X180">
        <f>HYPERLINK("https://klasma.github.io/Logging_2281/tillsyn/A 15151-2024 tillsynsbegäran.docx", "A 15151-2024")</f>
        <v/>
      </c>
      <c r="Y180">
        <f>HYPERLINK("https://klasma.github.io/Logging_2281/tillsynsmail/A 15151-2024 tillsynsbegäran mail.docx", "A 15151-2024")</f>
        <v/>
      </c>
    </row>
    <row r="181" ht="15" customHeight="1">
      <c r="A181" t="inlineStr">
        <is>
          <t>A 15376-2024</t>
        </is>
      </c>
      <c r="B181" s="1" t="n">
        <v>45400</v>
      </c>
      <c r="C181" s="1" t="n">
        <v>45691</v>
      </c>
      <c r="D181" t="inlineStr">
        <is>
          <t>VÄSTERNORRLANDS LÄN</t>
        </is>
      </c>
      <c r="E181" t="inlineStr">
        <is>
          <t>SUNDSVALL</t>
        </is>
      </c>
      <c r="F181" t="inlineStr">
        <is>
          <t>Naturvårdsverket</t>
        </is>
      </c>
      <c r="G181" t="n">
        <v>1.2</v>
      </c>
      <c r="H181" t="n">
        <v>0</v>
      </c>
      <c r="I181" t="n">
        <v>0</v>
      </c>
      <c r="J181" t="n">
        <v>1</v>
      </c>
      <c r="K181" t="n">
        <v>0</v>
      </c>
      <c r="L181" t="n">
        <v>0</v>
      </c>
      <c r="M181" t="n">
        <v>0</v>
      </c>
      <c r="N181" t="n">
        <v>0</v>
      </c>
      <c r="O181" t="n">
        <v>1</v>
      </c>
      <c r="P181" t="n">
        <v>0</v>
      </c>
      <c r="Q181" t="n">
        <v>1</v>
      </c>
      <c r="R181" s="2" t="inlineStr">
        <is>
          <t>Granticka</t>
        </is>
      </c>
      <c r="S181">
        <f>HYPERLINK("https://klasma.github.io/Logging_2281/artfynd/A 15376-2024 artfynd.xlsx", "A 15376-2024")</f>
        <v/>
      </c>
      <c r="T181">
        <f>HYPERLINK("https://klasma.github.io/Logging_2281/kartor/A 15376-2024 karta.png", "A 15376-2024")</f>
        <v/>
      </c>
      <c r="V181">
        <f>HYPERLINK("https://klasma.github.io/Logging_2281/klagomål/A 15376-2024 FSC-klagomål.docx", "A 15376-2024")</f>
        <v/>
      </c>
      <c r="W181">
        <f>HYPERLINK("https://klasma.github.io/Logging_2281/klagomålsmail/A 15376-2024 FSC-klagomål mail.docx", "A 15376-2024")</f>
        <v/>
      </c>
      <c r="X181">
        <f>HYPERLINK("https://klasma.github.io/Logging_2281/tillsyn/A 15376-2024 tillsynsbegäran.docx", "A 15376-2024")</f>
        <v/>
      </c>
      <c r="Y181">
        <f>HYPERLINK("https://klasma.github.io/Logging_2281/tillsynsmail/A 15376-2024 tillsynsbegäran mail.docx", "A 15376-2024")</f>
        <v/>
      </c>
    </row>
    <row r="182" ht="15" customHeight="1">
      <c r="A182" t="inlineStr">
        <is>
          <t>A 20517-2024</t>
        </is>
      </c>
      <c r="B182" s="1" t="n">
        <v>45435</v>
      </c>
      <c r="C182" s="1" t="n">
        <v>45691</v>
      </c>
      <c r="D182" t="inlineStr">
        <is>
          <t>VÄSTERNORRLANDS LÄN</t>
        </is>
      </c>
      <c r="E182" t="inlineStr">
        <is>
          <t>SUNDSVALL</t>
        </is>
      </c>
      <c r="G182" t="n">
        <v>4.6</v>
      </c>
      <c r="H182" t="n">
        <v>0</v>
      </c>
      <c r="I182" t="n">
        <v>0</v>
      </c>
      <c r="J182" t="n">
        <v>1</v>
      </c>
      <c r="K182" t="n">
        <v>0</v>
      </c>
      <c r="L182" t="n">
        <v>0</v>
      </c>
      <c r="M182" t="n">
        <v>0</v>
      </c>
      <c r="N182" t="n">
        <v>0</v>
      </c>
      <c r="O182" t="n">
        <v>1</v>
      </c>
      <c r="P182" t="n">
        <v>0</v>
      </c>
      <c r="Q182" t="n">
        <v>1</v>
      </c>
      <c r="R182" s="2" t="inlineStr">
        <is>
          <t>Lunglav</t>
        </is>
      </c>
      <c r="S182">
        <f>HYPERLINK("https://klasma.github.io/Logging_2281/artfynd/A 20517-2024 artfynd.xlsx", "A 20517-2024")</f>
        <v/>
      </c>
      <c r="T182">
        <f>HYPERLINK("https://klasma.github.io/Logging_2281/kartor/A 20517-2024 karta.png", "A 20517-2024")</f>
        <v/>
      </c>
      <c r="V182">
        <f>HYPERLINK("https://klasma.github.io/Logging_2281/klagomål/A 20517-2024 FSC-klagomål.docx", "A 20517-2024")</f>
        <v/>
      </c>
      <c r="W182">
        <f>HYPERLINK("https://klasma.github.io/Logging_2281/klagomålsmail/A 20517-2024 FSC-klagomål mail.docx", "A 20517-2024")</f>
        <v/>
      </c>
      <c r="X182">
        <f>HYPERLINK("https://klasma.github.io/Logging_2281/tillsyn/A 20517-2024 tillsynsbegäran.docx", "A 20517-2024")</f>
        <v/>
      </c>
      <c r="Y182">
        <f>HYPERLINK("https://klasma.github.io/Logging_2281/tillsynsmail/A 20517-2024 tillsynsbegäran mail.docx", "A 20517-2024")</f>
        <v/>
      </c>
    </row>
    <row r="183" ht="15" customHeight="1">
      <c r="A183" t="inlineStr">
        <is>
          <t>A 25380-2024</t>
        </is>
      </c>
      <c r="B183" s="1" t="n">
        <v>45463</v>
      </c>
      <c r="C183" s="1" t="n">
        <v>45691</v>
      </c>
      <c r="D183" t="inlineStr">
        <is>
          <t>VÄSTERNORRLANDS LÄN</t>
        </is>
      </c>
      <c r="E183" t="inlineStr">
        <is>
          <t>SUNDSVALL</t>
        </is>
      </c>
      <c r="F183" t="inlineStr">
        <is>
          <t>SCA</t>
        </is>
      </c>
      <c r="G183" t="n">
        <v>3.3</v>
      </c>
      <c r="H183" t="n">
        <v>1</v>
      </c>
      <c r="I183" t="n">
        <v>0</v>
      </c>
      <c r="J183" t="n">
        <v>1</v>
      </c>
      <c r="K183" t="n">
        <v>0</v>
      </c>
      <c r="L183" t="n">
        <v>0</v>
      </c>
      <c r="M183" t="n">
        <v>0</v>
      </c>
      <c r="N183" t="n">
        <v>0</v>
      </c>
      <c r="O183" t="n">
        <v>1</v>
      </c>
      <c r="P183" t="n">
        <v>0</v>
      </c>
      <c r="Q183" t="n">
        <v>1</v>
      </c>
      <c r="R183" s="2" t="inlineStr">
        <is>
          <t>Nordfladdermus</t>
        </is>
      </c>
      <c r="S183">
        <f>HYPERLINK("https://klasma.github.io/Logging_2281/artfynd/A 25380-2024 artfynd.xlsx", "A 25380-2024")</f>
        <v/>
      </c>
      <c r="T183">
        <f>HYPERLINK("https://klasma.github.io/Logging_2281/kartor/A 25380-2024 karta.png", "A 25380-2024")</f>
        <v/>
      </c>
      <c r="V183">
        <f>HYPERLINK("https://klasma.github.io/Logging_2281/klagomål/A 25380-2024 FSC-klagomål.docx", "A 25380-2024")</f>
        <v/>
      </c>
      <c r="W183">
        <f>HYPERLINK("https://klasma.github.io/Logging_2281/klagomålsmail/A 25380-2024 FSC-klagomål mail.docx", "A 25380-2024")</f>
        <v/>
      </c>
      <c r="X183">
        <f>HYPERLINK("https://klasma.github.io/Logging_2281/tillsyn/A 25380-2024 tillsynsbegäran.docx", "A 25380-2024")</f>
        <v/>
      </c>
      <c r="Y183">
        <f>HYPERLINK("https://klasma.github.io/Logging_2281/tillsynsmail/A 25380-2024 tillsynsbegäran mail.docx", "A 25380-2024")</f>
        <v/>
      </c>
    </row>
    <row r="184" ht="15" customHeight="1">
      <c r="A184" t="inlineStr">
        <is>
          <t>A 26178-2024</t>
        </is>
      </c>
      <c r="B184" s="1" t="n">
        <v>45468</v>
      </c>
      <c r="C184" s="1" t="n">
        <v>45691</v>
      </c>
      <c r="D184" t="inlineStr">
        <is>
          <t>VÄSTERNORRLANDS LÄN</t>
        </is>
      </c>
      <c r="E184" t="inlineStr">
        <is>
          <t>SUNDSVALL</t>
        </is>
      </c>
      <c r="G184" t="n">
        <v>11.7</v>
      </c>
      <c r="H184" t="n">
        <v>1</v>
      </c>
      <c r="I184" t="n">
        <v>0</v>
      </c>
      <c r="J184" t="n">
        <v>1</v>
      </c>
      <c r="K184" t="n">
        <v>0</v>
      </c>
      <c r="L184" t="n">
        <v>0</v>
      </c>
      <c r="M184" t="n">
        <v>0</v>
      </c>
      <c r="N184" t="n">
        <v>0</v>
      </c>
      <c r="O184" t="n">
        <v>1</v>
      </c>
      <c r="P184" t="n">
        <v>0</v>
      </c>
      <c r="Q184" t="n">
        <v>1</v>
      </c>
      <c r="R184" s="2" t="inlineStr">
        <is>
          <t>Pilgrimsfalk</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26080-2024</t>
        </is>
      </c>
      <c r="B185" s="1" t="n">
        <v>45468</v>
      </c>
      <c r="C185" s="1" t="n">
        <v>45691</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45691</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45691</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45691</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45691</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45691</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45691</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45691</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45691</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45691</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45691</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4878-2025</t>
        </is>
      </c>
      <c r="B196" s="1" t="n">
        <v>45688</v>
      </c>
      <c r="C196" s="1" t="n">
        <v>45691</v>
      </c>
      <c r="D196" t="inlineStr">
        <is>
          <t>VÄSTERNORRLANDS LÄN</t>
        </is>
      </c>
      <c r="E196" t="inlineStr">
        <is>
          <t>SUNDSVALL</t>
        </is>
      </c>
      <c r="F196" t="inlineStr">
        <is>
          <t>SCA</t>
        </is>
      </c>
      <c r="G196" t="n">
        <v>4.2</v>
      </c>
      <c r="H196" t="n">
        <v>1</v>
      </c>
      <c r="I196" t="n">
        <v>0</v>
      </c>
      <c r="J196" t="n">
        <v>0</v>
      </c>
      <c r="K196" t="n">
        <v>1</v>
      </c>
      <c r="L196" t="n">
        <v>0</v>
      </c>
      <c r="M196" t="n">
        <v>0</v>
      </c>
      <c r="N196" t="n">
        <v>0</v>
      </c>
      <c r="O196" t="n">
        <v>1</v>
      </c>
      <c r="P196" t="n">
        <v>1</v>
      </c>
      <c r="Q196" t="n">
        <v>1</v>
      </c>
      <c r="R196" s="2" t="inlineStr">
        <is>
          <t>Knärot</t>
        </is>
      </c>
      <c r="S196">
        <f>HYPERLINK("https://klasma.github.io/Logging_2281/artfynd/A 4878-2025 artfynd.xlsx", "A 4878-2025")</f>
        <v/>
      </c>
      <c r="T196">
        <f>HYPERLINK("https://klasma.github.io/Logging_2281/kartor/A 4878-2025 karta.png", "A 4878-2025")</f>
        <v/>
      </c>
      <c r="U196">
        <f>HYPERLINK("https://klasma.github.io/Logging_2281/knärot/A 4878-2025 karta knärot.png", "A 4878-2025")</f>
        <v/>
      </c>
      <c r="V196">
        <f>HYPERLINK("https://klasma.github.io/Logging_2281/klagomål/A 4878-2025 FSC-klagomål.docx", "A 4878-2025")</f>
        <v/>
      </c>
      <c r="W196">
        <f>HYPERLINK("https://klasma.github.io/Logging_2281/klagomålsmail/A 4878-2025 FSC-klagomål mail.docx", "A 4878-2025")</f>
        <v/>
      </c>
      <c r="X196">
        <f>HYPERLINK("https://klasma.github.io/Logging_2281/tillsyn/A 4878-2025 tillsynsbegäran.docx", "A 4878-2025")</f>
        <v/>
      </c>
      <c r="Y196">
        <f>HYPERLINK("https://klasma.github.io/Logging_2281/tillsynsmail/A 4878-2025 tillsynsbegäran mail.docx", "A 4878-2025")</f>
        <v/>
      </c>
    </row>
    <row r="197" ht="15" customHeight="1">
      <c r="A197" t="inlineStr">
        <is>
          <t>A 4896-2025</t>
        </is>
      </c>
      <c r="B197" s="1" t="n">
        <v>45688</v>
      </c>
      <c r="C197" s="1" t="n">
        <v>45691</v>
      </c>
      <c r="D197" t="inlineStr">
        <is>
          <t>VÄSTERNORRLANDS LÄN</t>
        </is>
      </c>
      <c r="E197" t="inlineStr">
        <is>
          <t>SUNDSVALL</t>
        </is>
      </c>
      <c r="F197" t="inlineStr">
        <is>
          <t>SCA</t>
        </is>
      </c>
      <c r="G197" t="n">
        <v>6.9</v>
      </c>
      <c r="H197" t="n">
        <v>0</v>
      </c>
      <c r="I197" t="n">
        <v>1</v>
      </c>
      <c r="J197" t="n">
        <v>0</v>
      </c>
      <c r="K197" t="n">
        <v>0</v>
      </c>
      <c r="L197" t="n">
        <v>0</v>
      </c>
      <c r="M197" t="n">
        <v>0</v>
      </c>
      <c r="N197" t="n">
        <v>0</v>
      </c>
      <c r="O197" t="n">
        <v>0</v>
      </c>
      <c r="P197" t="n">
        <v>0</v>
      </c>
      <c r="Q197" t="n">
        <v>1</v>
      </c>
      <c r="R197" s="2" t="inlineStr">
        <is>
          <t>Tibast</t>
        </is>
      </c>
      <c r="S197">
        <f>HYPERLINK("https://klasma.github.io/Logging_2281/artfynd/A 4896-2025 artfynd.xlsx", "A 4896-2025")</f>
        <v/>
      </c>
      <c r="T197">
        <f>HYPERLINK("https://klasma.github.io/Logging_2281/kartor/A 4896-2025 karta.png", "A 4896-2025")</f>
        <v/>
      </c>
      <c r="U197">
        <f>HYPERLINK("https://klasma.github.io/Logging_2281/knärot/A 4896-2025 karta knärot.png", "A 4896-2025")</f>
        <v/>
      </c>
      <c r="V197">
        <f>HYPERLINK("https://klasma.github.io/Logging_2281/klagomål/A 4896-2025 FSC-klagomål.docx", "A 4896-2025")</f>
        <v/>
      </c>
      <c r="W197">
        <f>HYPERLINK("https://klasma.github.io/Logging_2281/klagomålsmail/A 4896-2025 FSC-klagomål mail.docx", "A 4896-2025")</f>
        <v/>
      </c>
      <c r="X197">
        <f>HYPERLINK("https://klasma.github.io/Logging_2281/tillsyn/A 4896-2025 tillsynsbegäran.docx", "A 4896-2025")</f>
        <v/>
      </c>
      <c r="Y197">
        <f>HYPERLINK("https://klasma.github.io/Logging_2281/tillsynsmail/A 4896-2025 tillsynsbegäran mail.docx", "A 4896-2025")</f>
        <v/>
      </c>
    </row>
    <row r="198" ht="15" customHeight="1">
      <c r="A198" t="inlineStr">
        <is>
          <t>A 4856-2025</t>
        </is>
      </c>
      <c r="B198" s="1" t="n">
        <v>45688</v>
      </c>
      <c r="C198" s="1" t="n">
        <v>45691</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18070-2019</t>
        </is>
      </c>
      <c r="B199" s="1" t="n">
        <v>43557</v>
      </c>
      <c r="C199" s="1" t="n">
        <v>45691</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45691</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45691</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45691</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45691</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45691</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45691</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45691</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45691</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45691</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45691</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45691</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45691</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45691</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45691</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45691</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45691</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45691</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45691</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45691</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45691</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45691</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45691</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45691</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45691</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45691</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45691</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45691</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45691</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45691</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45691</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45691</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45691</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45691</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45691</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45691</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45691</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45691</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45691</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45691</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45691</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45691</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45691</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45691</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45691</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45691</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45691</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45691</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45691</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45691</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45691</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45691</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45691</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45691</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45691</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45691</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45691</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45691</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45691</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45691</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45691</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45691</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45691</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45691</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45691</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45691</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45691</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45691</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45691</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45691</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45691</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45691</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45691</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45691</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45691</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45691</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45691</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45691</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45691</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45691</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45691</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45691</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45691</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45691</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45691</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45691</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45691</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45691</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45691</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45691</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45691</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45691</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45691</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45691</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45691</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45691</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45691</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45691</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45691</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45691</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45691</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45691</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45691</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45691</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45691</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45691</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45691</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45691</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45691</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45691</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45691</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45691</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45691</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45691</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45691</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45691</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45691</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45691</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45691</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45691</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45691</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45691</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45691</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45691</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45691</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45691</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45691</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45691</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45691</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45691</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45691</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45691</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45691</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45691</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45691</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45691</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45691</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45691</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45691</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45691</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45691</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45691</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45691</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45691</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45691</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45691</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45691</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45691</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45691</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45691</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45691</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45691</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45691</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45691</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45691</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45691</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45691</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45691</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45691</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45691</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45691</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45691</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45691</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45691</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45691</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45691</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45691</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45691</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45691</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45691</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45691</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45691</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45691</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45691</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45691</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45691</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45691</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45691</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45691</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45691</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45691</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45691</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45691</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45691</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45691</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45691</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45691</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45691</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45691</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45691</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45691</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45691</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45691</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45691</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45691</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45691</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45691</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45691</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45691</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45691</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45691</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45691</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45691</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45691</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45691</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45691</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45691</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45691</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45691</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45691</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45691</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45691</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45691</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45691</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45691</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45691</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45691</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45691</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45691</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45691</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45691</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45691</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45691</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45691</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45691</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45691</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45691</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45691</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45691</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45691</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45691</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45691</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45691</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45691</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45691</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45691</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45691</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45691</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45691</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45691</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45691</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45691</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45691</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45691</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45691</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45691</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45691</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45691</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45691</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45691</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45691</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45691</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45691</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45691</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45691</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45691</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45691</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45691</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45691</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45691</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45691</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45691</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45691</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45691</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45691</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45691</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45691</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45691</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45691</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45691</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45691</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45691</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45691</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45691</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45691</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45691</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45691</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45691</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45691</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45691</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45691</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45691</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45691</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45691</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45691</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45691</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45691</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45691</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45691</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45691</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45691</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45691</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45691</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45691</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45691</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45691</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45691</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45691</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45691</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45691</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45691</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45691</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45691</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45691</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45691</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45691</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45691</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45691</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45691</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45691</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45691</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45691</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45691</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45691</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45691</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45691</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45691</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45691</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45691</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45691</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45691</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45691</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45691</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45691</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45691</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45691</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45691</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45691</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45691</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45691</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45691</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45691</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45691</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45691</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45691</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45691</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45691</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45691</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45691</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45691</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45691</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45691</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45691</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45691</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45691</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45691</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45691</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45691</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45691</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45691</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45691</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45691</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45691</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45691</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45691</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45691</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45691</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45691</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45691</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45691</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45691</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45691</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45691</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45691</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45691</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45691</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45691</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45691</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45691</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45691</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45691</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45691</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45691</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45691</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45691</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45691</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45691</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45691</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45691</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45691</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45691</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45691</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45691</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45691</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45691</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45691</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45691</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45691</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45691</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45691</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45691</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45691</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45691</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45691</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45691</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45691</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45691</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45691</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45691</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45691</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45691</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45691</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45691</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45691</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45691</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45691</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45691</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45691</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45691</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45691</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45691</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45691</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45691</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45691</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45691</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45691</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45691</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45691</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45691</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45691</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45691</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45691</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45691</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45691</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45691</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45691</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45691</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45691</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45691</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45691</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45691</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45691</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45691</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45691</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45691</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45691</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45691</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45691</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45691</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45691</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45691</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45691</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45691</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45691</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45691</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45691</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45691</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45691</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45691</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45691</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45691</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45691</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45691</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45691</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45691</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45691</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45691</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45691</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45691</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45691</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45691</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45691</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45691</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45691</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45691</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45691</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45691</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45691</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45691</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45691</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45691</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45691</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45691</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45691</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45691</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45691</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45691</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45691</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45691</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45691</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45691</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45691</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45691</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45691</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45691</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45691</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45691</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45691</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45691</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45691</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45691</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45691</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45691</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45691</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45691</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45691</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45691</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45691</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45691</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45691</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45691</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45691</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45691</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45691</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45691</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45691</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45691</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45691</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45691</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45691</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45691</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45691</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45691</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45691</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45691</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45691</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45691</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45691</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45691</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45691</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45691</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45691</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45691</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45691</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45691</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45691</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45691</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45691</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45691</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45691</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45691</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45691</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45691</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45691</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45691</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45691</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45691</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45691</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45691</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45691</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45691</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45691</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45691</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45691</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45691</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45691</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45691</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45691</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45691</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45691</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45691</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45691</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45691</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45691</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45691</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45691</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45691</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45691</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45691</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45691</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45691</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45691</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45691</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45691</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45691</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45691</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45691</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45691</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45691</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45691</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45691</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45691</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45691</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45691</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45691</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45691</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45691</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45691</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45691</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45691</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45691</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45691</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45691</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45691</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45691</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45691</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45691</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45691</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45691</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45691</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45691</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45691</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45691</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45691</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45691</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45691</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45691</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45691</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45691</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45691</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45691</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45691</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45691</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45691</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45691</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45691</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45691</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45691</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45691</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45691</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45691</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45691</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45691</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45691</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45691</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45691</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45691</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45691</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45691</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45691</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45691</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45691</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45691</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45691</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45691</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45691</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45691</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45691</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45691</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45691</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45691</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45691</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45691</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45691</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45691</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45691</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45691</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45691</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45691</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45691</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45691</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45691</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45691</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45691</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45691</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45691</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45691</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45691</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45691</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45691</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45691</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45691</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45691</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45691</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45691</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45691</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45691</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45691</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45691</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45691</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45691</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45691</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45691</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45691</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45691</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45691</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45691</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45691</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45691</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45691</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45691</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45691</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45691</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45691</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45691</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45691</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45691</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45691</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45691</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45691</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45691</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45691</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45691</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45691</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45691</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45691</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45691</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45691</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45691</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45691</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45691</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45691</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45691</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45691</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45691</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45691</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45691</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45691</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45691</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45691</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45691</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45691</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45691</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45691</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45691</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45691</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45691</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45691</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45691</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45691</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45691</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45691</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45691</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45691</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45691</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45691</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45691</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45691</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45691</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45691</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45691</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45691</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45691</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45691</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45691</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45691</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45691</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45691</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45691</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45691</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45691</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45691</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45691</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45691</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45691</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45691</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45691</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45691</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45691</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45691</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45691</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45691</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45691</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45691</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45691</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45691</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45691</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45691</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45691</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45691</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45691</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45691</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45691</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45691</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45691</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45691</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45691</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45691</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45691</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45691</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45691</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45691</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45691</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45691</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45691</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45691</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45691</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45691</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45691</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45691</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45691</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45691</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45691</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45691</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45691</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45691</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45691</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45691</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45691</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45691</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45691</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45691</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45691</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45691</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45691</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45691</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45691</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45691</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45691</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45691</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45691</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45691</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45691</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45691</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45691</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45691</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45691</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45691</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45691</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45691</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45691</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45691</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45691</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45691</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45691</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45691</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45691</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45691</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45691</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45691</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45691</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45691</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45691</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45691</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45691</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45691</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45691</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45691</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45691</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45691</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45691</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45691</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45691</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45691</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45691</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45691</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45691</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45691</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45691</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45691</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45691</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45691</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45691</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45691</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45691</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45691</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45691</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45691</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45691</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45691</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45691</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45691</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45691</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45691</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45691</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45691</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45691</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45691</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45691</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45691</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45691</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45691</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45691</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45691</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45691</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45691</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45691</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45691</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45691</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45691</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45691</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45691</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45691</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45691</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45691</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45691</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45691</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45691</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45691</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45691</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45691</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45691</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45691</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45691</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45691</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45691</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45691</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45691</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45691</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45691</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45691</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45691</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45691</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45691</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45691</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45691</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45691</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45691</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45691</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45691</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45691</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45691</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45691</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45691</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45691</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45691</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45691</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45691</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45691</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45691</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45691</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45691</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45691</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45691</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45691</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45691</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45691</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45691</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45691</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45691</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45691</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45691</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45691</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45691</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45691</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45691</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45691</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45691</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45691</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45691</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45691</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45691</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45691</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45691</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45691</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45691</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45691</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45691</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45691</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45691</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45691</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45691</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45691</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45691</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45691</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45691</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45691</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45691</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45691</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45691</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45691</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45691</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45691</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45691</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45691</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45691</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45691</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45691</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45691</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45691</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45691</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45691</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45691</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45691</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45691</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45691</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45691</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45691</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45691</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45691</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45691</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45691</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45691</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45691</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45691</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45691</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45691</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45691</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45691</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45691</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45691</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45691</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45691</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45691</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45691</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45691</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45691</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45691</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45691</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45691</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45691</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45691</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45691</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45691</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45691</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45691</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45691</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45691</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45691</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45691</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45691</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45691</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45691</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45691</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45691</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45691</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45691</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45691</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45691</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45691</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45691</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45691</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45691</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45691</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45691</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45691</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45691</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45691</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45691</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45691</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45691</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45691</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45691</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45691</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45691</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45691</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45691</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45691</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45691</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45691</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45691</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45691</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45691</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45691</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45691</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45691</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45691</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45691</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45691</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45691</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45691</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45691</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45691</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45691</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45691</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45691</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45691</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45691</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45691</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45691</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45691</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45691</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45691</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45691</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45691</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45691</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45691</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45691</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45691</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45691</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45691</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45691</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45691</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45691</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45691</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45691</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45691</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45691</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45691</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45691</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45691</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45691</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45691</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45691</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45691</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45691</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45691</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45691</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45691</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45691</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45691</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45691</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45691</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45691</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45691</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45691</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45691</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45691</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45691</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45691</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45691</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45691</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45691</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45691</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45691</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45691</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45691</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45691</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45691</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45691</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45691</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45691</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45691</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45691</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45691</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45691</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45691</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45691</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45691</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45691</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45691</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45691</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45691</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45691</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45691</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45691</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45691</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45691</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45691</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45691</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45691</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45691</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45691</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45691</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45691</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45691</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45691</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45691</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45691</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45691</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45691</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45691</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45691</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45691</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45691</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45691</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45691</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45691</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45691</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45691</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45691</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45691</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45691</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45691</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45691</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45691</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45691</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45691</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45691</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45691</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45691</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45691</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45691</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45691</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45691</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45691</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45691</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45691</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45691</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45691</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45691</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45691</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45691</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45691</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45691</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45691</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45691</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45691</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45691</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45691</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45691</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45691</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45691</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45691</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45691</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45691</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45691</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45691</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45691</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45691</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45691</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45691</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45691</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45691</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45691</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45691</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45691</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45691</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45691</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45691</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45691</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45691</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45691</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45691</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45691</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45691</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45691</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45691</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45691</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45691</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45691</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45691</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45691</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45691</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45691</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45691</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45691</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45691</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45691</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45691</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45691</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45691</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45691</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45691</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45691</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45691</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45691</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45691</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45691</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45691</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45691</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45691</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45691</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45691</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45691</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45691</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45691</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45691</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45691</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45691</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45691</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45691</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45691</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45691</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45691</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45691</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45691</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45691</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45691</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45691</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45691</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45691</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45691</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45691</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45691</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45691</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45691</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45691</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45691</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45691</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45691</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45691</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45691</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45691</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45691</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45691</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45691</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45691</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45691</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45691</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45691</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45691</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45691</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45691</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45691</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45691</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45691</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45691</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45691</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45691</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45691</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45691</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45691</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45691</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45691</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45691</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45691</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45691</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45691</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45691</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45691</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45691</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45691</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45691</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45691</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45691</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45691</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45691</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45691</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45691</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45691</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45691</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45691</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45691</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45691</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45691</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45691</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45691</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45691</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45691</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45691</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45691</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45691</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45691</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45691</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45691</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45691</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45691</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45691</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45691</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45691</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45691</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45691</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45691</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45691</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45691</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45691</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45691</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45691</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45691</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45691</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45691</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45691</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45691</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45691</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45691</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45691</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45691</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45691</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45691</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45691</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45691</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45691</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45691</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45691</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45691</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45691</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45691</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45691</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45691</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45691</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45691</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45691</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45691</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45691</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45691</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45691</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45691</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45691</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45691</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45691</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45691</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45691</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45691</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45691</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45691</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45691</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45691</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45691</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45691</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45691</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45691</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45691</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45691</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45691</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45691</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45691</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45691</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45691</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45691</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45691</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45691</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45691</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45691</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45691</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45691</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45691</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45691</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45691</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45691</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45691</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45691</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45691</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45691</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45691</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45691</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45691</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45691</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45691</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45691</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45691</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45691</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45691</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45691</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45691</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45691</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45691</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45691</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45691</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45691</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45691</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45691</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45691</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45691</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45691</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45691</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45691</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45691</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45691</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45691</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45691</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45691</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45691</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45691</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45691</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45691</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45691</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45691</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45691</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45691</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45691</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45691</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45691</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45691</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45691</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45691</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45691</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45691</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45691</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45691</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45691</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45691</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45691</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45691</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45691</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45691</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45691</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45691</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45691</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45691</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45691</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45691</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45691</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45691</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45691</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45691</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45691</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45691</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45691</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45691</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45691</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45691</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45691</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45691</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45691</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45691</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45691</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45691</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45691</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45691</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45691</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45691</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45691</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45691</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45691</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45691</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45691</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45691</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45691</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45691</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45691</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45691</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45691</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45691</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45691</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45691</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45691</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45691</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45691</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45691</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45691</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45691</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45691</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45691</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45691</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45691</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45691</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45691</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45691</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45691</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45691</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45691</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45691</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45691</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45691</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45691</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45691</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45691</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45691</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45691</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45691</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45691</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45691</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45691</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45691</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45691</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45691</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45691</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45691</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45691</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45691</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45691</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45691</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45691</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45691</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45691</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45691</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45691</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45691</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45691</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45691</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45691</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45691</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45691</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45691</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45691</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45691</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45691</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45691</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45691</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45691</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45691</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45691</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45691</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45691</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45691</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45691</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45691</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45691</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45691</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45691</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45691</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45691</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45691</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45691</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45691</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45691</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45691</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45691</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45691</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45691</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45691</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45691</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45691</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45691</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45691</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45691</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45691</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45691</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45691</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45691</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45691</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45691</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45691</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45691</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45691</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45691</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45691</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45691</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45691</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45691</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45691</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45691</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45691</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45691</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45691</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45691</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45691</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45691</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45691</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45691</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45691</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45691</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45691</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45691</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45691</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45691</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45691</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45691</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45691</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45691</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45691</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45691</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45691</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45691</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45691</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45691</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45691</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45691</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45691</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45691</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45691</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45691</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45691</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45691</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45691</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45691</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45691</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45691</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45691</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45691</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45691</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45691</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45691</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45691</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45691</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45691</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45691</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45691</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45691</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45691</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45691</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45691</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45691</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45691</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45691</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45691</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45691</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45691</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45691</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45691</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45691</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45691</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45691</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45691</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45691</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45691</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45691</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45691</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45691</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45691</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45691</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45691</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45691</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45691</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45691</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45691</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45691</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45691</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45691</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45691</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45691</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45691</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45691</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45691</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45691</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45691</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45691</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45691</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45691</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45691</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45691</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45691</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45691</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45691</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45691</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45691</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45691</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45691</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45691</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45691</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45691</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45691</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45691</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45691</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45691</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45691</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45691</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45691</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45691</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45691</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45691</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45691</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45691</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45691</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45691</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45691</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45691</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45691</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45691</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45691</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45691</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45691</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45691</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45691</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45691</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45691</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45691</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45691</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45691</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45691</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45691</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45691</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45691</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45691</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45691</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45691</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45691</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45691</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45691</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45691</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45691</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45691</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45691</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45691</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45691</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45691</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45691</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45691</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45691</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45691</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45691</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45691</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45691</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45691</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45691</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45691</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45691</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45691</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45691</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45691</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45691</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45691</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45691</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45691</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45691</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45691</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45691</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45691</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45691</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45691</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45691</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45691</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45691</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45691</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45691</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45691</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45691</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45691</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45691</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45691</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45691</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45691</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45691</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45691</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45691</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45691</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45691</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45691</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45691</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45691</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45691</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45691</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45691</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45691</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45691</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45691</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45691</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45691</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45691</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45691</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45691</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45691</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45691</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45691</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45691</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45691</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45691</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45691</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45691</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45691</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45691</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45691</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45691</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45691</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45691</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45691</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45691</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45691</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45691</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45691</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45691</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45691</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45691</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45691</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45691</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45691</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45691</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45691</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45691</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45691</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45691</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45691</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45691</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45691</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45691</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45691</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45691</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45691</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45691</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45691</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45691</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45691</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45691</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45691</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45691</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45691</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45691</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45691</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45691</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45691</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45691</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45691</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45691</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45691</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45691</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45691</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45691</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45691</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45691</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45691</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45691</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45691</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45691</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45691</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45691</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45691</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45691</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45691</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45691</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45691</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45691</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45691</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45691</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45691</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45691</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45691</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45691</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45691</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45691</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45691</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45691</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45691</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45691</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45691</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45691</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45691</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45691</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45691</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45691</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45691</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45691</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45691</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45691</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45691</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45691</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45691</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45691</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45691</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45691</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45691</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45691</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45691</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45691</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45691</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45691</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45691</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45691</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45691</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45691</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45691</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45691</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45691</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45691</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45691</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45691</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45691</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45691</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45691</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45691</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45691</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45691</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45691</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45691</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45691</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45691</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45691</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45691</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45691</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45691</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45691</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45691</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45691</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45691</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45691</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45691</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45691</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45691</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45691</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45691</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45691</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45691</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45691</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45691</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45691</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45691</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45691</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45691</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45691</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45691</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45691</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45691</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45691</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45691</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45691</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45691</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45691</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45691</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45691</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45691</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45691</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45691</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45691</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45691</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45691</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45691</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45691</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45691</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45691</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45691</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45691</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45691</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45691</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45691</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45691</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45691</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45691</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45691</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45691</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45691</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45691</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45691</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45691</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45691</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45691</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45691</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45691</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45691</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45691</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45691</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45691</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45691</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45691</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45691</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45691</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45691</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45691</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45691</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45691</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45691</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45691</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45691</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45691</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45691</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45691</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45691</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45691</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45691</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45691</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45691</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45691</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45691</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45691</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45691</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45691</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45691</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45691</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45691</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45691</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45691</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45691</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45691</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45691</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45691</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45691</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45691</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45691</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45691</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45691</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45691</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45691</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45691</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45691</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45691</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45691</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45691</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45691</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45691</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45691</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45691</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45691</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45691</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45691</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45691</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45691</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45691</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45691</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45691</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45691</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45691</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45691</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45691</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45691</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45691</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45691</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45691</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45691</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45691</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45691</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45691</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45691</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45691</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45691</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45691</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45691</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45691</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45691</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45691</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45691</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45691</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45691</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45691</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45691</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45691</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45691</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45691</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45691</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45691</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45691</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45691</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45691</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45691</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45691</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45691</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45691</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45691</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45691</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45691</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45691</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45691</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45691</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45691</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45691</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45691</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45691</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45691</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45691</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45691</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45691</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45691</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45691</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45691</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45691</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45691</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45691</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45691</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45691</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45691</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45691</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45691</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45691</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45691</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45691</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45691</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45691</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45691</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45691</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45691</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45691</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45691</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45691</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45691</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45691</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45691</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45691</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45691</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45691</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45691</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45691</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45691</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45691</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45691</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45691</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45691</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45691</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45691</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45691</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45691</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45691</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45691</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45691</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45691</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45691</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45691</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45691</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45691</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45691</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45691</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45691</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45691</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45691</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45691</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45691</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45691</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45691</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45691</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45691</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45691</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45691</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45691</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45691</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45691</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45691</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45691</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45691</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45691</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45691</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45691</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45691</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45691</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45691</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45691</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45691</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45691</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45691</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45691</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45691</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45691</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45691</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45691</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45691</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45691</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45691</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45691</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45691</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45691</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45691</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45691</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45691</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45691</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45691</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45691</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45691</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45691</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45691</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45691</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45691</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45691</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45691</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45691</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45691</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45691</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45691</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45691</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45691</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45691</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45691</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45691</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45691</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45691</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45691</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45691</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45691</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45691</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45691</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45691</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45691</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45691</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45691</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45691</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45691</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45691</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45691</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45691</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45691</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45691</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45691</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45691</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45691</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45691</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45691</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45691</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45691</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45691</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45691</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45691</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45691</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45691</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45691</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45691</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45691</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45691</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45691</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45691</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45691</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45691</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45691</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45691</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45691</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45691</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45691</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45691</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45691</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45691</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45691</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45691</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45691</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45691</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45691</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45691</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45691</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45691</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45691</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45691</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45691</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45691</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45691</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45691</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45691</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45691</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45691</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45691</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45691</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45691</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45691</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45691</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45691</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45691</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45691</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45691</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45691</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45691</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45691</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45691</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45691</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45691</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45691</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45691</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45691</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45691</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45691</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45691</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45691</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45691</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45691</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45691</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45691</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45691</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45691</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45691</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45691</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45691</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45691</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45691</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45691</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45691</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45691</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45691</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45691</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45691</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45691</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45691</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45691</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45691</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45691</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45691</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45691</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45691</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45691</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45691</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45691</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45691</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45691</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45691</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45691</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45691</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45691</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45691</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45691</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45691</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45691</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45691</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45691</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45691</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45691</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45691</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45691</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45691</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45691</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45691</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45691</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45691</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45691</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45691</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45691</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45691</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45691</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45691</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45691</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45691</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45691</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45691</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45691</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45691</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45691</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45691</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45691</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45691</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45691</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45691</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45691</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45691</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45691</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45691</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45691</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45691</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45691</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45691</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45691</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45691</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45691</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45691</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45691</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45691</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45691</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45691</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45691</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45691</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45691</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45691</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45691</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45691</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45691</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45691</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45691</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45691</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45691</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45691</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45691</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45691</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45691</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45691</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45691</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45691</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45691</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45691</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45691</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45691</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45691</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45691</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45691</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45691</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45691</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45691</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45691</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45691</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45691</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45691</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45691</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45691</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45691</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45691</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45691</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45691</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45691</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45691</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45691</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45691</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45691</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45691</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45691</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45691</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45691</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45691</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45691</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45691</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45691</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45691</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45691</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45691</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45691</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45691</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45691</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45691</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45691</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45691</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45691</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45691</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45691</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45691</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45691</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45691</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45691</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45691</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45691</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45691</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45691</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45691</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45691</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45691</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45691</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45691</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45691</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45691</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45691</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45691</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45691</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45691</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45691</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45691</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45691</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45691</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45691</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45691</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45691</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45691</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45691</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45691</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45691</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45691</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45691</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45691</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45691</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45691</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45691</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45691</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45691</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45691</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45691</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45691</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45691</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45691</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45691</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45691</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45691</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45691</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45691</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45691</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45691</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45691</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45691</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45691</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45691</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45691</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45691</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45691</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45691</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45691</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45691</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45691</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45691</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45691</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45691</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45691</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45691</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45691</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45691</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45691</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45691</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45691</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45691</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45691</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45691</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45691</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45691</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45691</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45691</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45691</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45691</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45691</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45691</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45691</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45691</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45691</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45691</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45691</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45691</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45691</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45691</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45691</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45691</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45691</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45691</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45691</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45691</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45691</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45691</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45691</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45691</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45691</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45691</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45691</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45691</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45691</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45691</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45691</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45691</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45691</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45691</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45691</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45691</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45691</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45691</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45691</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45691</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45691</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45691</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45691</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45691</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45691</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45691</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45691</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45691</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45691</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45691</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45691</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45691</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45691</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45691</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45691</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45691</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45691</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45691</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45691</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45691</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45691</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45691</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45691</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45691</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45691</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45691</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45691</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45691</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45691</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45691</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45691</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45691</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45691</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45691</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45691</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45691</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45691</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45691</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45691</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45691</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45691</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45691</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45691</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45691</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45691</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45691</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45691</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45691</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45691</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45691</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45691</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45691</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45691</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45691</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45691</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45691</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45691</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45691</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45691</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45691</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45691</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45691</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45691</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45691</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45691</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45691</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45691</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45691</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45691</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45691</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45691</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45691</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45691</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45691</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45691</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45691</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45691</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45691</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45691</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45691</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45691</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45691</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45691</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45691</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45691</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45691</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45691</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45691</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45691</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45691</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45691</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45691</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45691</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45691</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45691</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45691</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45691</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45691</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45691</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45691</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45691</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45691</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45691</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45691</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45691</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45691</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45691</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45691</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45691</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45691</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45691</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45691</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45691</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45691</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45691</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45691</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45691</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45691</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45691</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45691</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45691</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45691</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45691</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45691</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45691</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45691</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45691</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45691</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45691</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45691</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45691</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45691</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45691</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45691</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45691</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45691</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45691</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45691</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45691</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45691</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45691</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45691</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45691</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45691</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45691</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45691</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45691</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45691</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45691</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45691</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45691</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45691</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45691</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45691</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45691</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45691</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45691</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45691</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45691</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45691</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45691</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45691</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45691</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45691</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45691</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45691</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45691</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45691</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45691</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45691</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45691</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45691</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45691</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45691</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45691</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45691</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45691</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45691</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45691</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45691</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45691</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45691</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45691</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45691</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45691</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45691</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45691</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45691</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45691</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45691</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45691</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45691</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45691</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45691</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45691</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45691</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45691</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45691</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45691</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45691</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45691</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45691</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45691</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45691</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45691</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45691</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45691</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45691</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45691</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45691</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45691</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45691</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45691</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45691</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45691</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45691</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45691</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45691</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45691</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45691</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45691</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45691</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45691</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45691</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45691</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45691</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45691</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45691</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45691</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45691</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45691</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45691</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45691</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45691</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45691</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45691</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45691</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45691</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45691</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45691</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45691</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45691</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45691</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45691</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45691</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45691</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45691</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45691</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45691</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45691</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45691</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45691</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45691</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45691</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45691</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45691</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45691</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45691</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45691</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45691</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45691</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45691</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45691</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45691</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45691</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45691</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381-2025</t>
        </is>
      </c>
      <c r="B2980" s="1" t="n">
        <v>45662</v>
      </c>
      <c r="C2980" s="1" t="n">
        <v>45691</v>
      </c>
      <c r="D2980" t="inlineStr">
        <is>
          <t>VÄSTERNORRLANDS LÄN</t>
        </is>
      </c>
      <c r="E2980" t="inlineStr">
        <is>
          <t>SUNDSVALL</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382-2025</t>
        </is>
      </c>
      <c r="B2981" s="1" t="n">
        <v>45662</v>
      </c>
      <c r="C2981" s="1" t="n">
        <v>45691</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45691</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623-2025</t>
        </is>
      </c>
      <c r="B2983" s="1" t="n">
        <v>45664</v>
      </c>
      <c r="C2983" s="1" t="n">
        <v>45691</v>
      </c>
      <c r="D2983" t="inlineStr">
        <is>
          <t>VÄSTERNORRLANDS LÄN</t>
        </is>
      </c>
      <c r="E2983" t="inlineStr">
        <is>
          <t>SUNDSVALL</t>
        </is>
      </c>
      <c r="F2983" t="inlineStr">
        <is>
          <t>SCA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532-2025</t>
        </is>
      </c>
      <c r="B2984" s="1" t="n">
        <v>45664</v>
      </c>
      <c r="C2984" s="1" t="n">
        <v>45691</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730-2025</t>
        </is>
      </c>
      <c r="B2985" s="1" t="n">
        <v>45665</v>
      </c>
      <c r="C2985" s="1" t="n">
        <v>45691</v>
      </c>
      <c r="D2985" t="inlineStr">
        <is>
          <t>VÄSTERNORRLANDS LÄN</t>
        </is>
      </c>
      <c r="E2985" t="inlineStr">
        <is>
          <t>SUNDSVALL</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715-2025</t>
        </is>
      </c>
      <c r="B2986" s="1" t="n">
        <v>45665</v>
      </c>
      <c r="C2986" s="1" t="n">
        <v>45691</v>
      </c>
      <c r="D2986" t="inlineStr">
        <is>
          <t>VÄSTERNORRLANDS LÄN</t>
        </is>
      </c>
      <c r="E2986" t="inlineStr">
        <is>
          <t>SUNDSVALL</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965-2025</t>
        </is>
      </c>
      <c r="B2987" s="1" t="n">
        <v>45666</v>
      </c>
      <c r="C2987" s="1" t="n">
        <v>45691</v>
      </c>
      <c r="D2987" t="inlineStr">
        <is>
          <t>VÄSTERNORRLANDS LÄN</t>
        </is>
      </c>
      <c r="E2987" t="inlineStr">
        <is>
          <t>SUNDSVALL</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974-2025</t>
        </is>
      </c>
      <c r="B2988" s="1" t="n">
        <v>45666</v>
      </c>
      <c r="C2988" s="1" t="n">
        <v>45691</v>
      </c>
      <c r="D2988" t="inlineStr">
        <is>
          <t>VÄSTERNORRLANDS LÄN</t>
        </is>
      </c>
      <c r="E2988" t="inlineStr">
        <is>
          <t>SUNDSVALL</t>
        </is>
      </c>
      <c r="F2988" t="inlineStr">
        <is>
          <t>SCA</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1116-2025</t>
        </is>
      </c>
      <c r="B2989" s="1" t="n">
        <v>45666</v>
      </c>
      <c r="C2989" s="1" t="n">
        <v>45691</v>
      </c>
      <c r="D2989" t="inlineStr">
        <is>
          <t>VÄSTERNORRLANDS LÄN</t>
        </is>
      </c>
      <c r="E2989" t="inlineStr">
        <is>
          <t>SUNDSVALL</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45691</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45691</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45691</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45691</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45691</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45691</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45691</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45691</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45691</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45691</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2427-2025</t>
        </is>
      </c>
      <c r="B3000" s="1" t="n">
        <v>45674</v>
      </c>
      <c r="C3000" s="1" t="n">
        <v>45691</v>
      </c>
      <c r="D3000" t="inlineStr">
        <is>
          <t>VÄSTERNORRLANDS LÄN</t>
        </is>
      </c>
      <c r="E3000" t="inlineStr">
        <is>
          <t>SUNDSVALL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2494-2025</t>
        </is>
      </c>
      <c r="B3001" s="1" t="n">
        <v>45674</v>
      </c>
      <c r="C3001" s="1" t="n">
        <v>45691</v>
      </c>
      <c r="D3001" t="inlineStr">
        <is>
          <t>VÄSTERNORRLANDS LÄN</t>
        </is>
      </c>
      <c r="E3001" t="inlineStr">
        <is>
          <t>SUNDSVALL</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2493-2025</t>
        </is>
      </c>
      <c r="B3002" s="1" t="n">
        <v>45674</v>
      </c>
      <c r="C3002" s="1" t="n">
        <v>45691</v>
      </c>
      <c r="D3002" t="inlineStr">
        <is>
          <t>VÄSTERNORRLANDS LÄN</t>
        </is>
      </c>
      <c r="E3002" t="inlineStr">
        <is>
          <t>SUNDSVALL</t>
        </is>
      </c>
      <c r="F3002" t="inlineStr">
        <is>
          <t>SCA</t>
        </is>
      </c>
      <c r="G3002" t="n">
        <v>39.6</v>
      </c>
      <c r="H3002" t="n">
        <v>0</v>
      </c>
      <c r="I3002" t="n">
        <v>0</v>
      </c>
      <c r="J3002" t="n">
        <v>0</v>
      </c>
      <c r="K3002" t="n">
        <v>0</v>
      </c>
      <c r="L3002" t="n">
        <v>0</v>
      </c>
      <c r="M3002" t="n">
        <v>0</v>
      </c>
      <c r="N3002" t="n">
        <v>0</v>
      </c>
      <c r="O3002" t="n">
        <v>0</v>
      </c>
      <c r="P3002" t="n">
        <v>0</v>
      </c>
      <c r="Q3002" t="n">
        <v>0</v>
      </c>
      <c r="R3002" s="2" t="inlineStr"/>
    </row>
    <row r="3003" ht="15" customHeight="1">
      <c r="A3003" t="inlineStr">
        <is>
          <t>A 2577-2025</t>
        </is>
      </c>
      <c r="B3003" s="1" t="n">
        <v>45674</v>
      </c>
      <c r="C3003" s="1" t="n">
        <v>45691</v>
      </c>
      <c r="D3003" t="inlineStr">
        <is>
          <t>VÄSTERNORRLANDS LÄN</t>
        </is>
      </c>
      <c r="E3003" t="inlineStr">
        <is>
          <t>SUNDSVALL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2585-2025</t>
        </is>
      </c>
      <c r="B3004" s="1" t="n">
        <v>45674</v>
      </c>
      <c r="C3004" s="1" t="n">
        <v>45691</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45691</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45691</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2591-2025</t>
        </is>
      </c>
      <c r="B3007" s="1" t="n">
        <v>45674</v>
      </c>
      <c r="C3007" s="1" t="n">
        <v>45691</v>
      </c>
      <c r="D3007" t="inlineStr">
        <is>
          <t>VÄSTERNORRLANDS LÄN</t>
        </is>
      </c>
      <c r="E3007" t="inlineStr">
        <is>
          <t>SUNDSVALL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2595-2025</t>
        </is>
      </c>
      <c r="B3008" s="1" t="n">
        <v>45674</v>
      </c>
      <c r="C3008" s="1" t="n">
        <v>45691</v>
      </c>
      <c r="D3008" t="inlineStr">
        <is>
          <t>VÄSTERNORRLANDS LÄN</t>
        </is>
      </c>
      <c r="E3008" t="inlineStr">
        <is>
          <t>SUNDSVALL</t>
        </is>
      </c>
      <c r="F3008" t="inlineStr">
        <is>
          <t>Kommuner</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2711-2025</t>
        </is>
      </c>
      <c r="B3009" s="1" t="n">
        <v>45677</v>
      </c>
      <c r="C3009" s="1" t="n">
        <v>45691</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2779-2025</t>
        </is>
      </c>
      <c r="B3010" s="1" t="n">
        <v>45677</v>
      </c>
      <c r="C3010" s="1" t="n">
        <v>45691</v>
      </c>
      <c r="D3010" t="inlineStr">
        <is>
          <t>VÄSTERNORRLANDS LÄN</t>
        </is>
      </c>
      <c r="E3010" t="inlineStr">
        <is>
          <t>SUNDSVALL</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2785-2025</t>
        </is>
      </c>
      <c r="B3011" s="1" t="n">
        <v>45677</v>
      </c>
      <c r="C3011" s="1" t="n">
        <v>45691</v>
      </c>
      <c r="D3011" t="inlineStr">
        <is>
          <t>VÄSTERNORRLANDS LÄN</t>
        </is>
      </c>
      <c r="E3011" t="inlineStr">
        <is>
          <t>SUNDSVALL</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2831-2025</t>
        </is>
      </c>
      <c r="B3012" s="1" t="n">
        <v>45677</v>
      </c>
      <c r="C3012" s="1" t="n">
        <v>45691</v>
      </c>
      <c r="D3012" t="inlineStr">
        <is>
          <t>VÄSTERNORRLANDS LÄN</t>
        </is>
      </c>
      <c r="E3012" t="inlineStr">
        <is>
          <t>SUNDSVALL</t>
        </is>
      </c>
      <c r="G3012" t="n">
        <v>14.5</v>
      </c>
      <c r="H3012" t="n">
        <v>0</v>
      </c>
      <c r="I3012" t="n">
        <v>0</v>
      </c>
      <c r="J3012" t="n">
        <v>0</v>
      </c>
      <c r="K3012" t="n">
        <v>0</v>
      </c>
      <c r="L3012" t="n">
        <v>0</v>
      </c>
      <c r="M3012" t="n">
        <v>0</v>
      </c>
      <c r="N3012" t="n">
        <v>0</v>
      </c>
      <c r="O3012" t="n">
        <v>0</v>
      </c>
      <c r="P3012" t="n">
        <v>0</v>
      </c>
      <c r="Q3012" t="n">
        <v>0</v>
      </c>
      <c r="R3012" s="2" t="inlineStr"/>
    </row>
    <row r="3013" ht="15" customHeight="1">
      <c r="A3013" t="inlineStr">
        <is>
          <t>A 2881-2025</t>
        </is>
      </c>
      <c r="B3013" s="1" t="n">
        <v>45677</v>
      </c>
      <c r="C3013" s="1" t="n">
        <v>45691</v>
      </c>
      <c r="D3013" t="inlineStr">
        <is>
          <t>VÄSTERNORRLANDS LÄN</t>
        </is>
      </c>
      <c r="E3013" t="inlineStr">
        <is>
          <t>SUNDSVALL</t>
        </is>
      </c>
      <c r="F3013" t="inlineStr">
        <is>
          <t>SCA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2834-2025</t>
        </is>
      </c>
      <c r="B3014" s="1" t="n">
        <v>45677</v>
      </c>
      <c r="C3014" s="1" t="n">
        <v>45691</v>
      </c>
      <c r="D3014" t="inlineStr">
        <is>
          <t>VÄSTERNORRLANDS LÄN</t>
        </is>
      </c>
      <c r="E3014" t="inlineStr">
        <is>
          <t>SUNDSVALL</t>
        </is>
      </c>
      <c r="F3014" t="inlineStr">
        <is>
          <t>SCA</t>
        </is>
      </c>
      <c r="G3014" t="n">
        <v>28.4</v>
      </c>
      <c r="H3014" t="n">
        <v>0</v>
      </c>
      <c r="I3014" t="n">
        <v>0</v>
      </c>
      <c r="J3014" t="n">
        <v>0</v>
      </c>
      <c r="K3014" t="n">
        <v>0</v>
      </c>
      <c r="L3014" t="n">
        <v>0</v>
      </c>
      <c r="M3014" t="n">
        <v>0</v>
      </c>
      <c r="N3014" t="n">
        <v>0</v>
      </c>
      <c r="O3014" t="n">
        <v>0</v>
      </c>
      <c r="P3014" t="n">
        <v>0</v>
      </c>
      <c r="Q3014" t="n">
        <v>0</v>
      </c>
      <c r="R3014" s="2" t="inlineStr"/>
    </row>
    <row r="3015" ht="15" customHeight="1">
      <c r="A3015" t="inlineStr">
        <is>
          <t>A 2880-2025</t>
        </is>
      </c>
      <c r="B3015" s="1" t="n">
        <v>45677</v>
      </c>
      <c r="C3015" s="1" t="n">
        <v>45691</v>
      </c>
      <c r="D3015" t="inlineStr">
        <is>
          <t>VÄSTERNORRLANDS LÄN</t>
        </is>
      </c>
      <c r="E3015" t="inlineStr">
        <is>
          <t>SUNDSVALL</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2959-2025</t>
        </is>
      </c>
      <c r="B3016" s="1" t="n">
        <v>45678</v>
      </c>
      <c r="C3016" s="1" t="n">
        <v>45691</v>
      </c>
      <c r="D3016" t="inlineStr">
        <is>
          <t>VÄSTERNORRLANDS LÄN</t>
        </is>
      </c>
      <c r="E3016" t="inlineStr">
        <is>
          <t>SUNDSVALL</t>
        </is>
      </c>
      <c r="F3016" t="inlineStr">
        <is>
          <t>SCA</t>
        </is>
      </c>
      <c r="G3016" t="n">
        <v>21.5</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45691</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3214-2025</t>
        </is>
      </c>
      <c r="B3018" s="1" t="n">
        <v>45679</v>
      </c>
      <c r="C3018" s="1" t="n">
        <v>45691</v>
      </c>
      <c r="D3018" t="inlineStr">
        <is>
          <t>VÄSTERNORRLANDS LÄN</t>
        </is>
      </c>
      <c r="E3018" t="inlineStr">
        <is>
          <t>SUNDSVALL</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3217-2025</t>
        </is>
      </c>
      <c r="B3019" s="1" t="n">
        <v>45679</v>
      </c>
      <c r="C3019" s="1" t="n">
        <v>45691</v>
      </c>
      <c r="D3019" t="inlineStr">
        <is>
          <t>VÄSTERNORRLANDS LÄN</t>
        </is>
      </c>
      <c r="E3019" t="inlineStr">
        <is>
          <t>SUNDSVALL</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45691</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3232-2025</t>
        </is>
      </c>
      <c r="B3021" s="1" t="n">
        <v>45679</v>
      </c>
      <c r="C3021" s="1" t="n">
        <v>45691</v>
      </c>
      <c r="D3021" t="inlineStr">
        <is>
          <t>VÄSTERNORRLANDS LÄN</t>
        </is>
      </c>
      <c r="E3021" t="inlineStr">
        <is>
          <t>SUNDSVALL</t>
        </is>
      </c>
      <c r="F3021" t="inlineStr">
        <is>
          <t>SCA</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3293-2025</t>
        </is>
      </c>
      <c r="B3022" s="1" t="n">
        <v>45679</v>
      </c>
      <c r="C3022" s="1" t="n">
        <v>45691</v>
      </c>
      <c r="D3022" t="inlineStr">
        <is>
          <t>VÄSTERNORRLANDS LÄN</t>
        </is>
      </c>
      <c r="E3022" t="inlineStr">
        <is>
          <t>SUNDSVALL</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3188-2025</t>
        </is>
      </c>
      <c r="B3023" s="1" t="n">
        <v>45679</v>
      </c>
      <c r="C3023" s="1" t="n">
        <v>45691</v>
      </c>
      <c r="D3023" t="inlineStr">
        <is>
          <t>VÄSTERNORRLANDS LÄN</t>
        </is>
      </c>
      <c r="E3023" t="inlineStr">
        <is>
          <t>SUNDSVALL</t>
        </is>
      </c>
      <c r="F3023" t="inlineStr">
        <is>
          <t>SCA</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3326-2025</t>
        </is>
      </c>
      <c r="B3024" s="1" t="n">
        <v>45679</v>
      </c>
      <c r="C3024" s="1" t="n">
        <v>45691</v>
      </c>
      <c r="D3024" t="inlineStr">
        <is>
          <t>VÄSTERNORRLANDS LÄN</t>
        </is>
      </c>
      <c r="E3024" t="inlineStr">
        <is>
          <t>SUNDSVALL</t>
        </is>
      </c>
      <c r="F3024" t="inlineStr">
        <is>
          <t>SCA</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3215-2025</t>
        </is>
      </c>
      <c r="B3025" s="1" t="n">
        <v>45679</v>
      </c>
      <c r="C3025" s="1" t="n">
        <v>45691</v>
      </c>
      <c r="D3025" t="inlineStr">
        <is>
          <t>VÄSTERNORRLANDS LÄN</t>
        </is>
      </c>
      <c r="E3025" t="inlineStr">
        <is>
          <t>SUNDSVALL</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45691</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3477-2025</t>
        </is>
      </c>
      <c r="B3027" s="1" t="n">
        <v>45680</v>
      </c>
      <c r="C3027" s="1" t="n">
        <v>45691</v>
      </c>
      <c r="D3027" t="inlineStr">
        <is>
          <t>VÄSTERNORRLANDS LÄN</t>
        </is>
      </c>
      <c r="E3027" t="inlineStr">
        <is>
          <t>SUNDSVALL</t>
        </is>
      </c>
      <c r="F3027" t="inlineStr">
        <is>
          <t>SCA</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45691</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45691</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3670-2025</t>
        </is>
      </c>
      <c r="B3030" s="1" t="n">
        <v>45681</v>
      </c>
      <c r="C3030" s="1" t="n">
        <v>45691</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3696-2025</t>
        </is>
      </c>
      <c r="B3031" s="1" t="n">
        <v>45681</v>
      </c>
      <c r="C3031" s="1" t="n">
        <v>45691</v>
      </c>
      <c r="D3031" t="inlineStr">
        <is>
          <t>VÄSTERNORRLANDS LÄN</t>
        </is>
      </c>
      <c r="E3031" t="inlineStr">
        <is>
          <t>SUNDSVALL</t>
        </is>
      </c>
      <c r="F3031" t="inlineStr">
        <is>
          <t>SCA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3713-2025</t>
        </is>
      </c>
      <c r="B3032" s="1" t="n">
        <v>45681</v>
      </c>
      <c r="C3032" s="1" t="n">
        <v>45691</v>
      </c>
      <c r="D3032" t="inlineStr">
        <is>
          <t>VÄSTERNORRLANDS LÄN</t>
        </is>
      </c>
      <c r="E3032" t="inlineStr">
        <is>
          <t>SUNDSVALL</t>
        </is>
      </c>
      <c r="F3032" t="inlineStr">
        <is>
          <t>SCA</t>
        </is>
      </c>
      <c r="G3032" t="n">
        <v>9.6</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45691</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3772-2025</t>
        </is>
      </c>
      <c r="B3034" s="1" t="n">
        <v>45681</v>
      </c>
      <c r="C3034" s="1" t="n">
        <v>45691</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45691</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3924-2025</t>
        </is>
      </c>
      <c r="B3036" s="1" t="n">
        <v>45684</v>
      </c>
      <c r="C3036" s="1" t="n">
        <v>45691</v>
      </c>
      <c r="D3036" t="inlineStr">
        <is>
          <t>VÄSTERNORRLANDS LÄN</t>
        </is>
      </c>
      <c r="E3036" t="inlineStr">
        <is>
          <t>SUNDSVALL</t>
        </is>
      </c>
      <c r="F3036" t="inlineStr">
        <is>
          <t>SCA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3948-2025</t>
        </is>
      </c>
      <c r="B3037" s="1" t="n">
        <v>45684</v>
      </c>
      <c r="C3037" s="1" t="n">
        <v>45691</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3962-2025</t>
        </is>
      </c>
      <c r="B3038" s="1" t="n">
        <v>45684</v>
      </c>
      <c r="C3038" s="1" t="n">
        <v>45691</v>
      </c>
      <c r="D3038" t="inlineStr">
        <is>
          <t>VÄSTERNORRLANDS LÄN</t>
        </is>
      </c>
      <c r="E3038" t="inlineStr">
        <is>
          <t>SUNDSVALL</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3967-2025</t>
        </is>
      </c>
      <c r="B3039" s="1" t="n">
        <v>45684</v>
      </c>
      <c r="C3039" s="1" t="n">
        <v>45691</v>
      </c>
      <c r="D3039" t="inlineStr">
        <is>
          <t>VÄSTERNORRLANDS LÄN</t>
        </is>
      </c>
      <c r="E3039" t="inlineStr">
        <is>
          <t>SUNDSVALL</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45691</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4810-2025</t>
        </is>
      </c>
      <c r="B3041" s="1" t="n">
        <v>45688</v>
      </c>
      <c r="C3041" s="1" t="n">
        <v>45691</v>
      </c>
      <c r="D3041" t="inlineStr">
        <is>
          <t>VÄSTERNORRLANDS LÄN</t>
        </is>
      </c>
      <c r="E3041" t="inlineStr">
        <is>
          <t>SUNDSVALL</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4784-2025</t>
        </is>
      </c>
      <c r="B3042" s="1" t="n">
        <v>45688</v>
      </c>
      <c r="C3042" s="1" t="n">
        <v>45691</v>
      </c>
      <c r="D3042" t="inlineStr">
        <is>
          <t>VÄSTERNORRLANDS LÄN</t>
        </is>
      </c>
      <c r="E3042" t="inlineStr">
        <is>
          <t>SUNDSVALL</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4813-2025</t>
        </is>
      </c>
      <c r="B3043" s="1" t="n">
        <v>45688</v>
      </c>
      <c r="C3043" s="1" t="n">
        <v>45691</v>
      </c>
      <c r="D3043" t="inlineStr">
        <is>
          <t>VÄSTERNORRLANDS LÄN</t>
        </is>
      </c>
      <c r="E3043" t="inlineStr">
        <is>
          <t>SUNDSVALL</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4853-2025</t>
        </is>
      </c>
      <c r="B3044" s="1" t="n">
        <v>45688</v>
      </c>
      <c r="C3044" s="1" t="n">
        <v>45691</v>
      </c>
      <c r="D3044" t="inlineStr">
        <is>
          <t>VÄSTERNORRLANDS LÄN</t>
        </is>
      </c>
      <c r="E3044" t="inlineStr">
        <is>
          <t>SUNDSVALL</t>
        </is>
      </c>
      <c r="F3044" t="inlineStr">
        <is>
          <t>SCA</t>
        </is>
      </c>
      <c r="G3044" t="n">
        <v>18.3</v>
      </c>
      <c r="H3044" t="n">
        <v>0</v>
      </c>
      <c r="I3044" t="n">
        <v>0</v>
      </c>
      <c r="J3044" t="n">
        <v>0</v>
      </c>
      <c r="K3044" t="n">
        <v>0</v>
      </c>
      <c r="L3044" t="n">
        <v>0</v>
      </c>
      <c r="M3044" t="n">
        <v>0</v>
      </c>
      <c r="N3044" t="n">
        <v>0</v>
      </c>
      <c r="O3044" t="n">
        <v>0</v>
      </c>
      <c r="P3044" t="n">
        <v>0</v>
      </c>
      <c r="Q3044" t="n">
        <v>0</v>
      </c>
      <c r="R3044" s="2" t="inlineStr"/>
    </row>
    <row r="3045" ht="15" customHeight="1">
      <c r="A3045" t="inlineStr">
        <is>
          <t>A 4865-2025</t>
        </is>
      </c>
      <c r="B3045" s="1" t="n">
        <v>45688</v>
      </c>
      <c r="C3045" s="1" t="n">
        <v>45691</v>
      </c>
      <c r="D3045" t="inlineStr">
        <is>
          <t>VÄSTERNORRLANDS LÄN</t>
        </is>
      </c>
      <c r="E3045" t="inlineStr">
        <is>
          <t>SUNDSVALL</t>
        </is>
      </c>
      <c r="F3045" t="inlineStr">
        <is>
          <t>SCA</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4890-2025</t>
        </is>
      </c>
      <c r="B3046" s="1" t="n">
        <v>45688</v>
      </c>
      <c r="C3046" s="1" t="n">
        <v>45691</v>
      </c>
      <c r="D3046" t="inlineStr">
        <is>
          <t>VÄSTERNORRLANDS LÄN</t>
        </is>
      </c>
      <c r="E3046" t="inlineStr">
        <is>
          <t>SUNDSVALL</t>
        </is>
      </c>
      <c r="F3046" t="inlineStr">
        <is>
          <t>SCA</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4906-2025</t>
        </is>
      </c>
      <c r="B3047" s="1" t="n">
        <v>45688</v>
      </c>
      <c r="C3047" s="1" t="n">
        <v>45691</v>
      </c>
      <c r="D3047" t="inlineStr">
        <is>
          <t>VÄSTERNORRLANDS LÄN</t>
        </is>
      </c>
      <c r="E3047" t="inlineStr">
        <is>
          <t>SUNDSVALL</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4815-2025</t>
        </is>
      </c>
      <c r="B3048" s="1" t="n">
        <v>45688</v>
      </c>
      <c r="C3048" s="1" t="n">
        <v>45691</v>
      </c>
      <c r="D3048" t="inlineStr">
        <is>
          <t>VÄSTERNORRLANDS LÄN</t>
        </is>
      </c>
      <c r="E3048" t="inlineStr">
        <is>
          <t>SUNDSVALL</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4871-2025</t>
        </is>
      </c>
      <c r="B3049" s="1" t="n">
        <v>45688</v>
      </c>
      <c r="C3049" s="1" t="n">
        <v>45691</v>
      </c>
      <c r="D3049" t="inlineStr">
        <is>
          <t>VÄSTERNORRLANDS LÄN</t>
        </is>
      </c>
      <c r="E3049" t="inlineStr">
        <is>
          <t>SUNDSVALL</t>
        </is>
      </c>
      <c r="F3049" t="inlineStr">
        <is>
          <t>SCA</t>
        </is>
      </c>
      <c r="G3049" t="n">
        <v>11.5</v>
      </c>
      <c r="H3049" t="n">
        <v>0</v>
      </c>
      <c r="I3049" t="n">
        <v>0</v>
      </c>
      <c r="J3049" t="n">
        <v>0</v>
      </c>
      <c r="K3049" t="n">
        <v>0</v>
      </c>
      <c r="L3049" t="n">
        <v>0</v>
      </c>
      <c r="M3049" t="n">
        <v>0</v>
      </c>
      <c r="N3049" t="n">
        <v>0</v>
      </c>
      <c r="O3049" t="n">
        <v>0</v>
      </c>
      <c r="P3049" t="n">
        <v>0</v>
      </c>
      <c r="Q3049" t="n">
        <v>0</v>
      </c>
      <c r="R3049" s="2" t="inlineStr"/>
    </row>
    <row r="3050" ht="15" customHeight="1">
      <c r="A3050" t="inlineStr">
        <is>
          <t>A 4888-2025</t>
        </is>
      </c>
      <c r="B3050" s="1" t="n">
        <v>45688</v>
      </c>
      <c r="C3050" s="1" t="n">
        <v>45691</v>
      </c>
      <c r="D3050" t="inlineStr">
        <is>
          <t>VÄSTERNORRLANDS LÄN</t>
        </is>
      </c>
      <c r="E3050" t="inlineStr">
        <is>
          <t>SUNDSVALL</t>
        </is>
      </c>
      <c r="F3050" t="inlineStr">
        <is>
          <t>SCA</t>
        </is>
      </c>
      <c r="G3050" t="n">
        <v>8.6</v>
      </c>
      <c r="H3050" t="n">
        <v>0</v>
      </c>
      <c r="I3050" t="n">
        <v>0</v>
      </c>
      <c r="J3050" t="n">
        <v>0</v>
      </c>
      <c r="K3050" t="n">
        <v>0</v>
      </c>
      <c r="L3050" t="n">
        <v>0</v>
      </c>
      <c r="M3050" t="n">
        <v>0</v>
      </c>
      <c r="N3050" t="n">
        <v>0</v>
      </c>
      <c r="O3050" t="n">
        <v>0</v>
      </c>
      <c r="P3050" t="n">
        <v>0</v>
      </c>
      <c r="Q3050" t="n">
        <v>0</v>
      </c>
      <c r="R3050" s="2" t="inlineStr"/>
    </row>
    <row r="3051" ht="15" customHeight="1">
      <c r="A3051" t="inlineStr">
        <is>
          <t>A 4900-2025</t>
        </is>
      </c>
      <c r="B3051" s="1" t="n">
        <v>45688</v>
      </c>
      <c r="C3051" s="1" t="n">
        <v>45691</v>
      </c>
      <c r="D3051" t="inlineStr">
        <is>
          <t>VÄSTERNORRLANDS LÄN</t>
        </is>
      </c>
      <c r="E3051" t="inlineStr">
        <is>
          <t>SUNDSVALL</t>
        </is>
      </c>
      <c r="F3051" t="inlineStr">
        <is>
          <t>SCA</t>
        </is>
      </c>
      <c r="G3051" t="n">
        <v>10.4</v>
      </c>
      <c r="H3051" t="n">
        <v>0</v>
      </c>
      <c r="I3051" t="n">
        <v>0</v>
      </c>
      <c r="J3051" t="n">
        <v>0</v>
      </c>
      <c r="K3051" t="n">
        <v>0</v>
      </c>
      <c r="L3051" t="n">
        <v>0</v>
      </c>
      <c r="M3051" t="n">
        <v>0</v>
      </c>
      <c r="N3051" t="n">
        <v>0</v>
      </c>
      <c r="O3051" t="n">
        <v>0</v>
      </c>
      <c r="P3051" t="n">
        <v>0</v>
      </c>
      <c r="Q3051" t="n">
        <v>0</v>
      </c>
      <c r="R3051" s="2" t="inlineStr"/>
    </row>
    <row r="3052" ht="15" customHeight="1">
      <c r="A3052" t="inlineStr">
        <is>
          <t>A 4932-2025</t>
        </is>
      </c>
      <c r="B3052" s="1" t="n">
        <v>45688</v>
      </c>
      <c r="C3052" s="1" t="n">
        <v>45691</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4933-2025</t>
        </is>
      </c>
      <c r="B3053" s="1" t="n">
        <v>45688</v>
      </c>
      <c r="C3053" s="1" t="n">
        <v>45691</v>
      </c>
      <c r="D3053" t="inlineStr">
        <is>
          <t>VÄSTERNORRLANDS LÄN</t>
        </is>
      </c>
      <c r="E3053" t="inlineStr">
        <is>
          <t>SUNDSVALL</t>
        </is>
      </c>
      <c r="G3053" t="n">
        <v>3.5</v>
      </c>
      <c r="H3053" t="n">
        <v>0</v>
      </c>
      <c r="I3053" t="n">
        <v>0</v>
      </c>
      <c r="J3053" t="n">
        <v>0</v>
      </c>
      <c r="K3053" t="n">
        <v>0</v>
      </c>
      <c r="L3053" t="n">
        <v>0</v>
      </c>
      <c r="M3053" t="n">
        <v>0</v>
      </c>
      <c r="N3053" t="n">
        <v>0</v>
      </c>
      <c r="O3053" t="n">
        <v>0</v>
      </c>
      <c r="P3053" t="n">
        <v>0</v>
      </c>
      <c r="Q3053" t="n">
        <v>0</v>
      </c>
      <c r="R3053" s="2" t="inlineStr"/>
    </row>
    <row r="3054">
      <c r="A3054" t="inlineStr">
        <is>
          <t>A 4917-2025</t>
        </is>
      </c>
      <c r="B3054" s="1" t="n">
        <v>45688</v>
      </c>
      <c r="C3054" s="1" t="n">
        <v>45691</v>
      </c>
      <c r="D3054" t="inlineStr">
        <is>
          <t>VÄSTERNORRLANDS LÄN</t>
        </is>
      </c>
      <c r="E3054" t="inlineStr">
        <is>
          <t>SUNDSVALL</t>
        </is>
      </c>
      <c r="F3054" t="inlineStr">
        <is>
          <t>SCA</t>
        </is>
      </c>
      <c r="G3054" t="n">
        <v>3.3</v>
      </c>
      <c r="H3054" t="n">
        <v>0</v>
      </c>
      <c r="I3054" t="n">
        <v>0</v>
      </c>
      <c r="J3054" t="n">
        <v>0</v>
      </c>
      <c r="K3054" t="n">
        <v>0</v>
      </c>
      <c r="L3054" t="n">
        <v>0</v>
      </c>
      <c r="M3054" t="n">
        <v>0</v>
      </c>
      <c r="N3054" t="n">
        <v>0</v>
      </c>
      <c r="O3054" t="n">
        <v>0</v>
      </c>
      <c r="P3054" t="n">
        <v>0</v>
      </c>
      <c r="Q3054" t="n">
        <v>0</v>
      </c>
      <c r="R3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2025-02-03T16:51:04Z</dcterms:created>
  <dcterms:modified xmlns:dcterms="http://purl.org/dc/terms/" xmlns:xsi="http://www.w3.org/2001/XMLSchema-instance" xsi:type="dcterms:W3CDTF">2025-02-03T16:51:06Z</dcterms:modified>
</cp:coreProperties>
</file>