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45881</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45881</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19418-2023</t>
        </is>
      </c>
      <c r="B4" s="1" t="n">
        <v>45049</v>
      </c>
      <c r="C4" s="1" t="n">
        <v>45881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49702-2023</t>
        </is>
      </c>
      <c r="B5" s="1" t="n">
        <v>45208</v>
      </c>
      <c r="C5" s="1" t="n">
        <v>45881</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8732-2025</t>
        </is>
      </c>
      <c r="B6" s="1" t="n">
        <v>45712.53186342592</v>
      </c>
      <c r="C6" s="1" t="n">
        <v>45881</v>
      </c>
      <c r="D6" t="inlineStr">
        <is>
          <t>VÄSTERNORRLANDS LÄN</t>
        </is>
      </c>
      <c r="E6" t="inlineStr">
        <is>
          <t>SUNDSVALL</t>
        </is>
      </c>
      <c r="F6" t="inlineStr">
        <is>
          <t>SCA</t>
        </is>
      </c>
      <c r="G6" t="n">
        <v>11.7</v>
      </c>
      <c r="H6" t="n">
        <v>11</v>
      </c>
      <c r="I6" t="n">
        <v>2</v>
      </c>
      <c r="J6" t="n">
        <v>8</v>
      </c>
      <c r="K6" t="n">
        <v>1</v>
      </c>
      <c r="L6" t="n">
        <v>0</v>
      </c>
      <c r="M6" t="n">
        <v>0</v>
      </c>
      <c r="N6" t="n">
        <v>0</v>
      </c>
      <c r="O6" t="n">
        <v>9</v>
      </c>
      <c r="P6" t="n">
        <v>1</v>
      </c>
      <c r="Q6" t="n">
        <v>16</v>
      </c>
      <c r="R6" s="2" t="inlineStr">
        <is>
          <t>Knärot
Garnlav
Järpe
Lunglav
Skogshare
Spillkråka
Stjärntagging
Talltita
Tretåig hackspett
Norrlandslav
Spindelblomster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59396-2022</t>
        </is>
      </c>
      <c r="B7" s="1" t="n">
        <v>44906</v>
      </c>
      <c r="C7" s="1" t="n">
        <v>45881</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45881</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45881</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45881</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45881</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45881</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45881</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45881</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45881</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45833.65916666666</v>
      </c>
      <c r="C16" s="1" t="n">
        <v>45881</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45881</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16388-2023</t>
        </is>
      </c>
      <c r="B18" s="1" t="n">
        <v>45022</v>
      </c>
      <c r="C18" s="1" t="n">
        <v>45881</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45881</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row>
    <row r="20" ht="15" customHeight="1">
      <c r="A20" t="inlineStr">
        <is>
          <t>A 20708-2025</t>
        </is>
      </c>
      <c r="B20" s="1" t="n">
        <v>45776.48438657408</v>
      </c>
      <c r="C20" s="1" t="n">
        <v>45881</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45881</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45881</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24987-2024</t>
        </is>
      </c>
      <c r="B23" s="1" t="n">
        <v>45461.68716435185</v>
      </c>
      <c r="C23" s="1" t="n">
        <v>45881</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45881</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9201-2022</t>
        </is>
      </c>
      <c r="B25" s="1" t="n">
        <v>44615.92618055556</v>
      </c>
      <c r="C25" s="1" t="n">
        <v>45881</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45881</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40603-2022</t>
        </is>
      </c>
      <c r="B27" s="1" t="n">
        <v>44823</v>
      </c>
      <c r="C27" s="1" t="n">
        <v>45881</v>
      </c>
      <c r="D27" t="inlineStr">
        <is>
          <t>VÄSTERNORRLANDS LÄN</t>
        </is>
      </c>
      <c r="E27" t="inlineStr">
        <is>
          <t>SUNDSVALL</t>
        </is>
      </c>
      <c r="G27" t="n">
        <v>6.7</v>
      </c>
      <c r="H27" t="n">
        <v>2</v>
      </c>
      <c r="I27" t="n">
        <v>4</v>
      </c>
      <c r="J27" t="n">
        <v>4</v>
      </c>
      <c r="K27" t="n">
        <v>1</v>
      </c>
      <c r="L27" t="n">
        <v>0</v>
      </c>
      <c r="M27" t="n">
        <v>0</v>
      </c>
      <c r="N27" t="n">
        <v>0</v>
      </c>
      <c r="O27" t="n">
        <v>5</v>
      </c>
      <c r="P27" t="n">
        <v>1</v>
      </c>
      <c r="Q27" t="n">
        <v>10</v>
      </c>
      <c r="R27" s="2" t="inlineStr">
        <is>
          <t>Knärot
Garnlav
Orange taggsvamp
Tallticka
Violettgrå tagellav
Grönpyrola
Skinnlav
Stor aspticka
Vårärt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16398-2023</t>
        </is>
      </c>
      <c r="B28" s="1" t="n">
        <v>45022</v>
      </c>
      <c r="C28" s="1" t="n">
        <v>45881</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49327-2023</t>
        </is>
      </c>
      <c r="B29" s="1" t="n">
        <v>45210</v>
      </c>
      <c r="C29" s="1" t="n">
        <v>45881</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19827-2025</t>
        </is>
      </c>
      <c r="B30" s="1" t="n">
        <v>45771.46918981482</v>
      </c>
      <c r="C30" s="1" t="n">
        <v>45881</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48961-2024</t>
        </is>
      </c>
      <c r="B31" s="1" t="n">
        <v>45594.44825231482</v>
      </c>
      <c r="C31" s="1" t="n">
        <v>45881</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45976-2024</t>
        </is>
      </c>
      <c r="B32" s="1" t="n">
        <v>45580.59456018519</v>
      </c>
      <c r="C32" s="1" t="n">
        <v>45881</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24498-2025</t>
        </is>
      </c>
      <c r="B33" s="1" t="n">
        <v>45798.3955787037</v>
      </c>
      <c r="C33" s="1" t="n">
        <v>45881</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34866-2024</t>
        </is>
      </c>
      <c r="B34" s="1" t="n">
        <v>45527</v>
      </c>
      <c r="C34" s="1" t="n">
        <v>45881</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44496-2020</t>
        </is>
      </c>
      <c r="B35" s="1" t="n">
        <v>44084</v>
      </c>
      <c r="C35" s="1" t="n">
        <v>45881</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20751-2024</t>
        </is>
      </c>
      <c r="B36" s="1" t="n">
        <v>45436</v>
      </c>
      <c r="C36" s="1" t="n">
        <v>45881</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45881</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45881</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45881</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45881</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25042-2025</t>
        </is>
      </c>
      <c r="B41" s="1" t="n">
        <v>45799.65759259259</v>
      </c>
      <c r="C41" s="1" t="n">
        <v>45881</v>
      </c>
      <c r="D41" t="inlineStr">
        <is>
          <t>VÄSTERNORRLANDS LÄN</t>
        </is>
      </c>
      <c r="E41" t="inlineStr">
        <is>
          <t>SUNDSVALL</t>
        </is>
      </c>
      <c r="G41" t="n">
        <v>10.9</v>
      </c>
      <c r="H41" t="n">
        <v>6</v>
      </c>
      <c r="I41" t="n">
        <v>1</v>
      </c>
      <c r="J41" t="n">
        <v>5</v>
      </c>
      <c r="K41" t="n">
        <v>0</v>
      </c>
      <c r="L41" t="n">
        <v>0</v>
      </c>
      <c r="M41" t="n">
        <v>0</v>
      </c>
      <c r="N41" t="n">
        <v>0</v>
      </c>
      <c r="O41" t="n">
        <v>5</v>
      </c>
      <c r="P41" t="n">
        <v>0</v>
      </c>
      <c r="Q41" t="n">
        <v>9</v>
      </c>
      <c r="R41" s="2" t="inlineStr">
        <is>
          <t>Garnlav
Spillkråka
Talltita
Tretåig hackspett
Ullticka
Vedticka
Kungsfågel
Mattlummer
Revlummer</t>
        </is>
      </c>
      <c r="S41">
        <f>HYPERLINK("https://klasma.github.io/Logging_2281/artfynd/A 25042-2025 artfynd.xlsx", "A 25042-2025")</f>
        <v/>
      </c>
      <c r="T41">
        <f>HYPERLINK("https://klasma.github.io/Logging_2281/kartor/A 25042-2025 karta.png", "A 25042-2025")</f>
        <v/>
      </c>
      <c r="V41">
        <f>HYPERLINK("https://klasma.github.io/Logging_2281/klagomål/A 25042-2025 FSC-klagomål.docx", "A 25042-2025")</f>
        <v/>
      </c>
      <c r="W41">
        <f>HYPERLINK("https://klasma.github.io/Logging_2281/klagomålsmail/A 25042-2025 FSC-klagomål mail.docx", "A 25042-2025")</f>
        <v/>
      </c>
      <c r="X41">
        <f>HYPERLINK("https://klasma.github.io/Logging_2281/tillsyn/A 25042-2025 tillsynsbegäran.docx", "A 25042-2025")</f>
        <v/>
      </c>
      <c r="Y41">
        <f>HYPERLINK("https://klasma.github.io/Logging_2281/tillsynsmail/A 25042-2025 tillsynsbegäran mail.docx", "A 25042-2025")</f>
        <v/>
      </c>
      <c r="Z41">
        <f>HYPERLINK("https://klasma.github.io/Logging_2281/fåglar/A 25042-2025 prioriterade fågelarter.docx", "A 25042-2025")</f>
        <v/>
      </c>
    </row>
    <row r="42" ht="15" customHeight="1">
      <c r="A42" t="inlineStr">
        <is>
          <t>A 15142-2025</t>
        </is>
      </c>
      <c r="B42" s="1" t="n">
        <v>45744</v>
      </c>
      <c r="C42" s="1" t="n">
        <v>45881</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HYPERLINK("https://klasma.github.io/Logging_2281/artfynd/A 15142-2025 artfynd.xlsx", "A 15142-2025")</f>
        <v/>
      </c>
      <c r="T42">
        <f>HYPERLINK("https://klasma.github.io/Logging_2281/kartor/A 15142-2025 karta.png", "A 15142-2025")</f>
        <v/>
      </c>
      <c r="U42">
        <f>HYPERLINK("https://klasma.github.io/Logging_2281/knärot/A 15142-2025 karta knärot.png", "A 15142-2025")</f>
        <v/>
      </c>
      <c r="V42">
        <f>HYPERLINK("https://klasma.github.io/Logging_2281/klagomål/A 15142-2025 FSC-klagomål.docx", "A 15142-2025")</f>
        <v/>
      </c>
      <c r="W42">
        <f>HYPERLINK("https://klasma.github.io/Logging_2281/klagomålsmail/A 15142-2025 FSC-klagomål mail.docx", "A 15142-2025")</f>
        <v/>
      </c>
      <c r="X42">
        <f>HYPERLINK("https://klasma.github.io/Logging_2281/tillsyn/A 15142-2025 tillsynsbegäran.docx", "A 15142-2025")</f>
        <v/>
      </c>
      <c r="Y42">
        <f>HYPERLINK("https://klasma.github.io/Logging_2281/tillsynsmail/A 15142-2025 tillsynsbegäran mail.docx", "A 15142-2025")</f>
        <v/>
      </c>
    </row>
    <row r="43" ht="15" customHeight="1">
      <c r="A43" t="inlineStr">
        <is>
          <t>A 4856-2025</t>
        </is>
      </c>
      <c r="B43" s="1" t="n">
        <v>45688</v>
      </c>
      <c r="C43" s="1" t="n">
        <v>45881</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62083-2022</t>
        </is>
      </c>
      <c r="B44" s="1" t="n">
        <v>44918</v>
      </c>
      <c r="C44" s="1" t="n">
        <v>45881</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45881</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9566-2025</t>
        </is>
      </c>
      <c r="B46" s="1" t="n">
        <v>45715.61511574074</v>
      </c>
      <c r="C46" s="1" t="n">
        <v>45881</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HYPERLINK("https://klasma.github.io/Logging_2281/artfynd/A 9566-2025 artfynd.xlsx", "A 9566-2025")</f>
        <v/>
      </c>
      <c r="T46">
        <f>HYPERLINK("https://klasma.github.io/Logging_2281/kartor/A 9566-2025 karta.png", "A 9566-2025")</f>
        <v/>
      </c>
      <c r="U46">
        <f>HYPERLINK("https://klasma.github.io/Logging_2281/knärot/A 9566-2025 karta knärot.png", "A 9566-2025")</f>
        <v/>
      </c>
      <c r="V46">
        <f>HYPERLINK("https://klasma.github.io/Logging_2281/klagomål/A 9566-2025 FSC-klagomål.docx", "A 9566-2025")</f>
        <v/>
      </c>
      <c r="W46">
        <f>HYPERLINK("https://klasma.github.io/Logging_2281/klagomålsmail/A 9566-2025 FSC-klagomål mail.docx", "A 9566-2025")</f>
        <v/>
      </c>
      <c r="X46">
        <f>HYPERLINK("https://klasma.github.io/Logging_2281/tillsyn/A 9566-2025 tillsynsbegäran.docx", "A 9566-2025")</f>
        <v/>
      </c>
      <c r="Y46">
        <f>HYPERLINK("https://klasma.github.io/Logging_2281/tillsynsmail/A 9566-2025 tillsynsbegäran mail.docx", "A 9566-2025")</f>
        <v/>
      </c>
      <c r="Z46">
        <f>HYPERLINK("https://klasma.github.io/Logging_2281/fåglar/A 9566-2025 prioriterade fågelarter.docx", "A 9566-2025")</f>
        <v/>
      </c>
    </row>
    <row r="47" ht="15" customHeight="1">
      <c r="A47" t="inlineStr">
        <is>
          <t>A 46124-2024</t>
        </is>
      </c>
      <c r="B47" s="1" t="n">
        <v>45581</v>
      </c>
      <c r="C47" s="1" t="n">
        <v>45881</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24424-2025</t>
        </is>
      </c>
      <c r="B48" s="1" t="n">
        <v>45797.67826388889</v>
      </c>
      <c r="C48" s="1" t="n">
        <v>45881</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54345-2023</t>
        </is>
      </c>
      <c r="B49" s="1" t="n">
        <v>45232</v>
      </c>
      <c r="C49" s="1" t="n">
        <v>45881</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36303-2025</t>
        </is>
      </c>
      <c r="B50" s="1" t="n">
        <v>45867.80954861111</v>
      </c>
      <c r="C50" s="1" t="n">
        <v>45881</v>
      </c>
      <c r="D50" t="inlineStr">
        <is>
          <t>VÄSTERNORRLANDS LÄN</t>
        </is>
      </c>
      <c r="E50" t="inlineStr">
        <is>
          <t>SUNDSVALL</t>
        </is>
      </c>
      <c r="G50" t="n">
        <v>14</v>
      </c>
      <c r="H50" t="n">
        <v>0</v>
      </c>
      <c r="I50" t="n">
        <v>3</v>
      </c>
      <c r="J50" t="n">
        <v>4</v>
      </c>
      <c r="K50" t="n">
        <v>1</v>
      </c>
      <c r="L50" t="n">
        <v>0</v>
      </c>
      <c r="M50" t="n">
        <v>0</v>
      </c>
      <c r="N50" t="n">
        <v>0</v>
      </c>
      <c r="O50" t="n">
        <v>5</v>
      </c>
      <c r="P50" t="n">
        <v>1</v>
      </c>
      <c r="Q50" t="n">
        <v>8</v>
      </c>
      <c r="R50" s="2" t="inlineStr">
        <is>
          <t>Rynkskinn
Gammelgransskål
Granticka
Lunglav
Rosenticka
Kattfotslav
Stuplav
Trådticka</t>
        </is>
      </c>
      <c r="S50">
        <f>HYPERLINK("https://klasma.github.io/Logging_2281/artfynd/A 36303-2025 artfynd.xlsx", "A 36303-2025")</f>
        <v/>
      </c>
      <c r="T50">
        <f>HYPERLINK("https://klasma.github.io/Logging_2281/kartor/A 36303-2025 karta.png", "A 36303-2025")</f>
        <v/>
      </c>
      <c r="V50">
        <f>HYPERLINK("https://klasma.github.io/Logging_2281/klagomål/A 36303-2025 FSC-klagomål.docx", "A 36303-2025")</f>
        <v/>
      </c>
      <c r="W50">
        <f>HYPERLINK("https://klasma.github.io/Logging_2281/klagomålsmail/A 36303-2025 FSC-klagomål mail.docx", "A 36303-2025")</f>
        <v/>
      </c>
      <c r="X50">
        <f>HYPERLINK("https://klasma.github.io/Logging_2281/tillsyn/A 36303-2025 tillsynsbegäran.docx", "A 36303-2025")</f>
        <v/>
      </c>
      <c r="Y50">
        <f>HYPERLINK("https://klasma.github.io/Logging_2281/tillsynsmail/A 36303-2025 tillsynsbegäran mail.docx", "A 36303-2025")</f>
        <v/>
      </c>
    </row>
    <row r="51" ht="15" customHeight="1">
      <c r="A51" t="inlineStr">
        <is>
          <t>A 12205-2025</t>
        </is>
      </c>
      <c r="B51" s="1" t="n">
        <v>45729.51091435185</v>
      </c>
      <c r="C51" s="1" t="n">
        <v>45881</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53736-2023</t>
        </is>
      </c>
      <c r="B52" s="1" t="n">
        <v>45230.77347222222</v>
      </c>
      <c r="C52" s="1" t="n">
        <v>45881</v>
      </c>
      <c r="D52" t="inlineStr">
        <is>
          <t>VÄSTERNORRLANDS LÄN</t>
        </is>
      </c>
      <c r="E52" t="inlineStr">
        <is>
          <t>SUNDSVALL</t>
        </is>
      </c>
      <c r="G52" t="n">
        <v>4.4</v>
      </c>
      <c r="H52" t="n">
        <v>5</v>
      </c>
      <c r="I52" t="n">
        <v>1</v>
      </c>
      <c r="J52" t="n">
        <v>4</v>
      </c>
      <c r="K52" t="n">
        <v>1</v>
      </c>
      <c r="L52" t="n">
        <v>1</v>
      </c>
      <c r="M52" t="n">
        <v>0</v>
      </c>
      <c r="N52" t="n">
        <v>0</v>
      </c>
      <c r="O52" t="n">
        <v>6</v>
      </c>
      <c r="P52" t="n">
        <v>2</v>
      </c>
      <c r="Q52" t="n">
        <v>8</v>
      </c>
      <c r="R52" s="2" t="inlineStr">
        <is>
          <t>Tornseglare
Knärot
Garnlav
Mörk kolflarnlav
Talltita
Tretåig hackspett
Dropptaggsvamp
Fläcknycklar</t>
        </is>
      </c>
      <c r="S52">
        <f>HYPERLINK("https://klasma.github.io/Logging_2281/artfynd/A 53736-2023 artfynd.xlsx", "A 53736-2023")</f>
        <v/>
      </c>
      <c r="T52">
        <f>HYPERLINK("https://klasma.github.io/Logging_2281/kartor/A 53736-2023 karta.png", "A 53736-2023")</f>
        <v/>
      </c>
      <c r="U52">
        <f>HYPERLINK("https://klasma.github.io/Logging_2281/knärot/A 53736-2023 karta knärot.png", "A 53736-2023")</f>
        <v/>
      </c>
      <c r="V52">
        <f>HYPERLINK("https://klasma.github.io/Logging_2281/klagomål/A 53736-2023 FSC-klagomål.docx", "A 53736-2023")</f>
        <v/>
      </c>
      <c r="W52">
        <f>HYPERLINK("https://klasma.github.io/Logging_2281/klagomålsmail/A 53736-2023 FSC-klagomål mail.docx", "A 53736-2023")</f>
        <v/>
      </c>
      <c r="X52">
        <f>HYPERLINK("https://klasma.github.io/Logging_2281/tillsyn/A 53736-2023 tillsynsbegäran.docx", "A 53736-2023")</f>
        <v/>
      </c>
      <c r="Y52">
        <f>HYPERLINK("https://klasma.github.io/Logging_2281/tillsynsmail/A 53736-2023 tillsynsbegäran mail.docx", "A 53736-2023")</f>
        <v/>
      </c>
      <c r="Z52">
        <f>HYPERLINK("https://klasma.github.io/Logging_2281/fåglar/A 53736-2023 prioriterade fågelarter.docx", "A 53736-2023")</f>
        <v/>
      </c>
    </row>
    <row r="53" ht="15" customHeight="1">
      <c r="A53" t="inlineStr">
        <is>
          <t>A 25270-2022</t>
        </is>
      </c>
      <c r="B53" s="1" t="n">
        <v>44729</v>
      </c>
      <c r="C53" s="1" t="n">
        <v>45881</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16656-2025</t>
        </is>
      </c>
      <c r="B54" s="1" t="n">
        <v>45754.4068287037</v>
      </c>
      <c r="C54" s="1" t="n">
        <v>45881</v>
      </c>
      <c r="D54" t="inlineStr">
        <is>
          <t>VÄSTERNORRLANDS LÄN</t>
        </is>
      </c>
      <c r="E54" t="inlineStr">
        <is>
          <t>SUNDSVALL</t>
        </is>
      </c>
      <c r="F54" t="inlineStr">
        <is>
          <t>SCA</t>
        </is>
      </c>
      <c r="G54" t="n">
        <v>3.5</v>
      </c>
      <c r="H54" t="n">
        <v>4</v>
      </c>
      <c r="I54" t="n">
        <v>0</v>
      </c>
      <c r="J54" t="n">
        <v>5</v>
      </c>
      <c r="K54" t="n">
        <v>0</v>
      </c>
      <c r="L54" t="n">
        <v>0</v>
      </c>
      <c r="M54" t="n">
        <v>0</v>
      </c>
      <c r="N54" t="n">
        <v>0</v>
      </c>
      <c r="O54" t="n">
        <v>5</v>
      </c>
      <c r="P54" t="n">
        <v>0</v>
      </c>
      <c r="Q54" t="n">
        <v>7</v>
      </c>
      <c r="R54" s="2" t="inlineStr">
        <is>
          <t>Gammelgransskål
Garnlav
Lunglav
Spillkråka
Tretåig hackspett
Fläcknycklar
Revlummer</t>
        </is>
      </c>
      <c r="S54">
        <f>HYPERLINK("https://klasma.github.io/Logging_2281/artfynd/A 16656-2025 artfynd.xlsx", "A 16656-2025")</f>
        <v/>
      </c>
      <c r="T54">
        <f>HYPERLINK("https://klasma.github.io/Logging_2281/kartor/A 16656-2025 karta.png", "A 16656-2025")</f>
        <v/>
      </c>
      <c r="V54">
        <f>HYPERLINK("https://klasma.github.io/Logging_2281/klagomål/A 16656-2025 FSC-klagomål.docx", "A 16656-2025")</f>
        <v/>
      </c>
      <c r="W54">
        <f>HYPERLINK("https://klasma.github.io/Logging_2281/klagomålsmail/A 16656-2025 FSC-klagomål mail.docx", "A 16656-2025")</f>
        <v/>
      </c>
      <c r="X54">
        <f>HYPERLINK("https://klasma.github.io/Logging_2281/tillsyn/A 16656-2025 tillsynsbegäran.docx", "A 16656-2025")</f>
        <v/>
      </c>
      <c r="Y54">
        <f>HYPERLINK("https://klasma.github.io/Logging_2281/tillsynsmail/A 16656-2025 tillsynsbegäran mail.docx", "A 16656-2025")</f>
        <v/>
      </c>
      <c r="Z54">
        <f>HYPERLINK("https://klasma.github.io/Logging_2281/fåglar/A 16656-2025 prioriterade fågelarter.docx", "A 16656-2025")</f>
        <v/>
      </c>
    </row>
    <row r="55" ht="15" customHeight="1">
      <c r="A55" t="inlineStr">
        <is>
          <t>A 16933-2025</t>
        </is>
      </c>
      <c r="B55" s="1" t="n">
        <v>45755.4065625</v>
      </c>
      <c r="C55" s="1" t="n">
        <v>45881</v>
      </c>
      <c r="D55" t="inlineStr">
        <is>
          <t>VÄSTERNORRLANDS LÄN</t>
        </is>
      </c>
      <c r="E55" t="inlineStr">
        <is>
          <t>SUNDSVALL</t>
        </is>
      </c>
      <c r="F55" t="inlineStr">
        <is>
          <t>SCA</t>
        </is>
      </c>
      <c r="G55" t="n">
        <v>1.7</v>
      </c>
      <c r="H55" t="n">
        <v>6</v>
      </c>
      <c r="I55" t="n">
        <v>2</v>
      </c>
      <c r="J55" t="n">
        <v>3</v>
      </c>
      <c r="K55" t="n">
        <v>0</v>
      </c>
      <c r="L55" t="n">
        <v>0</v>
      </c>
      <c r="M55" t="n">
        <v>0</v>
      </c>
      <c r="N55" t="n">
        <v>0</v>
      </c>
      <c r="O55" t="n">
        <v>3</v>
      </c>
      <c r="P55" t="n">
        <v>0</v>
      </c>
      <c r="Q55" t="n">
        <v>7</v>
      </c>
      <c r="R55" s="2" t="inlineStr">
        <is>
          <t>Garnlav
Spillkråka
Tretåig hackspett
Spindelblomster
Tvåblad
Tjäder
Fläcknycklar</t>
        </is>
      </c>
      <c r="S55">
        <f>HYPERLINK("https://klasma.github.io/Logging_2281/artfynd/A 16933-2025 artfynd.xlsx", "A 16933-2025")</f>
        <v/>
      </c>
      <c r="T55">
        <f>HYPERLINK("https://klasma.github.io/Logging_2281/kartor/A 16933-2025 karta.png", "A 16933-2025")</f>
        <v/>
      </c>
      <c r="V55">
        <f>HYPERLINK("https://klasma.github.io/Logging_2281/klagomål/A 16933-2025 FSC-klagomål.docx", "A 16933-2025")</f>
        <v/>
      </c>
      <c r="W55">
        <f>HYPERLINK("https://klasma.github.io/Logging_2281/klagomålsmail/A 16933-2025 FSC-klagomål mail.docx", "A 16933-2025")</f>
        <v/>
      </c>
      <c r="X55">
        <f>HYPERLINK("https://klasma.github.io/Logging_2281/tillsyn/A 16933-2025 tillsynsbegäran.docx", "A 16933-2025")</f>
        <v/>
      </c>
      <c r="Y55">
        <f>HYPERLINK("https://klasma.github.io/Logging_2281/tillsynsmail/A 16933-2025 tillsynsbegäran mail.docx", "A 16933-2025")</f>
        <v/>
      </c>
      <c r="Z55">
        <f>HYPERLINK("https://klasma.github.io/Logging_2281/fåglar/A 16933-2025 prioriterade fågelarter.docx", "A 16933-2025")</f>
        <v/>
      </c>
    </row>
    <row r="56" ht="15" customHeight="1">
      <c r="A56" t="inlineStr">
        <is>
          <t>A 48150-2020</t>
        </is>
      </c>
      <c r="B56" s="1" t="n">
        <v>44091</v>
      </c>
      <c r="C56" s="1" t="n">
        <v>45881</v>
      </c>
      <c r="D56" t="inlineStr">
        <is>
          <t>VÄSTERNORRLANDS LÄN</t>
        </is>
      </c>
      <c r="E56" t="inlineStr">
        <is>
          <t>SUNDSVALL</t>
        </is>
      </c>
      <c r="G56" t="n">
        <v>0.6</v>
      </c>
      <c r="H56" t="n">
        <v>1</v>
      </c>
      <c r="I56" t="n">
        <v>5</v>
      </c>
      <c r="J56" t="n">
        <v>0</v>
      </c>
      <c r="K56" t="n">
        <v>0</v>
      </c>
      <c r="L56" t="n">
        <v>1</v>
      </c>
      <c r="M56" t="n">
        <v>0</v>
      </c>
      <c r="N56" t="n">
        <v>0</v>
      </c>
      <c r="O56" t="n">
        <v>1</v>
      </c>
      <c r="P56" t="n">
        <v>1</v>
      </c>
      <c r="Q56" t="n">
        <v>7</v>
      </c>
      <c r="R56" s="2" t="inlineStr">
        <is>
          <t>Piggfjällskivling
Droppklibbskivling
Svart trolldruva
Svavelriska
Toppvaxing
Ängsvaxskivling
Blåsippa</t>
        </is>
      </c>
      <c r="S56">
        <f>HYPERLINK("https://klasma.github.io/Logging_2281/artfynd/A 48150-2020 artfynd.xlsx", "A 48150-2020")</f>
        <v/>
      </c>
      <c r="T56">
        <f>HYPERLINK("https://klasma.github.io/Logging_2281/kartor/A 48150-2020 karta.png", "A 48150-2020")</f>
        <v/>
      </c>
      <c r="V56">
        <f>HYPERLINK("https://klasma.github.io/Logging_2281/klagomål/A 48150-2020 FSC-klagomål.docx", "A 48150-2020")</f>
        <v/>
      </c>
      <c r="W56">
        <f>HYPERLINK("https://klasma.github.io/Logging_2281/klagomålsmail/A 48150-2020 FSC-klagomål mail.docx", "A 48150-2020")</f>
        <v/>
      </c>
      <c r="X56">
        <f>HYPERLINK("https://klasma.github.io/Logging_2281/tillsyn/A 48150-2020 tillsynsbegäran.docx", "A 48150-2020")</f>
        <v/>
      </c>
      <c r="Y56">
        <f>HYPERLINK("https://klasma.github.io/Logging_2281/tillsynsmail/A 48150-2020 tillsynsbegäran mail.docx", "A 48150-2020")</f>
        <v/>
      </c>
    </row>
    <row r="57" ht="15" customHeight="1">
      <c r="A57" t="inlineStr">
        <is>
          <t>A 48783-2023</t>
        </is>
      </c>
      <c r="B57" s="1" t="n">
        <v>45208</v>
      </c>
      <c r="C57" s="1" t="n">
        <v>45881</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45881</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45881</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37814-2023</t>
        </is>
      </c>
      <c r="B60" s="1" t="n">
        <v>45159.94206018518</v>
      </c>
      <c r="C60" s="1" t="n">
        <v>45881</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48506-2023</t>
        </is>
      </c>
      <c r="B61" s="1" t="n">
        <v>45207</v>
      </c>
      <c r="C61" s="1" t="n">
        <v>45881</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45881</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21661-2022</t>
        </is>
      </c>
      <c r="B63" s="1" t="n">
        <v>44706</v>
      </c>
      <c r="C63" s="1" t="n">
        <v>45881</v>
      </c>
      <c r="D63" t="inlineStr">
        <is>
          <t>VÄSTERNORRLANDS LÄN</t>
        </is>
      </c>
      <c r="E63" t="inlineStr">
        <is>
          <t>SUNDSVALL</t>
        </is>
      </c>
      <c r="F63" t="inlineStr">
        <is>
          <t>SCA</t>
        </is>
      </c>
      <c r="G63" t="n">
        <v>1.8</v>
      </c>
      <c r="H63" t="n">
        <v>4</v>
      </c>
      <c r="I63" t="n">
        <v>1</v>
      </c>
      <c r="J63" t="n">
        <v>2</v>
      </c>
      <c r="K63" t="n">
        <v>1</v>
      </c>
      <c r="L63" t="n">
        <v>0</v>
      </c>
      <c r="M63" t="n">
        <v>0</v>
      </c>
      <c r="N63" t="n">
        <v>0</v>
      </c>
      <c r="O63" t="n">
        <v>3</v>
      </c>
      <c r="P63" t="n">
        <v>1</v>
      </c>
      <c r="Q63" t="n">
        <v>6</v>
      </c>
      <c r="R63" s="2" t="inlineStr">
        <is>
          <t>Knärot
Lunglav
Tretåig hackspett
Norrlandslav
Orre
Tjäder</t>
        </is>
      </c>
      <c r="S63">
        <f>HYPERLINK("https://klasma.github.io/Logging_2281/artfynd/A 21661-2022 artfynd.xlsx", "A 21661-2022")</f>
        <v/>
      </c>
      <c r="T63">
        <f>HYPERLINK("https://klasma.github.io/Logging_2281/kartor/A 21661-2022 karta.png", "A 21661-2022")</f>
        <v/>
      </c>
      <c r="U63">
        <f>HYPERLINK("https://klasma.github.io/Logging_2281/knärot/A 21661-2022 karta knärot.png", "A 21661-2022")</f>
        <v/>
      </c>
      <c r="V63">
        <f>HYPERLINK("https://klasma.github.io/Logging_2281/klagomål/A 21661-2022 FSC-klagomål.docx", "A 21661-2022")</f>
        <v/>
      </c>
      <c r="W63">
        <f>HYPERLINK("https://klasma.github.io/Logging_2281/klagomålsmail/A 21661-2022 FSC-klagomål mail.docx", "A 21661-2022")</f>
        <v/>
      </c>
      <c r="X63">
        <f>HYPERLINK("https://klasma.github.io/Logging_2281/tillsyn/A 21661-2022 tillsynsbegäran.docx", "A 21661-2022")</f>
        <v/>
      </c>
      <c r="Y63">
        <f>HYPERLINK("https://klasma.github.io/Logging_2281/tillsynsmail/A 21661-2022 tillsynsbegäran mail.docx", "A 21661-2022")</f>
        <v/>
      </c>
      <c r="Z63">
        <f>HYPERLINK("https://klasma.github.io/Logging_2281/fåglar/A 21661-2022 prioriterade fågelarter.docx", "A 21661-2022")</f>
        <v/>
      </c>
    </row>
    <row r="64" ht="15" customHeight="1">
      <c r="A64" t="inlineStr">
        <is>
          <t>A 33777-2024</t>
        </is>
      </c>
      <c r="B64" s="1" t="n">
        <v>45520</v>
      </c>
      <c r="C64" s="1" t="n">
        <v>45881</v>
      </c>
      <c r="D64" t="inlineStr">
        <is>
          <t>VÄSTERNORRLANDS LÄN</t>
        </is>
      </c>
      <c r="E64" t="inlineStr">
        <is>
          <t>SUNDSVALL</t>
        </is>
      </c>
      <c r="F64" t="inlineStr">
        <is>
          <t>SCA</t>
        </is>
      </c>
      <c r="G64" t="n">
        <v>7.5</v>
      </c>
      <c r="H64" t="n">
        <v>4</v>
      </c>
      <c r="I64" t="n">
        <v>0</v>
      </c>
      <c r="J64" t="n">
        <v>4</v>
      </c>
      <c r="K64" t="n">
        <v>1</v>
      </c>
      <c r="L64" t="n">
        <v>0</v>
      </c>
      <c r="M64" t="n">
        <v>0</v>
      </c>
      <c r="N64" t="n">
        <v>0</v>
      </c>
      <c r="O64" t="n">
        <v>5</v>
      </c>
      <c r="P64" t="n">
        <v>1</v>
      </c>
      <c r="Q64" t="n">
        <v>6</v>
      </c>
      <c r="R64" s="2" t="inlineStr">
        <is>
          <t>Knärot
Granticka
Spillkråka
Tretåig hackspett
Ullticka
Dubbelnycklar</t>
        </is>
      </c>
      <c r="S64">
        <f>HYPERLINK("https://klasma.github.io/Logging_2281/artfynd/A 33777-2024 artfynd.xlsx", "A 33777-2024")</f>
        <v/>
      </c>
      <c r="T64">
        <f>HYPERLINK("https://klasma.github.io/Logging_2281/kartor/A 33777-2024 karta.png", "A 33777-2024")</f>
        <v/>
      </c>
      <c r="U64">
        <f>HYPERLINK("https://klasma.github.io/Logging_2281/knärot/A 33777-2024 karta knärot.png", "A 33777-2024")</f>
        <v/>
      </c>
      <c r="V64">
        <f>HYPERLINK("https://klasma.github.io/Logging_2281/klagomål/A 33777-2024 FSC-klagomål.docx", "A 33777-2024")</f>
        <v/>
      </c>
      <c r="W64">
        <f>HYPERLINK("https://klasma.github.io/Logging_2281/klagomålsmail/A 33777-2024 FSC-klagomål mail.docx", "A 33777-2024")</f>
        <v/>
      </c>
      <c r="X64">
        <f>HYPERLINK("https://klasma.github.io/Logging_2281/tillsyn/A 33777-2024 tillsynsbegäran.docx", "A 33777-2024")</f>
        <v/>
      </c>
      <c r="Y64">
        <f>HYPERLINK("https://klasma.github.io/Logging_2281/tillsynsmail/A 33777-2024 tillsynsbegäran mail.docx", "A 33777-2024")</f>
        <v/>
      </c>
      <c r="Z64">
        <f>HYPERLINK("https://klasma.github.io/Logging_2281/fåglar/A 33777-2024 prioriterade fågelarter.docx", "A 33777-2024")</f>
        <v/>
      </c>
    </row>
    <row r="65" ht="15" customHeight="1">
      <c r="A65" t="inlineStr">
        <is>
          <t>A 13443-2025</t>
        </is>
      </c>
      <c r="B65" s="1" t="n">
        <v>45736</v>
      </c>
      <c r="C65" s="1" t="n">
        <v>45881</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55548-2024</t>
        </is>
      </c>
      <c r="B66" s="1" t="n">
        <v>45622</v>
      </c>
      <c r="C66" s="1" t="n">
        <v>45881</v>
      </c>
      <c r="D66" t="inlineStr">
        <is>
          <t>VÄSTERNORRLANDS LÄN</t>
        </is>
      </c>
      <c r="E66" t="inlineStr">
        <is>
          <t>SUNDSVALL</t>
        </is>
      </c>
      <c r="F66" t="inlineStr">
        <is>
          <t>SCA</t>
        </is>
      </c>
      <c r="G66" t="n">
        <v>7.8</v>
      </c>
      <c r="H66" t="n">
        <v>2</v>
      </c>
      <c r="I66" t="n">
        <v>3</v>
      </c>
      <c r="J66" t="n">
        <v>2</v>
      </c>
      <c r="K66" t="n">
        <v>1</v>
      </c>
      <c r="L66" t="n">
        <v>0</v>
      </c>
      <c r="M66" t="n">
        <v>0</v>
      </c>
      <c r="N66" t="n">
        <v>0</v>
      </c>
      <c r="O66" t="n">
        <v>3</v>
      </c>
      <c r="P66" t="n">
        <v>1</v>
      </c>
      <c r="Q66" t="n">
        <v>6</v>
      </c>
      <c r="R66" s="2" t="inlineStr">
        <is>
          <t>Knärot
Granticka
Tretåig hackspett
Barkticka
Bronshjon
Vedticka</t>
        </is>
      </c>
      <c r="S66">
        <f>HYPERLINK("https://klasma.github.io/Logging_2281/artfynd/A 55548-2024 artfynd.xlsx", "A 55548-2024")</f>
        <v/>
      </c>
      <c r="T66">
        <f>HYPERLINK("https://klasma.github.io/Logging_2281/kartor/A 55548-2024 karta.png", "A 55548-2024")</f>
        <v/>
      </c>
      <c r="U66">
        <f>HYPERLINK("https://klasma.github.io/Logging_2281/knärot/A 55548-2024 karta knärot.png", "A 55548-2024")</f>
        <v/>
      </c>
      <c r="V66">
        <f>HYPERLINK("https://klasma.github.io/Logging_2281/klagomål/A 55548-2024 FSC-klagomål.docx", "A 55548-2024")</f>
        <v/>
      </c>
      <c r="W66">
        <f>HYPERLINK("https://klasma.github.io/Logging_2281/klagomålsmail/A 55548-2024 FSC-klagomål mail.docx", "A 55548-2024")</f>
        <v/>
      </c>
      <c r="X66">
        <f>HYPERLINK("https://klasma.github.io/Logging_2281/tillsyn/A 55548-2024 tillsynsbegäran.docx", "A 55548-2024")</f>
        <v/>
      </c>
      <c r="Y66">
        <f>HYPERLINK("https://klasma.github.io/Logging_2281/tillsynsmail/A 55548-2024 tillsynsbegäran mail.docx", "A 55548-2024")</f>
        <v/>
      </c>
      <c r="Z66">
        <f>HYPERLINK("https://klasma.github.io/Logging_2281/fåglar/A 55548-2024 prioriterade fågelarter.docx", "A 55548-2024")</f>
        <v/>
      </c>
    </row>
    <row r="67" ht="15" customHeight="1">
      <c r="A67" t="inlineStr">
        <is>
          <t>A 43818-2024</t>
        </is>
      </c>
      <c r="B67" s="1" t="n">
        <v>45571</v>
      </c>
      <c r="C67" s="1" t="n">
        <v>45881</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23553-2024</t>
        </is>
      </c>
      <c r="B68" s="1" t="n">
        <v>45453</v>
      </c>
      <c r="C68" s="1" t="n">
        <v>45881</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58518-2022</t>
        </is>
      </c>
      <c r="B69" s="1" t="n">
        <v>44902</v>
      </c>
      <c r="C69" s="1" t="n">
        <v>45881</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46087-2024</t>
        </is>
      </c>
      <c r="B70" s="1" t="n">
        <v>45581.34430555555</v>
      </c>
      <c r="C70" s="1" t="n">
        <v>45881</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48777-2023</t>
        </is>
      </c>
      <c r="B71" s="1" t="n">
        <v>45208</v>
      </c>
      <c r="C71" s="1" t="n">
        <v>45881</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27209-2025</t>
        </is>
      </c>
      <c r="B72" s="1" t="n">
        <v>45812.40658564815</v>
      </c>
      <c r="C72" s="1" t="n">
        <v>45881</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32938-2025</t>
        </is>
      </c>
      <c r="B73" s="1" t="n">
        <v>45839.67746527777</v>
      </c>
      <c r="C73" s="1" t="n">
        <v>45881</v>
      </c>
      <c r="D73" t="inlineStr">
        <is>
          <t>VÄSTERNORRLANDS LÄN</t>
        </is>
      </c>
      <c r="E73" t="inlineStr">
        <is>
          <t>SUNDSVALL</t>
        </is>
      </c>
      <c r="F73" t="inlineStr">
        <is>
          <t>SCA</t>
        </is>
      </c>
      <c r="G73" t="n">
        <v>2.4</v>
      </c>
      <c r="H73" t="n">
        <v>4</v>
      </c>
      <c r="I73" t="n">
        <v>0</v>
      </c>
      <c r="J73" t="n">
        <v>4</v>
      </c>
      <c r="K73" t="n">
        <v>1</v>
      </c>
      <c r="L73" t="n">
        <v>0</v>
      </c>
      <c r="M73" t="n">
        <v>0</v>
      </c>
      <c r="N73" t="n">
        <v>0</v>
      </c>
      <c r="O73" t="n">
        <v>5</v>
      </c>
      <c r="P73" t="n">
        <v>1</v>
      </c>
      <c r="Q73" t="n">
        <v>6</v>
      </c>
      <c r="R73" s="2" t="inlineStr">
        <is>
          <t>Knärot
Garnlav
Spillkråka
Tallticka
Tretåig hackspett
Revlummer</t>
        </is>
      </c>
      <c r="S73">
        <f>HYPERLINK("https://klasma.github.io/Logging_2281/artfynd/A 32938-2025 artfynd.xlsx", "A 32938-2025")</f>
        <v/>
      </c>
      <c r="T73">
        <f>HYPERLINK("https://klasma.github.io/Logging_2281/kartor/A 32938-2025 karta.png", "A 32938-2025")</f>
        <v/>
      </c>
      <c r="U73">
        <f>HYPERLINK("https://klasma.github.io/Logging_2281/knärot/A 32938-2025 karta knärot.png", "A 32938-2025")</f>
        <v/>
      </c>
      <c r="V73">
        <f>HYPERLINK("https://klasma.github.io/Logging_2281/klagomål/A 32938-2025 FSC-klagomål.docx", "A 32938-2025")</f>
        <v/>
      </c>
      <c r="W73">
        <f>HYPERLINK("https://klasma.github.io/Logging_2281/klagomålsmail/A 32938-2025 FSC-klagomål mail.docx", "A 32938-2025")</f>
        <v/>
      </c>
      <c r="X73">
        <f>HYPERLINK("https://klasma.github.io/Logging_2281/tillsyn/A 32938-2025 tillsynsbegäran.docx", "A 32938-2025")</f>
        <v/>
      </c>
      <c r="Y73">
        <f>HYPERLINK("https://klasma.github.io/Logging_2281/tillsynsmail/A 32938-2025 tillsynsbegäran mail.docx", "A 32938-2025")</f>
        <v/>
      </c>
      <c r="Z73">
        <f>HYPERLINK("https://klasma.github.io/Logging_2281/fåglar/A 32938-2025 prioriterade fågelarter.docx", "A 32938-2025")</f>
        <v/>
      </c>
    </row>
    <row r="74" ht="15" customHeight="1">
      <c r="A74" t="inlineStr">
        <is>
          <t>A 28145-2025</t>
        </is>
      </c>
      <c r="B74" s="1" t="n">
        <v>45818.34563657407</v>
      </c>
      <c r="C74" s="1" t="n">
        <v>45881</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9509-2025</t>
        </is>
      </c>
      <c r="B75" s="1" t="n">
        <v>45715.53738425926</v>
      </c>
      <c r="C75" s="1" t="n">
        <v>45881</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12894-2025</t>
        </is>
      </c>
      <c r="B76" s="1" t="n">
        <v>45733.72409722222</v>
      </c>
      <c r="C76" s="1" t="n">
        <v>45881</v>
      </c>
      <c r="D76" t="inlineStr">
        <is>
          <t>VÄSTERNORRLANDS LÄN</t>
        </is>
      </c>
      <c r="E76" t="inlineStr">
        <is>
          <t>SUNDSVALL</t>
        </is>
      </c>
      <c r="G76" t="n">
        <v>8.199999999999999</v>
      </c>
      <c r="H76" t="n">
        <v>3</v>
      </c>
      <c r="I76" t="n">
        <v>0</v>
      </c>
      <c r="J76" t="n">
        <v>5</v>
      </c>
      <c r="K76" t="n">
        <v>1</v>
      </c>
      <c r="L76" t="n">
        <v>0</v>
      </c>
      <c r="M76" t="n">
        <v>0</v>
      </c>
      <c r="N76" t="n">
        <v>0</v>
      </c>
      <c r="O76" t="n">
        <v>6</v>
      </c>
      <c r="P76" t="n">
        <v>1</v>
      </c>
      <c r="Q76" t="n">
        <v>6</v>
      </c>
      <c r="R76" s="2" t="inlineStr">
        <is>
          <t>Knärot
Garnlav
Lunglav
Rödvingetrast
Tretåig hackspett
Ullticka</t>
        </is>
      </c>
      <c r="S76">
        <f>HYPERLINK("https://klasma.github.io/Logging_2281/artfynd/A 12894-2025 artfynd.xlsx", "A 12894-2025")</f>
        <v/>
      </c>
      <c r="T76">
        <f>HYPERLINK("https://klasma.github.io/Logging_2281/kartor/A 12894-2025 karta.png", "A 12894-2025")</f>
        <v/>
      </c>
      <c r="U76">
        <f>HYPERLINK("https://klasma.github.io/Logging_2281/knärot/A 12894-2025 karta knärot.png", "A 12894-2025")</f>
        <v/>
      </c>
      <c r="V76">
        <f>HYPERLINK("https://klasma.github.io/Logging_2281/klagomål/A 12894-2025 FSC-klagomål.docx", "A 12894-2025")</f>
        <v/>
      </c>
      <c r="W76">
        <f>HYPERLINK("https://klasma.github.io/Logging_2281/klagomålsmail/A 12894-2025 FSC-klagomål mail.docx", "A 12894-2025")</f>
        <v/>
      </c>
      <c r="X76">
        <f>HYPERLINK("https://klasma.github.io/Logging_2281/tillsyn/A 12894-2025 tillsynsbegäran.docx", "A 12894-2025")</f>
        <v/>
      </c>
      <c r="Y76">
        <f>HYPERLINK("https://klasma.github.io/Logging_2281/tillsynsmail/A 12894-2025 tillsynsbegäran mail.docx", "A 12894-2025")</f>
        <v/>
      </c>
      <c r="Z76">
        <f>HYPERLINK("https://klasma.github.io/Logging_2281/fåglar/A 12894-2025 prioriterade fågelarter.docx", "A 12894-2025")</f>
        <v/>
      </c>
    </row>
    <row r="77" ht="15" customHeight="1">
      <c r="A77" t="inlineStr">
        <is>
          <t>A 7567-2021</t>
        </is>
      </c>
      <c r="B77" s="1" t="n">
        <v>44239</v>
      </c>
      <c r="C77" s="1" t="n">
        <v>45881</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55854-2022</t>
        </is>
      </c>
      <c r="B78" s="1" t="n">
        <v>44886</v>
      </c>
      <c r="C78" s="1" t="n">
        <v>45881</v>
      </c>
      <c r="D78" t="inlineStr">
        <is>
          <t>VÄSTERNORRLANDS LÄN</t>
        </is>
      </c>
      <c r="E78" t="inlineStr">
        <is>
          <t>SUNDSVALL</t>
        </is>
      </c>
      <c r="G78" t="n">
        <v>3.8</v>
      </c>
      <c r="H78" t="n">
        <v>2</v>
      </c>
      <c r="I78" t="n">
        <v>0</v>
      </c>
      <c r="J78" t="n">
        <v>2</v>
      </c>
      <c r="K78" t="n">
        <v>1</v>
      </c>
      <c r="L78" t="n">
        <v>0</v>
      </c>
      <c r="M78" t="n">
        <v>0</v>
      </c>
      <c r="N78" t="n">
        <v>0</v>
      </c>
      <c r="O78" t="n">
        <v>3</v>
      </c>
      <c r="P78" t="n">
        <v>1</v>
      </c>
      <c r="Q78" t="n">
        <v>5</v>
      </c>
      <c r="R78" s="2" t="inlineStr">
        <is>
          <t>Sanddraba
Sminkrot
Vårstarr
Pärluggla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4878-2025</t>
        </is>
      </c>
      <c r="B79" s="1" t="n">
        <v>45688</v>
      </c>
      <c r="C79" s="1" t="n">
        <v>45881</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16943-2025</t>
        </is>
      </c>
      <c r="B80" s="1" t="n">
        <v>45755.42534722222</v>
      </c>
      <c r="C80" s="1" t="n">
        <v>45881</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13556-2024</t>
        </is>
      </c>
      <c r="B81" s="1" t="n">
        <v>45387</v>
      </c>
      <c r="C81" s="1" t="n">
        <v>45881</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57859-2024</t>
        </is>
      </c>
      <c r="B82" s="1" t="n">
        <v>45631.42853009259</v>
      </c>
      <c r="C82" s="1" t="n">
        <v>45881</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20628-2025</t>
        </is>
      </c>
      <c r="B83" s="1" t="n">
        <v>45776</v>
      </c>
      <c r="C83" s="1" t="n">
        <v>45881</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29076-2024</t>
        </is>
      </c>
      <c r="B84" s="1" t="n">
        <v>45481</v>
      </c>
      <c r="C84" s="1" t="n">
        <v>45881</v>
      </c>
      <c r="D84" t="inlineStr">
        <is>
          <t>VÄSTERNORRLANDS LÄN</t>
        </is>
      </c>
      <c r="E84" t="inlineStr">
        <is>
          <t>SUNDSVALL</t>
        </is>
      </c>
      <c r="G84" t="n">
        <v>5.6</v>
      </c>
      <c r="H84" t="n">
        <v>1</v>
      </c>
      <c r="I84" t="n">
        <v>3</v>
      </c>
      <c r="J84" t="n">
        <v>1</v>
      </c>
      <c r="K84" t="n">
        <v>1</v>
      </c>
      <c r="L84" t="n">
        <v>0</v>
      </c>
      <c r="M84" t="n">
        <v>0</v>
      </c>
      <c r="N84" t="n">
        <v>0</v>
      </c>
      <c r="O84" t="n">
        <v>2</v>
      </c>
      <c r="P84" t="n">
        <v>1</v>
      </c>
      <c r="Q84" t="n">
        <v>5</v>
      </c>
      <c r="R84" s="2" t="inlineStr">
        <is>
          <t>Knärot
Lunglav
Bårdlav
Stuplav
Svart trolldruva</t>
        </is>
      </c>
      <c r="S84">
        <f>HYPERLINK("https://klasma.github.io/Logging_2281/artfynd/A 29076-2024 artfynd.xlsx", "A 29076-2024")</f>
        <v/>
      </c>
      <c r="T84">
        <f>HYPERLINK("https://klasma.github.io/Logging_2281/kartor/A 29076-2024 karta.png", "A 29076-2024")</f>
        <v/>
      </c>
      <c r="U84">
        <f>HYPERLINK("https://klasma.github.io/Logging_2281/knärot/A 29076-2024 karta knärot.png",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60009-2024</t>
        </is>
      </c>
      <c r="B85" s="1" t="n">
        <v>45642.42752314815</v>
      </c>
      <c r="C85" s="1" t="n">
        <v>45881</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39080-2020</t>
        </is>
      </c>
      <c r="B86" s="1" t="n">
        <v>44062</v>
      </c>
      <c r="C86" s="1" t="n">
        <v>45881</v>
      </c>
      <c r="D86" t="inlineStr">
        <is>
          <t>VÄSTERNORRLANDS LÄN</t>
        </is>
      </c>
      <c r="E86" t="inlineStr">
        <is>
          <t>SUNDSVALL</t>
        </is>
      </c>
      <c r="F86" t="inlineStr">
        <is>
          <t>SCA</t>
        </is>
      </c>
      <c r="G86" t="n">
        <v>4.5</v>
      </c>
      <c r="H86" t="n">
        <v>2</v>
      </c>
      <c r="I86" t="n">
        <v>1</v>
      </c>
      <c r="J86" t="n">
        <v>2</v>
      </c>
      <c r="K86" t="n">
        <v>1</v>
      </c>
      <c r="L86" t="n">
        <v>0</v>
      </c>
      <c r="M86" t="n">
        <v>0</v>
      </c>
      <c r="N86" t="n">
        <v>0</v>
      </c>
      <c r="O86" t="n">
        <v>3</v>
      </c>
      <c r="P86" t="n">
        <v>1</v>
      </c>
      <c r="Q86" t="n">
        <v>5</v>
      </c>
      <c r="R86" s="2" t="inlineStr">
        <is>
          <t>Knärot
Lunglav
Skrovellav
Grönpyrola
Blåsippa</t>
        </is>
      </c>
      <c r="S86">
        <f>HYPERLINK("https://klasma.github.io/Logging_2281/artfynd/A 39080-2020 artfynd.xlsx", "A 39080-2020")</f>
        <v/>
      </c>
      <c r="T86">
        <f>HYPERLINK("https://klasma.github.io/Logging_2281/kartor/A 39080-2020 karta.png", "A 39080-2020")</f>
        <v/>
      </c>
      <c r="U86">
        <f>HYPERLINK("https://klasma.github.io/Logging_2281/knärot/A 39080-2020 karta knärot.png", "A 39080-2020")</f>
        <v/>
      </c>
      <c r="V86">
        <f>HYPERLINK("https://klasma.github.io/Logging_2281/klagomål/A 39080-2020 FSC-klagomål.docx", "A 39080-2020")</f>
        <v/>
      </c>
      <c r="W86">
        <f>HYPERLINK("https://klasma.github.io/Logging_2281/klagomålsmail/A 39080-2020 FSC-klagomål mail.docx", "A 39080-2020")</f>
        <v/>
      </c>
      <c r="X86">
        <f>HYPERLINK("https://klasma.github.io/Logging_2281/tillsyn/A 39080-2020 tillsynsbegäran.docx", "A 39080-2020")</f>
        <v/>
      </c>
      <c r="Y86">
        <f>HYPERLINK("https://klasma.github.io/Logging_2281/tillsynsmail/A 39080-2020 tillsynsbegäran mail.docx", "A 39080-2020")</f>
        <v/>
      </c>
    </row>
    <row r="87" ht="15" customHeight="1">
      <c r="A87" t="inlineStr">
        <is>
          <t>A 51286-2024</t>
        </is>
      </c>
      <c r="B87" s="1" t="n">
        <v>45600</v>
      </c>
      <c r="C87" s="1" t="n">
        <v>45881</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4865-2025</t>
        </is>
      </c>
      <c r="B88" s="1" t="n">
        <v>45688.67528935185</v>
      </c>
      <c r="C88" s="1" t="n">
        <v>45881</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50152-2020</t>
        </is>
      </c>
      <c r="B89" s="1" t="n">
        <v>44104</v>
      </c>
      <c r="C89" s="1" t="n">
        <v>45881</v>
      </c>
      <c r="D89" t="inlineStr">
        <is>
          <t>VÄSTERNORRLANDS LÄN</t>
        </is>
      </c>
      <c r="E89" t="inlineStr">
        <is>
          <t>SUNDSVALL</t>
        </is>
      </c>
      <c r="G89" t="n">
        <v>9.199999999999999</v>
      </c>
      <c r="H89" t="n">
        <v>0</v>
      </c>
      <c r="I89" t="n">
        <v>0</v>
      </c>
      <c r="J89" t="n">
        <v>5</v>
      </c>
      <c r="K89" t="n">
        <v>0</v>
      </c>
      <c r="L89" t="n">
        <v>0</v>
      </c>
      <c r="M89" t="n">
        <v>0</v>
      </c>
      <c r="N89" t="n">
        <v>0</v>
      </c>
      <c r="O89" t="n">
        <v>5</v>
      </c>
      <c r="P89" t="n">
        <v>0</v>
      </c>
      <c r="Q89" t="n">
        <v>5</v>
      </c>
      <c r="R89" s="2" t="inlineStr">
        <is>
          <t>Garnlav
Kolflarnlav
Lunglav
Mörk kolflarnlav
Vaddporing</t>
        </is>
      </c>
      <c r="S89">
        <f>HYPERLINK("https://klasma.github.io/Logging_2281/artfynd/A 50152-2020 artfynd.xlsx", "A 50152-2020")</f>
        <v/>
      </c>
      <c r="T89">
        <f>HYPERLINK("https://klasma.github.io/Logging_2281/kartor/A 50152-2020 karta.png", "A 50152-2020")</f>
        <v/>
      </c>
      <c r="U89">
        <f>HYPERLINK("https://klasma.github.io/Logging_2281/knärot/A 50152-2020 karta knärot.png", "A 50152-2020")</f>
        <v/>
      </c>
      <c r="V89">
        <f>HYPERLINK("https://klasma.github.io/Logging_2281/klagomål/A 50152-2020 FSC-klagomål.docx", "A 50152-2020")</f>
        <v/>
      </c>
      <c r="W89">
        <f>HYPERLINK("https://klasma.github.io/Logging_2281/klagomålsmail/A 50152-2020 FSC-klagomål mail.docx", "A 50152-2020")</f>
        <v/>
      </c>
      <c r="X89">
        <f>HYPERLINK("https://klasma.github.io/Logging_2281/tillsyn/A 50152-2020 tillsynsbegäran.docx", "A 50152-2020")</f>
        <v/>
      </c>
      <c r="Y89">
        <f>HYPERLINK("https://klasma.github.io/Logging_2281/tillsynsmail/A 50152-2020 tillsynsbegäran mail.docx", "A 50152-2020")</f>
        <v/>
      </c>
    </row>
    <row r="90" ht="15" customHeight="1">
      <c r="A90" t="inlineStr">
        <is>
          <t>A 28406-2025</t>
        </is>
      </c>
      <c r="B90" s="1" t="n">
        <v>45819.34565972222</v>
      </c>
      <c r="C90" s="1" t="n">
        <v>45881</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45881</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31887-2024</t>
        </is>
      </c>
      <c r="B92" s="1" t="n">
        <v>45509</v>
      </c>
      <c r="C92" s="1" t="n">
        <v>45881</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44497-2020</t>
        </is>
      </c>
      <c r="B93" s="1" t="n">
        <v>44084</v>
      </c>
      <c r="C93" s="1" t="n">
        <v>45881</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45881</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45881</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45881</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45881</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50551-2024</t>
        </is>
      </c>
      <c r="B98" s="1" t="n">
        <v>45600</v>
      </c>
      <c r="C98" s="1" t="n">
        <v>45881</v>
      </c>
      <c r="D98" t="inlineStr">
        <is>
          <t>VÄSTERNORRLANDS LÄN</t>
        </is>
      </c>
      <c r="E98" t="inlineStr">
        <is>
          <t>SUNDSVALL</t>
        </is>
      </c>
      <c r="F98" t="inlineStr">
        <is>
          <t>Kommuner</t>
        </is>
      </c>
      <c r="G98" t="n">
        <v>19.7</v>
      </c>
      <c r="H98" t="n">
        <v>3</v>
      </c>
      <c r="I98" t="n">
        <v>0</v>
      </c>
      <c r="J98" t="n">
        <v>3</v>
      </c>
      <c r="K98" t="n">
        <v>1</v>
      </c>
      <c r="L98" t="n">
        <v>0</v>
      </c>
      <c r="M98" t="n">
        <v>0</v>
      </c>
      <c r="N98" t="n">
        <v>0</v>
      </c>
      <c r="O98" t="n">
        <v>4</v>
      </c>
      <c r="P98" t="n">
        <v>1</v>
      </c>
      <c r="Q98" t="n">
        <v>4</v>
      </c>
      <c r="R98" s="2" t="inlineStr">
        <is>
          <t>Havstrut
Flodsångare
Rödprick
Spillkråka</t>
        </is>
      </c>
      <c r="S98">
        <f>HYPERLINK("https://klasma.github.io/Logging_2281/artfynd/A 50551-2024 artfynd.xlsx", "A 50551-2024")</f>
        <v/>
      </c>
      <c r="T98">
        <f>HYPERLINK("https://klasma.github.io/Logging_2281/kartor/A 50551-2024 karta.png", "A 50551-2024")</f>
        <v/>
      </c>
      <c r="V98">
        <f>HYPERLINK("https://klasma.github.io/Logging_2281/klagomål/A 50551-2024 FSC-klagomål.docx", "A 50551-2024")</f>
        <v/>
      </c>
      <c r="W98">
        <f>HYPERLINK("https://klasma.github.io/Logging_2281/klagomålsmail/A 50551-2024 FSC-klagomål mail.docx", "A 50551-2024")</f>
        <v/>
      </c>
      <c r="X98">
        <f>HYPERLINK("https://klasma.github.io/Logging_2281/tillsyn/A 50551-2024 tillsynsbegäran.docx", "A 50551-2024")</f>
        <v/>
      </c>
      <c r="Y98">
        <f>HYPERLINK("https://klasma.github.io/Logging_2281/tillsynsmail/A 50551-2024 tillsynsbegäran mail.docx", "A 50551-2024")</f>
        <v/>
      </c>
      <c r="Z98">
        <f>HYPERLINK("https://klasma.github.io/Logging_2281/fåglar/A 50551-2024 prioriterade fågelarter.docx", "A 50551-2024")</f>
        <v/>
      </c>
    </row>
    <row r="99" ht="15" customHeight="1">
      <c r="A99" t="inlineStr">
        <is>
          <t>A 13391-2025</t>
        </is>
      </c>
      <c r="B99" s="1" t="n">
        <v>45735.69886574074</v>
      </c>
      <c r="C99" s="1" t="n">
        <v>45881</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45881</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45881</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13441-2025</t>
        </is>
      </c>
      <c r="B102" s="1" t="n">
        <v>45736</v>
      </c>
      <c r="C102" s="1" t="n">
        <v>45881</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60194-2024</t>
        </is>
      </c>
      <c r="B103" s="1" t="n">
        <v>45642</v>
      </c>
      <c r="C103" s="1" t="n">
        <v>45881</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49997-2021</t>
        </is>
      </c>
      <c r="B104" s="1" t="n">
        <v>44456</v>
      </c>
      <c r="C104" s="1" t="n">
        <v>45881</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21594-2025</t>
        </is>
      </c>
      <c r="B105" s="1" t="n">
        <v>45783.34447916667</v>
      </c>
      <c r="C105" s="1" t="n">
        <v>45881</v>
      </c>
      <c r="D105" t="inlineStr">
        <is>
          <t>VÄSTERNORRLANDS LÄN</t>
        </is>
      </c>
      <c r="E105" t="inlineStr">
        <is>
          <t>SUNDSVALL</t>
        </is>
      </c>
      <c r="F105" t="inlineStr">
        <is>
          <t>Naturvårdsverket</t>
        </is>
      </c>
      <c r="G105" t="n">
        <v>3</v>
      </c>
      <c r="H105" t="n">
        <v>0</v>
      </c>
      <c r="I105" t="n">
        <v>0</v>
      </c>
      <c r="J105" t="n">
        <v>4</v>
      </c>
      <c r="K105" t="n">
        <v>0</v>
      </c>
      <c r="L105" t="n">
        <v>0</v>
      </c>
      <c r="M105" t="n">
        <v>0</v>
      </c>
      <c r="N105" t="n">
        <v>0</v>
      </c>
      <c r="O105" t="n">
        <v>4</v>
      </c>
      <c r="P105" t="n">
        <v>0</v>
      </c>
      <c r="Q105" t="n">
        <v>4</v>
      </c>
      <c r="R105" s="2" t="inlineStr">
        <is>
          <t>Blanksvart spiklav
Blågrå svartspik
Mörk kolflarnlav
Vedflamlav</t>
        </is>
      </c>
      <c r="S105">
        <f>HYPERLINK("https://klasma.github.io/Logging_2281/artfynd/A 21594-2025 artfynd.xlsx", "A 21594-2025")</f>
        <v/>
      </c>
      <c r="T105">
        <f>HYPERLINK("https://klasma.github.io/Logging_2281/kartor/A 21594-2025 karta.png", "A 21594-2025")</f>
        <v/>
      </c>
      <c r="V105">
        <f>HYPERLINK("https://klasma.github.io/Logging_2281/klagomål/A 21594-2025 FSC-klagomål.docx", "A 21594-2025")</f>
        <v/>
      </c>
      <c r="W105">
        <f>HYPERLINK("https://klasma.github.io/Logging_2281/klagomålsmail/A 21594-2025 FSC-klagomål mail.docx", "A 21594-2025")</f>
        <v/>
      </c>
      <c r="X105">
        <f>HYPERLINK("https://klasma.github.io/Logging_2281/tillsyn/A 21594-2025 tillsynsbegäran.docx", "A 21594-2025")</f>
        <v/>
      </c>
      <c r="Y105">
        <f>HYPERLINK("https://klasma.github.io/Logging_2281/tillsynsmail/A 21594-2025 tillsynsbegäran mail.docx", "A 21594-2025")</f>
        <v/>
      </c>
    </row>
    <row r="106" ht="15" customHeight="1">
      <c r="A106" t="inlineStr">
        <is>
          <t>A 21986-2025</t>
        </is>
      </c>
      <c r="B106" s="1" t="n">
        <v>45784.65700231482</v>
      </c>
      <c r="C106" s="1" t="n">
        <v>45881</v>
      </c>
      <c r="D106" t="inlineStr">
        <is>
          <t>VÄSTERNORRLANDS LÄN</t>
        </is>
      </c>
      <c r="E106" t="inlineStr">
        <is>
          <t>SUNDSVALL</t>
        </is>
      </c>
      <c r="F106" t="inlineStr">
        <is>
          <t>Naturvårdsverket</t>
        </is>
      </c>
      <c r="G106" t="n">
        <v>5.7</v>
      </c>
      <c r="H106" t="n">
        <v>0</v>
      </c>
      <c r="I106" t="n">
        <v>2</v>
      </c>
      <c r="J106" t="n">
        <v>1</v>
      </c>
      <c r="K106" t="n">
        <v>1</v>
      </c>
      <c r="L106" t="n">
        <v>0</v>
      </c>
      <c r="M106" t="n">
        <v>0</v>
      </c>
      <c r="N106" t="n">
        <v>0</v>
      </c>
      <c r="O106" t="n">
        <v>2</v>
      </c>
      <c r="P106" t="n">
        <v>1</v>
      </c>
      <c r="Q106" t="n">
        <v>4</v>
      </c>
      <c r="R106" s="2" t="inlineStr">
        <is>
          <t>Gräddporing
Blågrå svartspik
Barkticka
Mörk husmossa</t>
        </is>
      </c>
      <c r="S106">
        <f>HYPERLINK("https://klasma.github.io/Logging_2281/artfynd/A 21986-2025 artfynd.xlsx", "A 21986-2025")</f>
        <v/>
      </c>
      <c r="T106">
        <f>HYPERLINK("https://klasma.github.io/Logging_2281/kartor/A 21986-2025 karta.png", "A 21986-2025")</f>
        <v/>
      </c>
      <c r="V106">
        <f>HYPERLINK("https://klasma.github.io/Logging_2281/klagomål/A 21986-2025 FSC-klagomål.docx", "A 21986-2025")</f>
        <v/>
      </c>
      <c r="W106">
        <f>HYPERLINK("https://klasma.github.io/Logging_2281/klagomålsmail/A 21986-2025 FSC-klagomål mail.docx", "A 21986-2025")</f>
        <v/>
      </c>
      <c r="X106">
        <f>HYPERLINK("https://klasma.github.io/Logging_2281/tillsyn/A 21986-2025 tillsynsbegäran.docx", "A 21986-2025")</f>
        <v/>
      </c>
      <c r="Y106">
        <f>HYPERLINK("https://klasma.github.io/Logging_2281/tillsynsmail/A 21986-2025 tillsynsbegäran mail.docx", "A 21986-2025")</f>
        <v/>
      </c>
    </row>
    <row r="107" ht="15" customHeight="1">
      <c r="A107" t="inlineStr">
        <is>
          <t>A 22114-2025</t>
        </is>
      </c>
      <c r="B107" s="1" t="n">
        <v>45785.51076388889</v>
      </c>
      <c r="C107" s="1" t="n">
        <v>45881</v>
      </c>
      <c r="D107" t="inlineStr">
        <is>
          <t>VÄSTERNORRLANDS LÄN</t>
        </is>
      </c>
      <c r="E107" t="inlineStr">
        <is>
          <t>SUNDSVALL</t>
        </is>
      </c>
      <c r="F107" t="inlineStr">
        <is>
          <t>SCA</t>
        </is>
      </c>
      <c r="G107" t="n">
        <v>2.3</v>
      </c>
      <c r="H107" t="n">
        <v>0</v>
      </c>
      <c r="I107" t="n">
        <v>2</v>
      </c>
      <c r="J107" t="n">
        <v>2</v>
      </c>
      <c r="K107" t="n">
        <v>0</v>
      </c>
      <c r="L107" t="n">
        <v>0</v>
      </c>
      <c r="M107" t="n">
        <v>0</v>
      </c>
      <c r="N107" t="n">
        <v>0</v>
      </c>
      <c r="O107" t="n">
        <v>2</v>
      </c>
      <c r="P107" t="n">
        <v>0</v>
      </c>
      <c r="Q107" t="n">
        <v>4</v>
      </c>
      <c r="R107" s="2" t="inlineStr">
        <is>
          <t>Kortskaftad ärgspik
Lunglav
Luddlav
Skinnlav</t>
        </is>
      </c>
      <c r="S107">
        <f>HYPERLINK("https://klasma.github.io/Logging_2281/artfynd/A 22114-2025 artfynd.xlsx", "A 22114-2025")</f>
        <v/>
      </c>
      <c r="T107">
        <f>HYPERLINK("https://klasma.github.io/Logging_2281/kartor/A 22114-2025 karta.png", "A 22114-2025")</f>
        <v/>
      </c>
      <c r="V107">
        <f>HYPERLINK("https://klasma.github.io/Logging_2281/klagomål/A 22114-2025 FSC-klagomål.docx", "A 22114-2025")</f>
        <v/>
      </c>
      <c r="W107">
        <f>HYPERLINK("https://klasma.github.io/Logging_2281/klagomålsmail/A 22114-2025 FSC-klagomål mail.docx", "A 22114-2025")</f>
        <v/>
      </c>
      <c r="X107">
        <f>HYPERLINK("https://klasma.github.io/Logging_2281/tillsyn/A 22114-2025 tillsynsbegäran.docx", "A 22114-2025")</f>
        <v/>
      </c>
      <c r="Y107">
        <f>HYPERLINK("https://klasma.github.io/Logging_2281/tillsynsmail/A 22114-2025 tillsynsbegäran mail.docx", "A 22114-2025")</f>
        <v/>
      </c>
    </row>
    <row r="108" ht="15" customHeight="1">
      <c r="A108" t="inlineStr">
        <is>
          <t>A 24422-2025</t>
        </is>
      </c>
      <c r="B108" s="1" t="n">
        <v>45797.67798611111</v>
      </c>
      <c r="C108" s="1" t="n">
        <v>45881</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3094-2021</t>
        </is>
      </c>
      <c r="B109" s="1" t="n">
        <v>44216</v>
      </c>
      <c r="C109" s="1" t="n">
        <v>45881</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18829-2023</t>
        </is>
      </c>
      <c r="B110" s="1" t="n">
        <v>45042</v>
      </c>
      <c r="C110" s="1" t="n">
        <v>45881</v>
      </c>
      <c r="D110" t="inlineStr">
        <is>
          <t>VÄSTERNORRLANDS LÄN</t>
        </is>
      </c>
      <c r="E110" t="inlineStr">
        <is>
          <t>SUNDSVALL</t>
        </is>
      </c>
      <c r="G110" t="n">
        <v>9.9</v>
      </c>
      <c r="H110" t="n">
        <v>3</v>
      </c>
      <c r="I110" t="n">
        <v>0</v>
      </c>
      <c r="J110" t="n">
        <v>2</v>
      </c>
      <c r="K110" t="n">
        <v>0</v>
      </c>
      <c r="L110" t="n">
        <v>0</v>
      </c>
      <c r="M110" t="n">
        <v>0</v>
      </c>
      <c r="N110" t="n">
        <v>0</v>
      </c>
      <c r="O110" t="n">
        <v>2</v>
      </c>
      <c r="P110" t="n">
        <v>0</v>
      </c>
      <c r="Q110" t="n">
        <v>4</v>
      </c>
      <c r="R110" s="2" t="inlineStr">
        <is>
          <t>Garnlav
Järpe
Orre
Fläcknycklar</t>
        </is>
      </c>
      <c r="S110">
        <f>HYPERLINK("https://klasma.github.io/Logging_2281/artfynd/A 18829-2023 artfynd.xlsx", "A 18829-2023")</f>
        <v/>
      </c>
      <c r="T110">
        <f>HYPERLINK("https://klasma.github.io/Logging_2281/kartor/A 18829-2023 karta.png", "A 18829-2023")</f>
        <v/>
      </c>
      <c r="V110">
        <f>HYPERLINK("https://klasma.github.io/Logging_2281/klagomål/A 18829-2023 FSC-klagomål.docx", "A 18829-2023")</f>
        <v/>
      </c>
      <c r="W110">
        <f>HYPERLINK("https://klasma.github.io/Logging_2281/klagomålsmail/A 18829-2023 FSC-klagomål mail.docx", "A 18829-2023")</f>
        <v/>
      </c>
      <c r="X110">
        <f>HYPERLINK("https://klasma.github.io/Logging_2281/tillsyn/A 18829-2023 tillsynsbegäran.docx", "A 18829-2023")</f>
        <v/>
      </c>
      <c r="Y110">
        <f>HYPERLINK("https://klasma.github.io/Logging_2281/tillsynsmail/A 18829-2023 tillsynsbegäran mail.docx", "A 18829-2023")</f>
        <v/>
      </c>
      <c r="Z110">
        <f>HYPERLINK("https://klasma.github.io/Logging_2281/fåglar/A 18829-2023 prioriterade fågelarter.docx", "A 18829-2023")</f>
        <v/>
      </c>
    </row>
    <row r="111" ht="15" customHeight="1">
      <c r="A111" t="inlineStr">
        <is>
          <t>A 50336-2020</t>
        </is>
      </c>
      <c r="B111" s="1" t="n">
        <v>44110</v>
      </c>
      <c r="C111" s="1" t="n">
        <v>45881</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14677-2022</t>
        </is>
      </c>
      <c r="B112" s="1" t="n">
        <v>44655</v>
      </c>
      <c r="C112" s="1" t="n">
        <v>45881</v>
      </c>
      <c r="D112" t="inlineStr">
        <is>
          <t>VÄSTERNORRLANDS LÄN</t>
        </is>
      </c>
      <c r="E112" t="inlineStr">
        <is>
          <t>SUNDSVALL</t>
        </is>
      </c>
      <c r="G112" t="n">
        <v>12.9</v>
      </c>
      <c r="H112" t="n">
        <v>2</v>
      </c>
      <c r="I112" t="n">
        <v>0</v>
      </c>
      <c r="J112" t="n">
        <v>2</v>
      </c>
      <c r="K112" t="n">
        <v>1</v>
      </c>
      <c r="L112" t="n">
        <v>0</v>
      </c>
      <c r="M112" t="n">
        <v>0</v>
      </c>
      <c r="N112" t="n">
        <v>0</v>
      </c>
      <c r="O112" t="n">
        <v>3</v>
      </c>
      <c r="P112" t="n">
        <v>1</v>
      </c>
      <c r="Q112" t="n">
        <v>3</v>
      </c>
      <c r="R112" s="2" t="inlineStr">
        <is>
          <t>Knärot
Gammelgransskål
Tretåig hackspett</t>
        </is>
      </c>
      <c r="S112">
        <f>HYPERLINK("https://klasma.github.io/Logging_2281/artfynd/A 14677-2022 artfynd.xlsx", "A 14677-2022")</f>
        <v/>
      </c>
      <c r="T112">
        <f>HYPERLINK("https://klasma.github.io/Logging_2281/kartor/A 14677-2022 karta.png", "A 14677-2022")</f>
        <v/>
      </c>
      <c r="U112">
        <f>HYPERLINK("https://klasma.github.io/Logging_2281/knärot/A 14677-2022 karta knärot.png", "A 14677-2022")</f>
        <v/>
      </c>
      <c r="V112">
        <f>HYPERLINK("https://klasma.github.io/Logging_2281/klagomål/A 14677-2022 FSC-klagomål.docx", "A 14677-2022")</f>
        <v/>
      </c>
      <c r="W112">
        <f>HYPERLINK("https://klasma.github.io/Logging_2281/klagomålsmail/A 14677-2022 FSC-klagomål mail.docx", "A 14677-2022")</f>
        <v/>
      </c>
      <c r="X112">
        <f>HYPERLINK("https://klasma.github.io/Logging_2281/tillsyn/A 14677-2022 tillsynsbegäran.docx", "A 14677-2022")</f>
        <v/>
      </c>
      <c r="Y112">
        <f>HYPERLINK("https://klasma.github.io/Logging_2281/tillsynsmail/A 14677-2022 tillsynsbegäran mail.docx", "A 14677-2022")</f>
        <v/>
      </c>
      <c r="Z112">
        <f>HYPERLINK("https://klasma.github.io/Logging_2281/fåglar/A 14677-2022 prioriterade fågelarter.docx", "A 14677-2022")</f>
        <v/>
      </c>
    </row>
    <row r="113" ht="15" customHeight="1">
      <c r="A113" t="inlineStr">
        <is>
          <t>A 54621-2023</t>
        </is>
      </c>
      <c r="B113" s="1" t="n">
        <v>45233</v>
      </c>
      <c r="C113" s="1" t="n">
        <v>45881</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11351-2022</t>
        </is>
      </c>
      <c r="B114" s="1" t="n">
        <v>44630</v>
      </c>
      <c r="C114" s="1" t="n">
        <v>45881</v>
      </c>
      <c r="D114" t="inlineStr">
        <is>
          <t>VÄSTERNORRLANDS LÄN</t>
        </is>
      </c>
      <c r="E114" t="inlineStr">
        <is>
          <t>SUNDSVALL</t>
        </is>
      </c>
      <c r="G114" t="n">
        <v>12.1</v>
      </c>
      <c r="H114" t="n">
        <v>1</v>
      </c>
      <c r="I114" t="n">
        <v>1</v>
      </c>
      <c r="J114" t="n">
        <v>1</v>
      </c>
      <c r="K114" t="n">
        <v>1</v>
      </c>
      <c r="L114" t="n">
        <v>0</v>
      </c>
      <c r="M114" t="n">
        <v>0</v>
      </c>
      <c r="N114" t="n">
        <v>0</v>
      </c>
      <c r="O114" t="n">
        <v>2</v>
      </c>
      <c r="P114" t="n">
        <v>1</v>
      </c>
      <c r="Q114" t="n">
        <v>3</v>
      </c>
      <c r="R114" s="2" t="inlineStr">
        <is>
          <t>Knärot
Vedskivlav
Kornig nållav</t>
        </is>
      </c>
      <c r="S114">
        <f>HYPERLINK("https://klasma.github.io/Logging_2281/artfynd/A 11351-2022 artfynd.xlsx", "A 11351-2022")</f>
        <v/>
      </c>
      <c r="T114">
        <f>HYPERLINK("https://klasma.github.io/Logging_2281/kartor/A 11351-2022 karta.png", "A 11351-2022")</f>
        <v/>
      </c>
      <c r="U114">
        <f>HYPERLINK("https://klasma.github.io/Logging_2281/knärot/A 11351-2022 karta knärot.png", "A 11351-2022")</f>
        <v/>
      </c>
      <c r="V114">
        <f>HYPERLINK("https://klasma.github.io/Logging_2281/klagomål/A 11351-2022 FSC-klagomål.docx", "A 11351-2022")</f>
        <v/>
      </c>
      <c r="W114">
        <f>HYPERLINK("https://klasma.github.io/Logging_2281/klagomålsmail/A 11351-2022 FSC-klagomål mail.docx", "A 11351-2022")</f>
        <v/>
      </c>
      <c r="X114">
        <f>HYPERLINK("https://klasma.github.io/Logging_2281/tillsyn/A 11351-2022 tillsynsbegäran.docx", "A 11351-2022")</f>
        <v/>
      </c>
      <c r="Y114">
        <f>HYPERLINK("https://klasma.github.io/Logging_2281/tillsynsmail/A 11351-2022 tillsynsbegäran mail.docx", "A 11351-2022")</f>
        <v/>
      </c>
    </row>
    <row r="115" ht="15" customHeight="1">
      <c r="A115" t="inlineStr">
        <is>
          <t>A 20077-2025</t>
        </is>
      </c>
      <c r="B115" s="1" t="n">
        <v>45772.44883101852</v>
      </c>
      <c r="C115" s="1" t="n">
        <v>45881</v>
      </c>
      <c r="D115" t="inlineStr">
        <is>
          <t>VÄSTERNORRLANDS LÄN</t>
        </is>
      </c>
      <c r="E115" t="inlineStr">
        <is>
          <t>SUNDSVALL</t>
        </is>
      </c>
      <c r="F115" t="inlineStr">
        <is>
          <t>Naturvårdsverket</t>
        </is>
      </c>
      <c r="G115" t="n">
        <v>7</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HYPERLINK("https://klasma.github.io/Logging_2281/artfynd/A 20077-2025 artfynd.xlsx", "A 20077-2025")</f>
        <v/>
      </c>
      <c r="T115">
        <f>HYPERLINK("https://klasma.github.io/Logging_2281/kartor/A 20077-2025 karta.png", "A 20077-2025")</f>
        <v/>
      </c>
      <c r="V115">
        <f>HYPERLINK("https://klasma.github.io/Logging_2281/klagomål/A 20077-2025 FSC-klagomål.docx", "A 20077-2025")</f>
        <v/>
      </c>
      <c r="W115">
        <f>HYPERLINK("https://klasma.github.io/Logging_2281/klagomålsmail/A 20077-2025 FSC-klagomål mail.docx", "A 20077-2025")</f>
        <v/>
      </c>
      <c r="X115">
        <f>HYPERLINK("https://klasma.github.io/Logging_2281/tillsyn/A 20077-2025 tillsynsbegäran.docx", "A 20077-2025")</f>
        <v/>
      </c>
      <c r="Y115">
        <f>HYPERLINK("https://klasma.github.io/Logging_2281/tillsynsmail/A 20077-2025 tillsynsbegäran mail.docx", "A 20077-2025")</f>
        <v/>
      </c>
    </row>
    <row r="116" ht="15" customHeight="1">
      <c r="A116" t="inlineStr">
        <is>
          <t>A 60864-2023</t>
        </is>
      </c>
      <c r="B116" s="1" t="n">
        <v>45260</v>
      </c>
      <c r="C116" s="1" t="n">
        <v>45881</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22566-2022</t>
        </is>
      </c>
      <c r="B117" s="1" t="n">
        <v>44713.93861111111</v>
      </c>
      <c r="C117" s="1" t="n">
        <v>45881</v>
      </c>
      <c r="D117" t="inlineStr">
        <is>
          <t>VÄSTERNORRLANDS LÄN</t>
        </is>
      </c>
      <c r="E117" t="inlineStr">
        <is>
          <t>SUNDSVALL</t>
        </is>
      </c>
      <c r="F117" t="inlineStr">
        <is>
          <t>SCA</t>
        </is>
      </c>
      <c r="G117" t="n">
        <v>5.1</v>
      </c>
      <c r="H117" t="n">
        <v>2</v>
      </c>
      <c r="I117" t="n">
        <v>0</v>
      </c>
      <c r="J117" t="n">
        <v>2</v>
      </c>
      <c r="K117" t="n">
        <v>1</v>
      </c>
      <c r="L117" t="n">
        <v>0</v>
      </c>
      <c r="M117" t="n">
        <v>0</v>
      </c>
      <c r="N117" t="n">
        <v>0</v>
      </c>
      <c r="O117" t="n">
        <v>3</v>
      </c>
      <c r="P117" t="n">
        <v>1</v>
      </c>
      <c r="Q117" t="n">
        <v>3</v>
      </c>
      <c r="R117" s="2" t="inlineStr">
        <is>
          <t>Knärot
Lunglav
Tretåig hackspett</t>
        </is>
      </c>
      <c r="S117">
        <f>HYPERLINK("https://klasma.github.io/Logging_2281/artfynd/A 22566-2022 artfynd.xlsx", "A 22566-2022")</f>
        <v/>
      </c>
      <c r="T117">
        <f>HYPERLINK("https://klasma.github.io/Logging_2281/kartor/A 22566-2022 karta.png", "A 22566-2022")</f>
        <v/>
      </c>
      <c r="U117">
        <f>HYPERLINK("https://klasma.github.io/Logging_2281/knärot/A 22566-2022 karta knärot.png", "A 22566-2022")</f>
        <v/>
      </c>
      <c r="V117">
        <f>HYPERLINK("https://klasma.github.io/Logging_2281/klagomål/A 22566-2022 FSC-klagomål.docx", "A 22566-2022")</f>
        <v/>
      </c>
      <c r="W117">
        <f>HYPERLINK("https://klasma.github.io/Logging_2281/klagomålsmail/A 22566-2022 FSC-klagomål mail.docx", "A 22566-2022")</f>
        <v/>
      </c>
      <c r="X117">
        <f>HYPERLINK("https://klasma.github.io/Logging_2281/tillsyn/A 22566-2022 tillsynsbegäran.docx", "A 22566-2022")</f>
        <v/>
      </c>
      <c r="Y117">
        <f>HYPERLINK("https://klasma.github.io/Logging_2281/tillsynsmail/A 22566-2022 tillsynsbegäran mail.docx", "A 22566-2022")</f>
        <v/>
      </c>
      <c r="Z117">
        <f>HYPERLINK("https://klasma.github.io/Logging_2281/fåglar/A 22566-2022 prioriterade fågelarter.docx", "A 22566-2022")</f>
        <v/>
      </c>
    </row>
    <row r="118" ht="15" customHeight="1">
      <c r="A118" t="inlineStr">
        <is>
          <t>A 27734-2023</t>
        </is>
      </c>
      <c r="B118" s="1" t="n">
        <v>45098.37017361111</v>
      </c>
      <c r="C118" s="1" t="n">
        <v>45881</v>
      </c>
      <c r="D118" t="inlineStr">
        <is>
          <t>VÄSTERNORRLANDS LÄN</t>
        </is>
      </c>
      <c r="E118" t="inlineStr">
        <is>
          <t>SUNDSVALL</t>
        </is>
      </c>
      <c r="G118" t="n">
        <v>0.8</v>
      </c>
      <c r="H118" t="n">
        <v>3</v>
      </c>
      <c r="I118" t="n">
        <v>0</v>
      </c>
      <c r="J118" t="n">
        <v>1</v>
      </c>
      <c r="K118" t="n">
        <v>0</v>
      </c>
      <c r="L118" t="n">
        <v>1</v>
      </c>
      <c r="M118" t="n">
        <v>0</v>
      </c>
      <c r="N118" t="n">
        <v>0</v>
      </c>
      <c r="O118" t="n">
        <v>2</v>
      </c>
      <c r="P118" t="n">
        <v>1</v>
      </c>
      <c r="Q118" t="n">
        <v>3</v>
      </c>
      <c r="R118" s="2" t="inlineStr">
        <is>
          <t>Grönfink
Björktrast
Skogsduva</t>
        </is>
      </c>
      <c r="S118">
        <f>HYPERLINK("https://klasma.github.io/Logging_2281/artfynd/A 27734-2023 artfynd.xlsx", "A 27734-2023")</f>
        <v/>
      </c>
      <c r="T118">
        <f>HYPERLINK("https://klasma.github.io/Logging_2281/kartor/A 27734-2023 karta.png", "A 27734-2023")</f>
        <v/>
      </c>
      <c r="V118">
        <f>HYPERLINK("https://klasma.github.io/Logging_2281/klagomål/A 27734-2023 FSC-klagomål.docx", "A 27734-2023")</f>
        <v/>
      </c>
      <c r="W118">
        <f>HYPERLINK("https://klasma.github.io/Logging_2281/klagomålsmail/A 27734-2023 FSC-klagomål mail.docx", "A 27734-2023")</f>
        <v/>
      </c>
      <c r="X118">
        <f>HYPERLINK("https://klasma.github.io/Logging_2281/tillsyn/A 27734-2023 tillsynsbegäran.docx", "A 27734-2023")</f>
        <v/>
      </c>
      <c r="Y118">
        <f>HYPERLINK("https://klasma.github.io/Logging_2281/tillsynsmail/A 27734-2023 tillsynsbegäran mail.docx", "A 27734-2023")</f>
        <v/>
      </c>
      <c r="Z118">
        <f>HYPERLINK("https://klasma.github.io/Logging_2281/fåglar/A 27734-2023 prioriterade fågelarter.docx", "A 27734-2023")</f>
        <v/>
      </c>
    </row>
    <row r="119" ht="15" customHeight="1">
      <c r="A119" t="inlineStr">
        <is>
          <t>A 24782-2024</t>
        </is>
      </c>
      <c r="B119" s="1" t="n">
        <v>45460.80252314815</v>
      </c>
      <c r="C119" s="1" t="n">
        <v>45881</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21036-2025</t>
        </is>
      </c>
      <c r="B120" s="1" t="n">
        <v>45777.53175925926</v>
      </c>
      <c r="C120" s="1" t="n">
        <v>45881</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45881</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55550-2024</t>
        </is>
      </c>
      <c r="B122" s="1" t="n">
        <v>45622</v>
      </c>
      <c r="C122" s="1" t="n">
        <v>45881</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30287-2023</t>
        </is>
      </c>
      <c r="B123" s="1" t="n">
        <v>45110</v>
      </c>
      <c r="C123" s="1" t="n">
        <v>45881</v>
      </c>
      <c r="D123" t="inlineStr">
        <is>
          <t>VÄSTERNORRLANDS LÄN</t>
        </is>
      </c>
      <c r="E123" t="inlineStr">
        <is>
          <t>SUNDSVALL</t>
        </is>
      </c>
      <c r="G123" t="n">
        <v>2.2</v>
      </c>
      <c r="H123" t="n">
        <v>3</v>
      </c>
      <c r="I123" t="n">
        <v>0</v>
      </c>
      <c r="J123" t="n">
        <v>1</v>
      </c>
      <c r="K123" t="n">
        <v>0</v>
      </c>
      <c r="L123" t="n">
        <v>1</v>
      </c>
      <c r="M123" t="n">
        <v>0</v>
      </c>
      <c r="N123" t="n">
        <v>0</v>
      </c>
      <c r="O123" t="n">
        <v>2</v>
      </c>
      <c r="P123" t="n">
        <v>1</v>
      </c>
      <c r="Q123" t="n">
        <v>3</v>
      </c>
      <c r="R123" s="2" t="inlineStr">
        <is>
          <t>Grönfink
Duvhök
Kungsfågel</t>
        </is>
      </c>
      <c r="S123">
        <f>HYPERLINK("https://klasma.github.io/Logging_2281/artfynd/A 30287-2023 artfynd.xlsx", "A 30287-2023")</f>
        <v/>
      </c>
      <c r="T123">
        <f>HYPERLINK("https://klasma.github.io/Logging_2281/kartor/A 30287-2023 karta.png", "A 30287-2023")</f>
        <v/>
      </c>
      <c r="V123">
        <f>HYPERLINK("https://klasma.github.io/Logging_2281/klagomål/A 30287-2023 FSC-klagomål.docx", "A 30287-2023")</f>
        <v/>
      </c>
      <c r="W123">
        <f>HYPERLINK("https://klasma.github.io/Logging_2281/klagomålsmail/A 30287-2023 FSC-klagomål mail.docx", "A 30287-2023")</f>
        <v/>
      </c>
      <c r="X123">
        <f>HYPERLINK("https://klasma.github.io/Logging_2281/tillsyn/A 30287-2023 tillsynsbegäran.docx", "A 30287-2023")</f>
        <v/>
      </c>
      <c r="Y123">
        <f>HYPERLINK("https://klasma.github.io/Logging_2281/tillsynsmail/A 30287-2023 tillsynsbegäran mail.docx", "A 30287-2023")</f>
        <v/>
      </c>
      <c r="Z123">
        <f>HYPERLINK("https://klasma.github.io/Logging_2281/fåglar/A 30287-2023 prioriterade fågelarter.docx", "A 30287-2023")</f>
        <v/>
      </c>
    </row>
    <row r="124" ht="15" customHeight="1">
      <c r="A124" t="inlineStr">
        <is>
          <t>A 24057-2025</t>
        </is>
      </c>
      <c r="B124" s="1" t="n">
        <v>45796.51077546296</v>
      </c>
      <c r="C124" s="1" t="n">
        <v>45881</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24392-2025</t>
        </is>
      </c>
      <c r="B125" s="1" t="n">
        <v>45797.63641203703</v>
      </c>
      <c r="C125" s="1" t="n">
        <v>45881</v>
      </c>
      <c r="D125" t="inlineStr">
        <is>
          <t>VÄSTERNORRLANDS LÄN</t>
        </is>
      </c>
      <c r="E125" t="inlineStr">
        <is>
          <t>SUNDSVALL</t>
        </is>
      </c>
      <c r="F125" t="inlineStr">
        <is>
          <t>SCA</t>
        </is>
      </c>
      <c r="G125" t="n">
        <v>8.800000000000001</v>
      </c>
      <c r="H125" t="n">
        <v>3</v>
      </c>
      <c r="I125" t="n">
        <v>0</v>
      </c>
      <c r="J125" t="n">
        <v>2</v>
      </c>
      <c r="K125" t="n">
        <v>0</v>
      </c>
      <c r="L125" t="n">
        <v>0</v>
      </c>
      <c r="M125" t="n">
        <v>0</v>
      </c>
      <c r="N125" t="n">
        <v>0</v>
      </c>
      <c r="O125" t="n">
        <v>2</v>
      </c>
      <c r="P125" t="n">
        <v>0</v>
      </c>
      <c r="Q125" t="n">
        <v>3</v>
      </c>
      <c r="R125" s="2" t="inlineStr">
        <is>
          <t>Spillkråka
Tretåig hackspett
Tjäder</t>
        </is>
      </c>
      <c r="S125">
        <f>HYPERLINK("https://klasma.github.io/Logging_2281/artfynd/A 24392-2025 artfynd.xlsx", "A 24392-2025")</f>
        <v/>
      </c>
      <c r="T125">
        <f>HYPERLINK("https://klasma.github.io/Logging_2281/kartor/A 24392-2025 karta.png", "A 24392-2025")</f>
        <v/>
      </c>
      <c r="V125">
        <f>HYPERLINK("https://klasma.github.io/Logging_2281/klagomål/A 24392-2025 FSC-klagomål.docx", "A 24392-2025")</f>
        <v/>
      </c>
      <c r="W125">
        <f>HYPERLINK("https://klasma.github.io/Logging_2281/klagomålsmail/A 24392-2025 FSC-klagomål mail.docx", "A 24392-2025")</f>
        <v/>
      </c>
      <c r="X125">
        <f>HYPERLINK("https://klasma.github.io/Logging_2281/tillsyn/A 24392-2025 tillsynsbegäran.docx", "A 24392-2025")</f>
        <v/>
      </c>
      <c r="Y125">
        <f>HYPERLINK("https://klasma.github.io/Logging_2281/tillsynsmail/A 24392-2025 tillsynsbegäran mail.docx", "A 24392-2025")</f>
        <v/>
      </c>
      <c r="Z125">
        <f>HYPERLINK("https://klasma.github.io/Logging_2281/fåglar/A 24392-2025 prioriterade fågelarter.docx", "A 24392-2025")</f>
        <v/>
      </c>
    </row>
    <row r="126" ht="15" customHeight="1">
      <c r="A126" t="inlineStr">
        <is>
          <t>A 19225-2025</t>
        </is>
      </c>
      <c r="B126" s="1" t="n">
        <v>45769.44872685185</v>
      </c>
      <c r="C126" s="1" t="n">
        <v>45881</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30684-2025</t>
        </is>
      </c>
      <c r="B127" s="1" t="n">
        <v>45831.53170138889</v>
      </c>
      <c r="C127" s="1" t="n">
        <v>45881</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49380-2021</t>
        </is>
      </c>
      <c r="B128" s="1" t="n">
        <v>44454</v>
      </c>
      <c r="C128" s="1" t="n">
        <v>45881</v>
      </c>
      <c r="D128" t="inlineStr">
        <is>
          <t>VÄSTERNORRLANDS LÄN</t>
        </is>
      </c>
      <c r="E128" t="inlineStr">
        <is>
          <t>SUNDSVALL</t>
        </is>
      </c>
      <c r="F128" t="inlineStr">
        <is>
          <t>Kommuner</t>
        </is>
      </c>
      <c r="G128" t="n">
        <v>4.5</v>
      </c>
      <c r="H128" t="n">
        <v>1</v>
      </c>
      <c r="I128" t="n">
        <v>1</v>
      </c>
      <c r="J128" t="n">
        <v>0</v>
      </c>
      <c r="K128" t="n">
        <v>0</v>
      </c>
      <c r="L128" t="n">
        <v>0</v>
      </c>
      <c r="M128" t="n">
        <v>0</v>
      </c>
      <c r="N128" t="n">
        <v>0</v>
      </c>
      <c r="O128" t="n">
        <v>0</v>
      </c>
      <c r="P128" t="n">
        <v>0</v>
      </c>
      <c r="Q128" t="n">
        <v>2</v>
      </c>
      <c r="R128" s="2" t="inlineStr">
        <is>
          <t>Tibast
Blåsippa</t>
        </is>
      </c>
      <c r="S128">
        <f>HYPERLINK("https://klasma.github.io/Logging_2281/artfynd/A 49380-2021 artfynd.xlsx", "A 49380-2021")</f>
        <v/>
      </c>
      <c r="T128">
        <f>HYPERLINK("https://klasma.github.io/Logging_2281/kartor/A 49380-2021 karta.png", "A 49380-2021")</f>
        <v/>
      </c>
      <c r="V128">
        <f>HYPERLINK("https://klasma.github.io/Logging_2281/klagomål/A 49380-2021 FSC-klagomål.docx", "A 49380-2021")</f>
        <v/>
      </c>
      <c r="W128">
        <f>HYPERLINK("https://klasma.github.io/Logging_2281/klagomålsmail/A 49380-2021 FSC-klagomål mail.docx", "A 49380-2021")</f>
        <v/>
      </c>
      <c r="X128">
        <f>HYPERLINK("https://klasma.github.io/Logging_2281/tillsyn/A 49380-2021 tillsynsbegäran.docx", "A 49380-2021")</f>
        <v/>
      </c>
      <c r="Y128">
        <f>HYPERLINK("https://klasma.github.io/Logging_2281/tillsynsmail/A 49380-2021 tillsynsbegäran mail.docx", "A 49380-2021")</f>
        <v/>
      </c>
    </row>
    <row r="129" ht="15" customHeight="1">
      <c r="A129" t="inlineStr">
        <is>
          <t>A 7637-2021</t>
        </is>
      </c>
      <c r="B129" s="1" t="n">
        <v>44242.37413194445</v>
      </c>
      <c r="C129" s="1" t="n">
        <v>45881</v>
      </c>
      <c r="D129" t="inlineStr">
        <is>
          <t>VÄSTERNORRLANDS LÄN</t>
        </is>
      </c>
      <c r="E129" t="inlineStr">
        <is>
          <t>SUNDSVALL</t>
        </is>
      </c>
      <c r="G129" t="n">
        <v>3.9</v>
      </c>
      <c r="H129" t="n">
        <v>2</v>
      </c>
      <c r="I129" t="n">
        <v>0</v>
      </c>
      <c r="J129" t="n">
        <v>1</v>
      </c>
      <c r="K129" t="n">
        <v>0</v>
      </c>
      <c r="L129" t="n">
        <v>0</v>
      </c>
      <c r="M129" t="n">
        <v>0</v>
      </c>
      <c r="N129" t="n">
        <v>0</v>
      </c>
      <c r="O129" t="n">
        <v>1</v>
      </c>
      <c r="P129" t="n">
        <v>0</v>
      </c>
      <c r="Q129" t="n">
        <v>2</v>
      </c>
      <c r="R129" s="2" t="inlineStr">
        <is>
          <t>Spillkråka
Gröngöling</t>
        </is>
      </c>
      <c r="S129">
        <f>HYPERLINK("https://klasma.github.io/Logging_2281/artfynd/A 7637-2021 artfynd.xlsx", "A 7637-2021")</f>
        <v/>
      </c>
      <c r="T129">
        <f>HYPERLINK("https://klasma.github.io/Logging_2281/kartor/A 7637-2021 karta.png", "A 7637-2021")</f>
        <v/>
      </c>
      <c r="V129">
        <f>HYPERLINK("https://klasma.github.io/Logging_2281/klagomål/A 7637-2021 FSC-klagomål.docx", "A 7637-2021")</f>
        <v/>
      </c>
      <c r="W129">
        <f>HYPERLINK("https://klasma.github.io/Logging_2281/klagomålsmail/A 7637-2021 FSC-klagomål mail.docx", "A 7637-2021")</f>
        <v/>
      </c>
      <c r="X129">
        <f>HYPERLINK("https://klasma.github.io/Logging_2281/tillsyn/A 7637-2021 tillsynsbegäran.docx", "A 7637-2021")</f>
        <v/>
      </c>
      <c r="Y129">
        <f>HYPERLINK("https://klasma.github.io/Logging_2281/tillsynsmail/A 7637-2021 tillsynsbegäran mail.docx", "A 7637-2021")</f>
        <v/>
      </c>
      <c r="Z129">
        <f>HYPERLINK("https://klasma.github.io/Logging_2281/fåglar/A 7637-2021 prioriterade fågelarter.docx", "A 7637-2021")</f>
        <v/>
      </c>
    </row>
    <row r="130" ht="15" customHeight="1">
      <c r="A130" t="inlineStr">
        <is>
          <t>A 35307-2022</t>
        </is>
      </c>
      <c r="B130" s="1" t="n">
        <v>44798.44170138889</v>
      </c>
      <c r="C130" s="1" t="n">
        <v>45881</v>
      </c>
      <c r="D130" t="inlineStr">
        <is>
          <t>VÄSTERNORRLANDS LÄN</t>
        </is>
      </c>
      <c r="E130" t="inlineStr">
        <is>
          <t>SUNDSVALL</t>
        </is>
      </c>
      <c r="F130" t="inlineStr">
        <is>
          <t>Holmen skog AB</t>
        </is>
      </c>
      <c r="G130" t="n">
        <v>13.4</v>
      </c>
      <c r="H130" t="n">
        <v>0</v>
      </c>
      <c r="I130" t="n">
        <v>1</v>
      </c>
      <c r="J130" t="n">
        <v>1</v>
      </c>
      <c r="K130" t="n">
        <v>0</v>
      </c>
      <c r="L130" t="n">
        <v>0</v>
      </c>
      <c r="M130" t="n">
        <v>0</v>
      </c>
      <c r="N130" t="n">
        <v>0</v>
      </c>
      <c r="O130" t="n">
        <v>1</v>
      </c>
      <c r="P130" t="n">
        <v>0</v>
      </c>
      <c r="Q130" t="n">
        <v>2</v>
      </c>
      <c r="R130" s="2" t="inlineStr">
        <is>
          <t>Månlåsbräken
Ögonpyrola</t>
        </is>
      </c>
      <c r="S130">
        <f>HYPERLINK("https://klasma.github.io/Logging_2281/artfynd/A 35307-2022 artfynd.xlsx", "A 35307-2022")</f>
        <v/>
      </c>
      <c r="T130">
        <f>HYPERLINK("https://klasma.github.io/Logging_2281/kartor/A 35307-2022 karta.png", "A 35307-2022")</f>
        <v/>
      </c>
      <c r="V130">
        <f>HYPERLINK("https://klasma.github.io/Logging_2281/klagomål/A 35307-2022 FSC-klagomål.docx", "A 35307-2022")</f>
        <v/>
      </c>
      <c r="W130">
        <f>HYPERLINK("https://klasma.github.io/Logging_2281/klagomålsmail/A 35307-2022 FSC-klagomål mail.docx", "A 35307-2022")</f>
        <v/>
      </c>
      <c r="X130">
        <f>HYPERLINK("https://klasma.github.io/Logging_2281/tillsyn/A 35307-2022 tillsynsbegäran.docx", "A 35307-2022")</f>
        <v/>
      </c>
      <c r="Y130">
        <f>HYPERLINK("https://klasma.github.io/Logging_2281/tillsynsmail/A 35307-2022 tillsynsbegäran mail.docx", "A 35307-2022")</f>
        <v/>
      </c>
    </row>
    <row r="131" ht="15" customHeight="1">
      <c r="A131" t="inlineStr">
        <is>
          <t>A 49320-2023</t>
        </is>
      </c>
      <c r="B131" s="1" t="n">
        <v>45210</v>
      </c>
      <c r="C131" s="1" t="n">
        <v>45881</v>
      </c>
      <c r="D131" t="inlineStr">
        <is>
          <t>VÄSTERNORRLANDS LÄN</t>
        </is>
      </c>
      <c r="E131" t="inlineStr">
        <is>
          <t>SUNDSVALL</t>
        </is>
      </c>
      <c r="F131" t="inlineStr">
        <is>
          <t>SCA</t>
        </is>
      </c>
      <c r="G131" t="n">
        <v>1.3</v>
      </c>
      <c r="H131" t="n">
        <v>0</v>
      </c>
      <c r="I131" t="n">
        <v>0</v>
      </c>
      <c r="J131" t="n">
        <v>2</v>
      </c>
      <c r="K131" t="n">
        <v>0</v>
      </c>
      <c r="L131" t="n">
        <v>0</v>
      </c>
      <c r="M131" t="n">
        <v>0</v>
      </c>
      <c r="N131" t="n">
        <v>0</v>
      </c>
      <c r="O131" t="n">
        <v>2</v>
      </c>
      <c r="P131" t="n">
        <v>0</v>
      </c>
      <c r="Q131" t="n">
        <v>2</v>
      </c>
      <c r="R131" s="2" t="inlineStr">
        <is>
          <t>Garnlav
Rosenticka</t>
        </is>
      </c>
      <c r="S131">
        <f>HYPERLINK("https://klasma.github.io/Logging_2281/artfynd/A 49320-2023 artfynd.xlsx", "A 49320-2023")</f>
        <v/>
      </c>
      <c r="T131">
        <f>HYPERLINK("https://klasma.github.io/Logging_2281/kartor/A 49320-2023 karta.png", "A 49320-2023")</f>
        <v/>
      </c>
      <c r="V131">
        <f>HYPERLINK("https://klasma.github.io/Logging_2281/klagomål/A 49320-2023 FSC-klagomål.docx", "A 49320-2023")</f>
        <v/>
      </c>
      <c r="W131">
        <f>HYPERLINK("https://klasma.github.io/Logging_2281/klagomålsmail/A 49320-2023 FSC-klagomål mail.docx", "A 49320-2023")</f>
        <v/>
      </c>
      <c r="X131">
        <f>HYPERLINK("https://klasma.github.io/Logging_2281/tillsyn/A 49320-2023 tillsynsbegäran.docx", "A 49320-2023")</f>
        <v/>
      </c>
      <c r="Y131">
        <f>HYPERLINK("https://klasma.github.io/Logging_2281/tillsynsmail/A 49320-2023 tillsynsbegäran mail.docx", "A 49320-2023")</f>
        <v/>
      </c>
    </row>
    <row r="132" ht="15" customHeight="1">
      <c r="A132" t="inlineStr">
        <is>
          <t>A 57781-2023</t>
        </is>
      </c>
      <c r="B132" s="1" t="n">
        <v>45246</v>
      </c>
      <c r="C132" s="1" t="n">
        <v>45881</v>
      </c>
      <c r="D132" t="inlineStr">
        <is>
          <t>VÄSTERNORRLANDS LÄN</t>
        </is>
      </c>
      <c r="E132" t="inlineStr">
        <is>
          <t>SUNDSVALL</t>
        </is>
      </c>
      <c r="F132" t="inlineStr">
        <is>
          <t>SCA</t>
        </is>
      </c>
      <c r="G132" t="n">
        <v>4.9</v>
      </c>
      <c r="H132" t="n">
        <v>0</v>
      </c>
      <c r="I132" t="n">
        <v>1</v>
      </c>
      <c r="J132" t="n">
        <v>1</v>
      </c>
      <c r="K132" t="n">
        <v>0</v>
      </c>
      <c r="L132" t="n">
        <v>0</v>
      </c>
      <c r="M132" t="n">
        <v>0</v>
      </c>
      <c r="N132" t="n">
        <v>0</v>
      </c>
      <c r="O132" t="n">
        <v>1</v>
      </c>
      <c r="P132" t="n">
        <v>0</v>
      </c>
      <c r="Q132" t="n">
        <v>2</v>
      </c>
      <c r="R132" s="2" t="inlineStr">
        <is>
          <t>Tallticka
Bollvitmossa</t>
        </is>
      </c>
      <c r="S132">
        <f>HYPERLINK("https://klasma.github.io/Logging_2281/artfynd/A 57781-2023 artfynd.xlsx", "A 57781-2023")</f>
        <v/>
      </c>
      <c r="T132">
        <f>HYPERLINK("https://klasma.github.io/Logging_2281/kartor/A 57781-2023 karta.png", "A 57781-2023")</f>
        <v/>
      </c>
      <c r="V132">
        <f>HYPERLINK("https://klasma.github.io/Logging_2281/klagomål/A 57781-2023 FSC-klagomål.docx", "A 57781-2023")</f>
        <v/>
      </c>
      <c r="W132">
        <f>HYPERLINK("https://klasma.github.io/Logging_2281/klagomålsmail/A 57781-2023 FSC-klagomål mail.docx", "A 57781-2023")</f>
        <v/>
      </c>
      <c r="X132">
        <f>HYPERLINK("https://klasma.github.io/Logging_2281/tillsyn/A 57781-2023 tillsynsbegäran.docx", "A 57781-2023")</f>
        <v/>
      </c>
      <c r="Y132">
        <f>HYPERLINK("https://klasma.github.io/Logging_2281/tillsynsmail/A 57781-2023 tillsynsbegäran mail.docx", "A 57781-2023")</f>
        <v/>
      </c>
    </row>
    <row r="133" ht="15" customHeight="1">
      <c r="A133" t="inlineStr">
        <is>
          <t>A 39929-2021</t>
        </is>
      </c>
      <c r="B133" s="1" t="n">
        <v>44417</v>
      </c>
      <c r="C133" s="1" t="n">
        <v>45881</v>
      </c>
      <c r="D133" t="inlineStr">
        <is>
          <t>VÄSTERNORRLANDS LÄN</t>
        </is>
      </c>
      <c r="E133" t="inlineStr">
        <is>
          <t>SUNDSVALL</t>
        </is>
      </c>
      <c r="F133" t="inlineStr">
        <is>
          <t>SCA</t>
        </is>
      </c>
      <c r="G133" t="n">
        <v>3.3</v>
      </c>
      <c r="H133" t="n">
        <v>2</v>
      </c>
      <c r="I133" t="n">
        <v>0</v>
      </c>
      <c r="J133" t="n">
        <v>1</v>
      </c>
      <c r="K133" t="n">
        <v>0</v>
      </c>
      <c r="L133" t="n">
        <v>0</v>
      </c>
      <c r="M133" t="n">
        <v>0</v>
      </c>
      <c r="N133" t="n">
        <v>0</v>
      </c>
      <c r="O133" t="n">
        <v>1</v>
      </c>
      <c r="P133" t="n">
        <v>0</v>
      </c>
      <c r="Q133" t="n">
        <v>2</v>
      </c>
      <c r="R133" s="2" t="inlineStr">
        <is>
          <t>Tretåig hackspett
Nattviol</t>
        </is>
      </c>
      <c r="S133">
        <f>HYPERLINK("https://klasma.github.io/Logging_2281/artfynd/A 39929-2021 artfynd.xlsx", "A 39929-2021")</f>
        <v/>
      </c>
      <c r="T133">
        <f>HYPERLINK("https://klasma.github.io/Logging_2281/kartor/A 39929-2021 karta.png", "A 39929-2021")</f>
        <v/>
      </c>
      <c r="V133">
        <f>HYPERLINK("https://klasma.github.io/Logging_2281/klagomål/A 39929-2021 FSC-klagomål.docx", "A 39929-2021")</f>
        <v/>
      </c>
      <c r="W133">
        <f>HYPERLINK("https://klasma.github.io/Logging_2281/klagomålsmail/A 39929-2021 FSC-klagomål mail.docx", "A 39929-2021")</f>
        <v/>
      </c>
      <c r="X133">
        <f>HYPERLINK("https://klasma.github.io/Logging_2281/tillsyn/A 39929-2021 tillsynsbegäran.docx", "A 39929-2021")</f>
        <v/>
      </c>
      <c r="Y133">
        <f>HYPERLINK("https://klasma.github.io/Logging_2281/tillsynsmail/A 39929-2021 tillsynsbegäran mail.docx", "A 39929-2021")</f>
        <v/>
      </c>
      <c r="Z133">
        <f>HYPERLINK("https://klasma.github.io/Logging_2281/fåglar/A 39929-2021 prioriterade fågelarter.docx", "A 39929-2021")</f>
        <v/>
      </c>
    </row>
    <row r="134" ht="15" customHeight="1">
      <c r="A134" t="inlineStr">
        <is>
          <t>A 34766-2024</t>
        </is>
      </c>
      <c r="B134" s="1" t="n">
        <v>45526</v>
      </c>
      <c r="C134" s="1" t="n">
        <v>45881</v>
      </c>
      <c r="D134" t="inlineStr">
        <is>
          <t>VÄSTERNORRLANDS LÄN</t>
        </is>
      </c>
      <c r="E134" t="inlineStr">
        <is>
          <t>SUNDSVALL</t>
        </is>
      </c>
      <c r="F134" t="inlineStr">
        <is>
          <t>SCA</t>
        </is>
      </c>
      <c r="G134" t="n">
        <v>10</v>
      </c>
      <c r="H134" t="n">
        <v>1</v>
      </c>
      <c r="I134" t="n">
        <v>1</v>
      </c>
      <c r="J134" t="n">
        <v>0</v>
      </c>
      <c r="K134" t="n">
        <v>0</v>
      </c>
      <c r="L134" t="n">
        <v>0</v>
      </c>
      <c r="M134" t="n">
        <v>0</v>
      </c>
      <c r="N134" t="n">
        <v>0</v>
      </c>
      <c r="O134" t="n">
        <v>0</v>
      </c>
      <c r="P134" t="n">
        <v>0</v>
      </c>
      <c r="Q134" t="n">
        <v>2</v>
      </c>
      <c r="R134" s="2" t="inlineStr">
        <is>
          <t>Vårärt
Revlummer</t>
        </is>
      </c>
      <c r="S134">
        <f>HYPERLINK("https://klasma.github.io/Logging_2281/artfynd/A 34766-2024 artfynd.xlsx", "A 34766-2024")</f>
        <v/>
      </c>
      <c r="T134">
        <f>HYPERLINK("https://klasma.github.io/Logging_2281/kartor/A 34766-2024 karta.png", "A 34766-2024")</f>
        <v/>
      </c>
      <c r="V134">
        <f>HYPERLINK("https://klasma.github.io/Logging_2281/klagomål/A 34766-2024 FSC-klagomål.docx", "A 34766-2024")</f>
        <v/>
      </c>
      <c r="W134">
        <f>HYPERLINK("https://klasma.github.io/Logging_2281/klagomålsmail/A 34766-2024 FSC-klagomål mail.docx", "A 34766-2024")</f>
        <v/>
      </c>
      <c r="X134">
        <f>HYPERLINK("https://klasma.github.io/Logging_2281/tillsyn/A 34766-2024 tillsynsbegäran.docx", "A 34766-2024")</f>
        <v/>
      </c>
      <c r="Y134">
        <f>HYPERLINK("https://klasma.github.io/Logging_2281/tillsynsmail/A 34766-2024 tillsynsbegäran mail.docx", "A 34766-2024")</f>
        <v/>
      </c>
    </row>
    <row r="135" ht="15" customHeight="1">
      <c r="A135" t="inlineStr">
        <is>
          <t>A 62532-2023</t>
        </is>
      </c>
      <c r="B135" s="1" t="n">
        <v>45268</v>
      </c>
      <c r="C135" s="1" t="n">
        <v>45881</v>
      </c>
      <c r="D135" t="inlineStr">
        <is>
          <t>VÄSTERNORRLANDS LÄN</t>
        </is>
      </c>
      <c r="E135" t="inlineStr">
        <is>
          <t>SUNDSVALL</t>
        </is>
      </c>
      <c r="G135" t="n">
        <v>0.7</v>
      </c>
      <c r="H135" t="n">
        <v>2</v>
      </c>
      <c r="I135" t="n">
        <v>0</v>
      </c>
      <c r="J135" t="n">
        <v>1</v>
      </c>
      <c r="K135" t="n">
        <v>0</v>
      </c>
      <c r="L135" t="n">
        <v>0</v>
      </c>
      <c r="M135" t="n">
        <v>0</v>
      </c>
      <c r="N135" t="n">
        <v>0</v>
      </c>
      <c r="O135" t="n">
        <v>1</v>
      </c>
      <c r="P135" t="n">
        <v>0</v>
      </c>
      <c r="Q135" t="n">
        <v>2</v>
      </c>
      <c r="R135" s="2" t="inlineStr">
        <is>
          <t>Spillkråka
Gråspett</t>
        </is>
      </c>
      <c r="S135">
        <f>HYPERLINK("https://klasma.github.io/Logging_2281/artfynd/A 62532-2023 artfynd.xlsx", "A 62532-2023")</f>
        <v/>
      </c>
      <c r="T135">
        <f>HYPERLINK("https://klasma.github.io/Logging_2281/kartor/A 62532-2023 karta.png", "A 62532-2023")</f>
        <v/>
      </c>
      <c r="V135">
        <f>HYPERLINK("https://klasma.github.io/Logging_2281/klagomål/A 62532-2023 FSC-klagomål.docx", "A 62532-2023")</f>
        <v/>
      </c>
      <c r="W135">
        <f>HYPERLINK("https://klasma.github.io/Logging_2281/klagomålsmail/A 62532-2023 FSC-klagomål mail.docx", "A 62532-2023")</f>
        <v/>
      </c>
      <c r="X135">
        <f>HYPERLINK("https://klasma.github.io/Logging_2281/tillsyn/A 62532-2023 tillsynsbegäran.docx", "A 62532-2023")</f>
        <v/>
      </c>
      <c r="Y135">
        <f>HYPERLINK("https://klasma.github.io/Logging_2281/tillsynsmail/A 62532-2023 tillsynsbegäran mail.docx", "A 62532-2023")</f>
        <v/>
      </c>
      <c r="Z135">
        <f>HYPERLINK("https://klasma.github.io/Logging_2281/fåglar/A 62532-2023 prioriterade fågelarter.docx", "A 62532-2023")</f>
        <v/>
      </c>
    </row>
    <row r="136" ht="15" customHeight="1">
      <c r="A136" t="inlineStr">
        <is>
          <t>A 27380-2023</t>
        </is>
      </c>
      <c r="B136" s="1" t="n">
        <v>45096</v>
      </c>
      <c r="C136" s="1" t="n">
        <v>45881</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41814-2022</t>
        </is>
      </c>
      <c r="B137" s="1" t="n">
        <v>44827</v>
      </c>
      <c r="C137" s="1" t="n">
        <v>45881</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58191-2022</t>
        </is>
      </c>
      <c r="B138" s="1" t="n">
        <v>44900</v>
      </c>
      <c r="C138" s="1" t="n">
        <v>45881</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52741-2022</t>
        </is>
      </c>
      <c r="B139" s="1" t="n">
        <v>44874</v>
      </c>
      <c r="C139" s="1" t="n">
        <v>45881</v>
      </c>
      <c r="D139" t="inlineStr">
        <is>
          <t>VÄSTERNORRLANDS LÄN</t>
        </is>
      </c>
      <c r="E139" t="inlineStr">
        <is>
          <t>SUNDSVALL</t>
        </is>
      </c>
      <c r="F139" t="inlineStr">
        <is>
          <t>SCA</t>
        </is>
      </c>
      <c r="G139" t="n">
        <v>5.2</v>
      </c>
      <c r="H139" t="n">
        <v>1</v>
      </c>
      <c r="I139" t="n">
        <v>1</v>
      </c>
      <c r="J139" t="n">
        <v>1</v>
      </c>
      <c r="K139" t="n">
        <v>0</v>
      </c>
      <c r="L139" t="n">
        <v>0</v>
      </c>
      <c r="M139" t="n">
        <v>0</v>
      </c>
      <c r="N139" t="n">
        <v>0</v>
      </c>
      <c r="O139" t="n">
        <v>1</v>
      </c>
      <c r="P139" t="n">
        <v>0</v>
      </c>
      <c r="Q139" t="n">
        <v>2</v>
      </c>
      <c r="R139" s="2" t="inlineStr">
        <is>
          <t>Videsparv
Skuggblåslav</t>
        </is>
      </c>
      <c r="S139">
        <f>HYPERLINK("https://klasma.github.io/Logging_2281/artfynd/A 52741-2022 artfynd.xlsx", "A 52741-2022")</f>
        <v/>
      </c>
      <c r="T139">
        <f>HYPERLINK("https://klasma.github.io/Logging_2281/kartor/A 52741-2022 karta.png", "A 52741-2022")</f>
        <v/>
      </c>
      <c r="V139">
        <f>HYPERLINK("https://klasma.github.io/Logging_2281/klagomål/A 52741-2022 FSC-klagomål.docx", "A 52741-2022")</f>
        <v/>
      </c>
      <c r="W139">
        <f>HYPERLINK("https://klasma.github.io/Logging_2281/klagomålsmail/A 52741-2022 FSC-klagomål mail.docx", "A 52741-2022")</f>
        <v/>
      </c>
      <c r="X139">
        <f>HYPERLINK("https://klasma.github.io/Logging_2281/tillsyn/A 52741-2022 tillsynsbegäran.docx", "A 52741-2022")</f>
        <v/>
      </c>
      <c r="Y139">
        <f>HYPERLINK("https://klasma.github.io/Logging_2281/tillsynsmail/A 52741-2022 tillsynsbegäran mail.docx", "A 52741-2022")</f>
        <v/>
      </c>
      <c r="Z139">
        <f>HYPERLINK("https://klasma.github.io/Logging_2281/fåglar/A 52741-2022 prioriterade fågelarter.docx", "A 52741-2022")</f>
        <v/>
      </c>
    </row>
    <row r="140" ht="15" customHeight="1">
      <c r="A140" t="inlineStr">
        <is>
          <t>A 13675-2024</t>
        </is>
      </c>
      <c r="B140" s="1" t="n">
        <v>45390</v>
      </c>
      <c r="C140" s="1" t="n">
        <v>45881</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70072-2021</t>
        </is>
      </c>
      <c r="B141" s="1" t="n">
        <v>44533.52040509259</v>
      </c>
      <c r="C141" s="1" t="n">
        <v>45881</v>
      </c>
      <c r="D141" t="inlineStr">
        <is>
          <t>VÄSTERNORRLANDS LÄN</t>
        </is>
      </c>
      <c r="E141" t="inlineStr">
        <is>
          <t>SUNDSVALL</t>
        </is>
      </c>
      <c r="G141" t="n">
        <v>1.2</v>
      </c>
      <c r="H141" t="n">
        <v>0</v>
      </c>
      <c r="I141" t="n">
        <v>0</v>
      </c>
      <c r="J141" t="n">
        <v>2</v>
      </c>
      <c r="K141" t="n">
        <v>0</v>
      </c>
      <c r="L141" t="n">
        <v>0</v>
      </c>
      <c r="M141" t="n">
        <v>0</v>
      </c>
      <c r="N141" t="n">
        <v>0</v>
      </c>
      <c r="O141" t="n">
        <v>2</v>
      </c>
      <c r="P141" t="n">
        <v>0</v>
      </c>
      <c r="Q141" t="n">
        <v>2</v>
      </c>
      <c r="R141" s="2" t="inlineStr">
        <is>
          <t>Garnlav
Lunglav</t>
        </is>
      </c>
      <c r="S141">
        <f>HYPERLINK("https://klasma.github.io/Logging_2281/artfynd/A 70072-2021 artfynd.xlsx", "A 70072-2021")</f>
        <v/>
      </c>
      <c r="T141">
        <f>HYPERLINK("https://klasma.github.io/Logging_2281/kartor/A 70072-2021 karta.png", "A 70072-2021")</f>
        <v/>
      </c>
      <c r="V141">
        <f>HYPERLINK("https://klasma.github.io/Logging_2281/klagomål/A 70072-2021 FSC-klagomål.docx", "A 70072-2021")</f>
        <v/>
      </c>
      <c r="W141">
        <f>HYPERLINK("https://klasma.github.io/Logging_2281/klagomålsmail/A 70072-2021 FSC-klagomål mail.docx", "A 70072-2021")</f>
        <v/>
      </c>
      <c r="X141">
        <f>HYPERLINK("https://klasma.github.io/Logging_2281/tillsyn/A 70072-2021 tillsynsbegäran.docx", "A 70072-2021")</f>
        <v/>
      </c>
      <c r="Y141">
        <f>HYPERLINK("https://klasma.github.io/Logging_2281/tillsynsmail/A 70072-2021 tillsynsbegäran mail.docx", "A 70072-2021")</f>
        <v/>
      </c>
    </row>
    <row r="142" ht="15" customHeight="1">
      <c r="A142" t="inlineStr">
        <is>
          <t>A 21321-2025</t>
        </is>
      </c>
      <c r="B142" s="1" t="n">
        <v>45782.34512731482</v>
      </c>
      <c r="C142" s="1" t="n">
        <v>45881</v>
      </c>
      <c r="D142" t="inlineStr">
        <is>
          <t>VÄSTERNORRLANDS LÄN</t>
        </is>
      </c>
      <c r="E142" t="inlineStr">
        <is>
          <t>SUNDSVALL</t>
        </is>
      </c>
      <c r="F142" t="inlineStr">
        <is>
          <t>Naturvårdsverket</t>
        </is>
      </c>
      <c r="G142" t="n">
        <v>1.4</v>
      </c>
      <c r="H142" t="n">
        <v>0</v>
      </c>
      <c r="I142" t="n">
        <v>0</v>
      </c>
      <c r="J142" t="n">
        <v>2</v>
      </c>
      <c r="K142" t="n">
        <v>0</v>
      </c>
      <c r="L142" t="n">
        <v>0</v>
      </c>
      <c r="M142" t="n">
        <v>0</v>
      </c>
      <c r="N142" t="n">
        <v>0</v>
      </c>
      <c r="O142" t="n">
        <v>2</v>
      </c>
      <c r="P142" t="n">
        <v>0</v>
      </c>
      <c r="Q142" t="n">
        <v>2</v>
      </c>
      <c r="R142" s="2" t="inlineStr">
        <is>
          <t>Tallticka
Vedskivlav</t>
        </is>
      </c>
      <c r="S142">
        <f>HYPERLINK("https://klasma.github.io/Logging_2281/artfynd/A 21321-2025 artfynd.xlsx", "A 21321-2025")</f>
        <v/>
      </c>
      <c r="T142">
        <f>HYPERLINK("https://klasma.github.io/Logging_2281/kartor/A 21321-2025 karta.png", "A 21321-2025")</f>
        <v/>
      </c>
      <c r="V142">
        <f>HYPERLINK("https://klasma.github.io/Logging_2281/klagomål/A 21321-2025 FSC-klagomål.docx", "A 21321-2025")</f>
        <v/>
      </c>
      <c r="W142">
        <f>HYPERLINK("https://klasma.github.io/Logging_2281/klagomålsmail/A 21321-2025 FSC-klagomål mail.docx", "A 21321-2025")</f>
        <v/>
      </c>
      <c r="X142">
        <f>HYPERLINK("https://klasma.github.io/Logging_2281/tillsyn/A 21321-2025 tillsynsbegäran.docx", "A 21321-2025")</f>
        <v/>
      </c>
      <c r="Y142">
        <f>HYPERLINK("https://klasma.github.io/Logging_2281/tillsynsmail/A 21321-2025 tillsynsbegäran mail.docx", "A 21321-2025")</f>
        <v/>
      </c>
    </row>
    <row r="143" ht="15" customHeight="1">
      <c r="A143" t="inlineStr">
        <is>
          <t>A 21373-2025</t>
        </is>
      </c>
      <c r="B143" s="1" t="n">
        <v>45782.44880787037</v>
      </c>
      <c r="C143" s="1" t="n">
        <v>45881</v>
      </c>
      <c r="D143" t="inlineStr">
        <is>
          <t>VÄSTERNORRLANDS LÄN</t>
        </is>
      </c>
      <c r="E143" t="inlineStr">
        <is>
          <t>SUNDSVALL</t>
        </is>
      </c>
      <c r="F143" t="inlineStr">
        <is>
          <t>Naturvårdsverket</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HYPERLINK("https://klasma.github.io/Logging_2281/artfynd/A 21373-2025 artfynd.xlsx", "A 21373-2025")</f>
        <v/>
      </c>
      <c r="T143">
        <f>HYPERLINK("https://klasma.github.io/Logging_2281/kartor/A 21373-2025 karta.png", "A 21373-2025")</f>
        <v/>
      </c>
      <c r="V143">
        <f>HYPERLINK("https://klasma.github.io/Logging_2281/klagomål/A 21373-2025 FSC-klagomål.docx", "A 21373-2025")</f>
        <v/>
      </c>
      <c r="W143">
        <f>HYPERLINK("https://klasma.github.io/Logging_2281/klagomålsmail/A 21373-2025 FSC-klagomål mail.docx", "A 21373-2025")</f>
        <v/>
      </c>
      <c r="X143">
        <f>HYPERLINK("https://klasma.github.io/Logging_2281/tillsyn/A 21373-2025 tillsynsbegäran.docx", "A 21373-2025")</f>
        <v/>
      </c>
      <c r="Y143">
        <f>HYPERLINK("https://klasma.github.io/Logging_2281/tillsynsmail/A 21373-2025 tillsynsbegäran mail.docx", "A 21373-2025")</f>
        <v/>
      </c>
    </row>
    <row r="144" ht="15" customHeight="1">
      <c r="A144" t="inlineStr">
        <is>
          <t>A 4900-2025</t>
        </is>
      </c>
      <c r="B144" s="1" t="n">
        <v>45688</v>
      </c>
      <c r="C144" s="1" t="n">
        <v>45881</v>
      </c>
      <c r="D144" t="inlineStr">
        <is>
          <t>VÄSTERNORRLANDS LÄN</t>
        </is>
      </c>
      <c r="E144" t="inlineStr">
        <is>
          <t>SUNDSVALL</t>
        </is>
      </c>
      <c r="F144" t="inlineStr">
        <is>
          <t>SCA</t>
        </is>
      </c>
      <c r="G144" t="n">
        <v>10.4</v>
      </c>
      <c r="H144" t="n">
        <v>1</v>
      </c>
      <c r="I144" t="n">
        <v>0</v>
      </c>
      <c r="J144" t="n">
        <v>1</v>
      </c>
      <c r="K144" t="n">
        <v>1</v>
      </c>
      <c r="L144" t="n">
        <v>0</v>
      </c>
      <c r="M144" t="n">
        <v>0</v>
      </c>
      <c r="N144" t="n">
        <v>0</v>
      </c>
      <c r="O144" t="n">
        <v>2</v>
      </c>
      <c r="P144" t="n">
        <v>1</v>
      </c>
      <c r="Q144" t="n">
        <v>2</v>
      </c>
      <c r="R144" s="2" t="inlineStr">
        <is>
          <t>Knärot
Ullticka</t>
        </is>
      </c>
      <c r="S144">
        <f>HYPERLINK("https://klasma.github.io/Logging_2281/artfynd/A 4900-2025 artfynd.xlsx", "A 4900-2025")</f>
        <v/>
      </c>
      <c r="T144">
        <f>HYPERLINK("https://klasma.github.io/Logging_2281/kartor/A 4900-2025 karta.png", "A 4900-2025")</f>
        <v/>
      </c>
      <c r="U144">
        <f>HYPERLINK("https://klasma.github.io/Logging_2281/knärot/A 4900-2025 karta knärot.png", "A 4900-2025")</f>
        <v/>
      </c>
      <c r="V144">
        <f>HYPERLINK("https://klasma.github.io/Logging_2281/klagomål/A 4900-2025 FSC-klagomål.docx", "A 4900-2025")</f>
        <v/>
      </c>
      <c r="W144">
        <f>HYPERLINK("https://klasma.github.io/Logging_2281/klagomålsmail/A 4900-2025 FSC-klagomål mail.docx", "A 4900-2025")</f>
        <v/>
      </c>
      <c r="X144">
        <f>HYPERLINK("https://klasma.github.io/Logging_2281/tillsyn/A 4900-2025 tillsynsbegäran.docx", "A 4900-2025")</f>
        <v/>
      </c>
      <c r="Y144">
        <f>HYPERLINK("https://klasma.github.io/Logging_2281/tillsynsmail/A 4900-2025 tillsynsbegäran mail.docx", "A 4900-2025")</f>
        <v/>
      </c>
    </row>
    <row r="145" ht="15" customHeight="1">
      <c r="A145" t="inlineStr">
        <is>
          <t>A 52350-2022</t>
        </is>
      </c>
      <c r="B145" s="1" t="n">
        <v>44873</v>
      </c>
      <c r="C145" s="1" t="n">
        <v>45881</v>
      </c>
      <c r="D145" t="inlineStr">
        <is>
          <t>VÄSTERNORRLANDS LÄN</t>
        </is>
      </c>
      <c r="E145" t="inlineStr">
        <is>
          <t>SUNDSVALL</t>
        </is>
      </c>
      <c r="F145" t="inlineStr">
        <is>
          <t>SCA</t>
        </is>
      </c>
      <c r="G145" t="n">
        <v>4.4</v>
      </c>
      <c r="H145" t="n">
        <v>0</v>
      </c>
      <c r="I145" t="n">
        <v>0</v>
      </c>
      <c r="J145" t="n">
        <v>2</v>
      </c>
      <c r="K145" t="n">
        <v>0</v>
      </c>
      <c r="L145" t="n">
        <v>0</v>
      </c>
      <c r="M145" t="n">
        <v>0</v>
      </c>
      <c r="N145" t="n">
        <v>0</v>
      </c>
      <c r="O145" t="n">
        <v>2</v>
      </c>
      <c r="P145" t="n">
        <v>0</v>
      </c>
      <c r="Q145" t="n">
        <v>2</v>
      </c>
      <c r="R145" s="2" t="inlineStr">
        <is>
          <t>Lunglav
Ullticka</t>
        </is>
      </c>
      <c r="S145">
        <f>HYPERLINK("https://klasma.github.io/Logging_2281/artfynd/A 52350-2022 artfynd.xlsx", "A 52350-2022")</f>
        <v/>
      </c>
      <c r="T145">
        <f>HYPERLINK("https://klasma.github.io/Logging_2281/kartor/A 52350-2022 karta.png", "A 52350-2022")</f>
        <v/>
      </c>
      <c r="V145">
        <f>HYPERLINK("https://klasma.github.io/Logging_2281/klagomål/A 52350-2022 FSC-klagomål.docx", "A 52350-2022")</f>
        <v/>
      </c>
      <c r="W145">
        <f>HYPERLINK("https://klasma.github.io/Logging_2281/klagomålsmail/A 52350-2022 FSC-klagomål mail.docx", "A 52350-2022")</f>
        <v/>
      </c>
      <c r="X145">
        <f>HYPERLINK("https://klasma.github.io/Logging_2281/tillsyn/A 52350-2022 tillsynsbegäran.docx", "A 52350-2022")</f>
        <v/>
      </c>
      <c r="Y145">
        <f>HYPERLINK("https://klasma.github.io/Logging_2281/tillsynsmail/A 52350-2022 tillsynsbegäran mail.docx", "A 52350-2022")</f>
        <v/>
      </c>
    </row>
    <row r="146" ht="15" customHeight="1">
      <c r="A146" t="inlineStr">
        <is>
          <t>A 25870-2025</t>
        </is>
      </c>
      <c r="B146" s="1" t="n">
        <v>45804.49010416667</v>
      </c>
      <c r="C146" s="1" t="n">
        <v>45881</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45881</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23364-2025</t>
        </is>
      </c>
      <c r="B148" s="1" t="n">
        <v>45791.67792824074</v>
      </c>
      <c r="C148" s="1" t="n">
        <v>45881</v>
      </c>
      <c r="D148" t="inlineStr">
        <is>
          <t>VÄSTERNORRLANDS LÄN</t>
        </is>
      </c>
      <c r="E148" t="inlineStr">
        <is>
          <t>SUNDSVALL</t>
        </is>
      </c>
      <c r="F148" t="inlineStr">
        <is>
          <t>SCA</t>
        </is>
      </c>
      <c r="G148" t="n">
        <v>4</v>
      </c>
      <c r="H148" t="n">
        <v>1</v>
      </c>
      <c r="I148" t="n">
        <v>0</v>
      </c>
      <c r="J148" t="n">
        <v>2</v>
      </c>
      <c r="K148" t="n">
        <v>0</v>
      </c>
      <c r="L148" t="n">
        <v>0</v>
      </c>
      <c r="M148" t="n">
        <v>0</v>
      </c>
      <c r="N148" t="n">
        <v>0</v>
      </c>
      <c r="O148" t="n">
        <v>2</v>
      </c>
      <c r="P148" t="n">
        <v>0</v>
      </c>
      <c r="Q148" t="n">
        <v>2</v>
      </c>
      <c r="R148" s="2" t="inlineStr">
        <is>
          <t>Garnlav
Tretåig hackspett</t>
        </is>
      </c>
      <c r="S148">
        <f>HYPERLINK("https://klasma.github.io/Logging_2281/artfynd/A 23364-2025 artfynd.xlsx", "A 23364-2025")</f>
        <v/>
      </c>
      <c r="T148">
        <f>HYPERLINK("https://klasma.github.io/Logging_2281/kartor/A 23364-2025 karta.png", "A 23364-2025")</f>
        <v/>
      </c>
      <c r="V148">
        <f>HYPERLINK("https://klasma.github.io/Logging_2281/klagomål/A 23364-2025 FSC-klagomål.docx", "A 23364-2025")</f>
        <v/>
      </c>
      <c r="W148">
        <f>HYPERLINK("https://klasma.github.io/Logging_2281/klagomålsmail/A 23364-2025 FSC-klagomål mail.docx", "A 23364-2025")</f>
        <v/>
      </c>
      <c r="X148">
        <f>HYPERLINK("https://klasma.github.io/Logging_2281/tillsyn/A 23364-2025 tillsynsbegäran.docx", "A 23364-2025")</f>
        <v/>
      </c>
      <c r="Y148">
        <f>HYPERLINK("https://klasma.github.io/Logging_2281/tillsynsmail/A 23364-2025 tillsynsbegäran mail.docx", "A 23364-2025")</f>
        <v/>
      </c>
      <c r="Z148">
        <f>HYPERLINK("https://klasma.github.io/Logging_2281/fåglar/A 23364-2025 prioriterade fågelarter.docx", "A 23364-2025")</f>
        <v/>
      </c>
    </row>
    <row r="149" ht="15" customHeight="1">
      <c r="A149" t="inlineStr">
        <is>
          <t>A 25500-2025</t>
        </is>
      </c>
      <c r="B149" s="1" t="n">
        <v>45803.34451388889</v>
      </c>
      <c r="C149" s="1" t="n">
        <v>45881</v>
      </c>
      <c r="D149" t="inlineStr">
        <is>
          <t>VÄSTERNORRLANDS LÄN</t>
        </is>
      </c>
      <c r="E149" t="inlineStr">
        <is>
          <t>SUNDSVALL</t>
        </is>
      </c>
      <c r="F149" t="inlineStr">
        <is>
          <t>SCA</t>
        </is>
      </c>
      <c r="G149" t="n">
        <v>1.6</v>
      </c>
      <c r="H149" t="n">
        <v>1</v>
      </c>
      <c r="I149" t="n">
        <v>0</v>
      </c>
      <c r="J149" t="n">
        <v>2</v>
      </c>
      <c r="K149" t="n">
        <v>0</v>
      </c>
      <c r="L149" t="n">
        <v>0</v>
      </c>
      <c r="M149" t="n">
        <v>0</v>
      </c>
      <c r="N149" t="n">
        <v>0</v>
      </c>
      <c r="O149" t="n">
        <v>2</v>
      </c>
      <c r="P149" t="n">
        <v>0</v>
      </c>
      <c r="Q149" t="n">
        <v>2</v>
      </c>
      <c r="R149" s="2" t="inlineStr">
        <is>
          <t>Garnlav
Tretåig hackspett</t>
        </is>
      </c>
      <c r="S149">
        <f>HYPERLINK("https://klasma.github.io/Logging_2281/artfynd/A 25500-2025 artfynd.xlsx", "A 25500-2025")</f>
        <v/>
      </c>
      <c r="T149">
        <f>HYPERLINK("https://klasma.github.io/Logging_2281/kartor/A 25500-2025 karta.png", "A 25500-2025")</f>
        <v/>
      </c>
      <c r="V149">
        <f>HYPERLINK("https://klasma.github.io/Logging_2281/klagomål/A 25500-2025 FSC-klagomål.docx", "A 25500-2025")</f>
        <v/>
      </c>
      <c r="W149">
        <f>HYPERLINK("https://klasma.github.io/Logging_2281/klagomålsmail/A 25500-2025 FSC-klagomål mail.docx", "A 25500-2025")</f>
        <v/>
      </c>
      <c r="X149">
        <f>HYPERLINK("https://klasma.github.io/Logging_2281/tillsyn/A 25500-2025 tillsynsbegäran.docx", "A 25500-2025")</f>
        <v/>
      </c>
      <c r="Y149">
        <f>HYPERLINK("https://klasma.github.io/Logging_2281/tillsynsmail/A 25500-2025 tillsynsbegäran mail.docx", "A 25500-2025")</f>
        <v/>
      </c>
      <c r="Z149">
        <f>HYPERLINK("https://klasma.github.io/Logging_2281/fåglar/A 25500-2025 prioriterade fågelarter.docx", "A 25500-2025")</f>
        <v/>
      </c>
    </row>
    <row r="150" ht="15" customHeight="1">
      <c r="A150" t="inlineStr">
        <is>
          <t>A 16043-2025</t>
        </is>
      </c>
      <c r="B150" s="1" t="n">
        <v>45749</v>
      </c>
      <c r="C150" s="1" t="n">
        <v>45881</v>
      </c>
      <c r="D150" t="inlineStr">
        <is>
          <t>VÄSTERNORRLANDS LÄN</t>
        </is>
      </c>
      <c r="E150" t="inlineStr">
        <is>
          <t>SUNDSVALL</t>
        </is>
      </c>
      <c r="G150" t="n">
        <v>10.5</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16043-2025 artfynd.xlsx", "A 16043-2025")</f>
        <v/>
      </c>
      <c r="T150">
        <f>HYPERLINK("https://klasma.github.io/Logging_2281/kartor/A 16043-2025 karta.png", "A 16043-2025")</f>
        <v/>
      </c>
      <c r="V150">
        <f>HYPERLINK("https://klasma.github.io/Logging_2281/klagomål/A 16043-2025 FSC-klagomål.docx", "A 16043-2025")</f>
        <v/>
      </c>
      <c r="W150">
        <f>HYPERLINK("https://klasma.github.io/Logging_2281/klagomålsmail/A 16043-2025 FSC-klagomål mail.docx", "A 16043-2025")</f>
        <v/>
      </c>
      <c r="X150">
        <f>HYPERLINK("https://klasma.github.io/Logging_2281/tillsyn/A 16043-2025 tillsynsbegäran.docx", "A 16043-2025")</f>
        <v/>
      </c>
      <c r="Y150">
        <f>HYPERLINK("https://klasma.github.io/Logging_2281/tillsynsmail/A 16043-2025 tillsynsbegäran mail.docx", "A 16043-2025")</f>
        <v/>
      </c>
      <c r="Z150">
        <f>HYPERLINK("https://klasma.github.io/Logging_2281/fåglar/A 16043-2025 prioriterade fågelarter.docx", "A 16043-2025")</f>
        <v/>
      </c>
    </row>
    <row r="151" ht="15" customHeight="1">
      <c r="A151" t="inlineStr">
        <is>
          <t>A 26834-2025</t>
        </is>
      </c>
      <c r="B151" s="1" t="n">
        <v>45810.65725694445</v>
      </c>
      <c r="C151" s="1" t="n">
        <v>45881</v>
      </c>
      <c r="D151" t="inlineStr">
        <is>
          <t>VÄSTERNORRLANDS LÄN</t>
        </is>
      </c>
      <c r="E151" t="inlineStr">
        <is>
          <t>SUNDSVALL</t>
        </is>
      </c>
      <c r="F151" t="inlineStr">
        <is>
          <t>SCA</t>
        </is>
      </c>
      <c r="G151" t="n">
        <v>1.9</v>
      </c>
      <c r="H151" t="n">
        <v>0</v>
      </c>
      <c r="I151" t="n">
        <v>0</v>
      </c>
      <c r="J151" t="n">
        <v>2</v>
      </c>
      <c r="K151" t="n">
        <v>0</v>
      </c>
      <c r="L151" t="n">
        <v>0</v>
      </c>
      <c r="M151" t="n">
        <v>0</v>
      </c>
      <c r="N151" t="n">
        <v>0</v>
      </c>
      <c r="O151" t="n">
        <v>2</v>
      </c>
      <c r="P151" t="n">
        <v>0</v>
      </c>
      <c r="Q151" t="n">
        <v>2</v>
      </c>
      <c r="R151" s="2" t="inlineStr">
        <is>
          <t>Garnlav
Kolflarnlav</t>
        </is>
      </c>
      <c r="S151">
        <f>HYPERLINK("https://klasma.github.io/Logging_2281/artfynd/A 26834-2025 artfynd.xlsx", "A 26834-2025")</f>
        <v/>
      </c>
      <c r="T151">
        <f>HYPERLINK("https://klasma.github.io/Logging_2281/kartor/A 26834-2025 karta.png", "A 26834-2025")</f>
        <v/>
      </c>
      <c r="V151">
        <f>HYPERLINK("https://klasma.github.io/Logging_2281/klagomål/A 26834-2025 FSC-klagomål.docx", "A 26834-2025")</f>
        <v/>
      </c>
      <c r="W151">
        <f>HYPERLINK("https://klasma.github.io/Logging_2281/klagomålsmail/A 26834-2025 FSC-klagomål mail.docx", "A 26834-2025")</f>
        <v/>
      </c>
      <c r="X151">
        <f>HYPERLINK("https://klasma.github.io/Logging_2281/tillsyn/A 26834-2025 tillsynsbegäran.docx", "A 26834-2025")</f>
        <v/>
      </c>
      <c r="Y151">
        <f>HYPERLINK("https://klasma.github.io/Logging_2281/tillsynsmail/A 26834-2025 tillsynsbegäran mail.docx", "A 26834-2025")</f>
        <v/>
      </c>
    </row>
    <row r="152" ht="15" customHeight="1">
      <c r="A152" t="inlineStr">
        <is>
          <t>A 26833-2025</t>
        </is>
      </c>
      <c r="B152" s="1" t="n">
        <v>45810.65706018519</v>
      </c>
      <c r="C152" s="1" t="n">
        <v>45881</v>
      </c>
      <c r="D152" t="inlineStr">
        <is>
          <t>VÄSTERNORRLANDS LÄN</t>
        </is>
      </c>
      <c r="E152" t="inlineStr">
        <is>
          <t>SUNDSVALL</t>
        </is>
      </c>
      <c r="F152" t="inlineStr">
        <is>
          <t>SCA</t>
        </is>
      </c>
      <c r="G152" t="n">
        <v>6</v>
      </c>
      <c r="H152" t="n">
        <v>0</v>
      </c>
      <c r="I152" t="n">
        <v>0</v>
      </c>
      <c r="J152" t="n">
        <v>2</v>
      </c>
      <c r="K152" t="n">
        <v>0</v>
      </c>
      <c r="L152" t="n">
        <v>0</v>
      </c>
      <c r="M152" t="n">
        <v>0</v>
      </c>
      <c r="N152" t="n">
        <v>0</v>
      </c>
      <c r="O152" t="n">
        <v>2</v>
      </c>
      <c r="P152" t="n">
        <v>0</v>
      </c>
      <c r="Q152" t="n">
        <v>2</v>
      </c>
      <c r="R152" s="2" t="inlineStr">
        <is>
          <t>Kolflarnlav
Vedskivlav</t>
        </is>
      </c>
      <c r="S152">
        <f>HYPERLINK("https://klasma.github.io/Logging_2281/artfynd/A 26833-2025 artfynd.xlsx", "A 26833-2025")</f>
        <v/>
      </c>
      <c r="T152">
        <f>HYPERLINK("https://klasma.github.io/Logging_2281/kartor/A 26833-2025 karta.png", "A 26833-2025")</f>
        <v/>
      </c>
      <c r="V152">
        <f>HYPERLINK("https://klasma.github.io/Logging_2281/klagomål/A 26833-2025 FSC-klagomål.docx", "A 26833-2025")</f>
        <v/>
      </c>
      <c r="W152">
        <f>HYPERLINK("https://klasma.github.io/Logging_2281/klagomålsmail/A 26833-2025 FSC-klagomål mail.docx", "A 26833-2025")</f>
        <v/>
      </c>
      <c r="X152">
        <f>HYPERLINK("https://klasma.github.io/Logging_2281/tillsyn/A 26833-2025 tillsynsbegäran.docx", "A 26833-2025")</f>
        <v/>
      </c>
      <c r="Y152">
        <f>HYPERLINK("https://klasma.github.io/Logging_2281/tillsynsmail/A 26833-2025 tillsynsbegäran mail.docx", "A 26833-2025")</f>
        <v/>
      </c>
    </row>
    <row r="153" ht="15" customHeight="1">
      <c r="A153" t="inlineStr">
        <is>
          <t>A 6672-2025</t>
        </is>
      </c>
      <c r="B153" s="1" t="n">
        <v>45700.46920138889</v>
      </c>
      <c r="C153" s="1" t="n">
        <v>45881</v>
      </c>
      <c r="D153" t="inlineStr">
        <is>
          <t>VÄSTERNORRLANDS LÄN</t>
        </is>
      </c>
      <c r="E153" t="inlineStr">
        <is>
          <t>SUNDSVALL</t>
        </is>
      </c>
      <c r="G153" t="n">
        <v>2.8</v>
      </c>
      <c r="H153" t="n">
        <v>0</v>
      </c>
      <c r="I153" t="n">
        <v>1</v>
      </c>
      <c r="J153" t="n">
        <v>1</v>
      </c>
      <c r="K153" t="n">
        <v>0</v>
      </c>
      <c r="L153" t="n">
        <v>0</v>
      </c>
      <c r="M153" t="n">
        <v>0</v>
      </c>
      <c r="N153" t="n">
        <v>0</v>
      </c>
      <c r="O153" t="n">
        <v>1</v>
      </c>
      <c r="P153" t="n">
        <v>0</v>
      </c>
      <c r="Q153" t="n">
        <v>2</v>
      </c>
      <c r="R153" s="2" t="inlineStr">
        <is>
          <t>Tallticka
Björksplintborre</t>
        </is>
      </c>
      <c r="S153">
        <f>HYPERLINK("https://klasma.github.io/Logging_2281/artfynd/A 6672-2025 artfynd.xlsx", "A 6672-2025")</f>
        <v/>
      </c>
      <c r="T153">
        <f>HYPERLINK("https://klasma.github.io/Logging_2281/kartor/A 6672-2025 karta.png", "A 6672-2025")</f>
        <v/>
      </c>
      <c r="V153">
        <f>HYPERLINK("https://klasma.github.io/Logging_2281/klagomål/A 6672-2025 FSC-klagomål.docx", "A 6672-2025")</f>
        <v/>
      </c>
      <c r="W153">
        <f>HYPERLINK("https://klasma.github.io/Logging_2281/klagomålsmail/A 6672-2025 FSC-klagomål mail.docx", "A 6672-2025")</f>
        <v/>
      </c>
      <c r="X153">
        <f>HYPERLINK("https://klasma.github.io/Logging_2281/tillsyn/A 6672-2025 tillsynsbegäran.docx", "A 6672-2025")</f>
        <v/>
      </c>
      <c r="Y153">
        <f>HYPERLINK("https://klasma.github.io/Logging_2281/tillsynsmail/A 6672-2025 tillsynsbegäran mail.docx", "A 6672-2025")</f>
        <v/>
      </c>
    </row>
    <row r="154" ht="15" customHeight="1">
      <c r="A154" t="inlineStr">
        <is>
          <t>A 41090-2024</t>
        </is>
      </c>
      <c r="B154" s="1" t="n">
        <v>45559.42744212963</v>
      </c>
      <c r="C154" s="1" t="n">
        <v>45881</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14725-2024</t>
        </is>
      </c>
      <c r="B155" s="1" t="n">
        <v>45397</v>
      </c>
      <c r="C155" s="1" t="n">
        <v>45881</v>
      </c>
      <c r="D155" t="inlineStr">
        <is>
          <t>VÄSTERNORRLANDS LÄN</t>
        </is>
      </c>
      <c r="E155" t="inlineStr">
        <is>
          <t>SUNDSVALL</t>
        </is>
      </c>
      <c r="G155" t="n">
        <v>6.9</v>
      </c>
      <c r="H155" t="n">
        <v>1</v>
      </c>
      <c r="I155" t="n">
        <v>1</v>
      </c>
      <c r="J155" t="n">
        <v>0</v>
      </c>
      <c r="K155" t="n">
        <v>1</v>
      </c>
      <c r="L155" t="n">
        <v>0</v>
      </c>
      <c r="M155" t="n">
        <v>0</v>
      </c>
      <c r="N155" t="n">
        <v>0</v>
      </c>
      <c r="O155" t="n">
        <v>1</v>
      </c>
      <c r="P155" t="n">
        <v>1</v>
      </c>
      <c r="Q155" t="n">
        <v>2</v>
      </c>
      <c r="R155" s="2" t="inlineStr">
        <is>
          <t>Knärot
Blodticka</t>
        </is>
      </c>
      <c r="S155">
        <f>HYPERLINK("https://klasma.github.io/Logging_2281/artfynd/A 14725-2024 artfynd.xlsx", "A 14725-2024")</f>
        <v/>
      </c>
      <c r="T155">
        <f>HYPERLINK("https://klasma.github.io/Logging_2281/kartor/A 14725-2024 karta.png", "A 14725-2024")</f>
        <v/>
      </c>
      <c r="U155">
        <f>HYPERLINK("https://klasma.github.io/Logging_2281/knärot/A 14725-2024 karta knärot.png", "A 14725-2024")</f>
        <v/>
      </c>
      <c r="V155">
        <f>HYPERLINK("https://klasma.github.io/Logging_2281/klagomål/A 14725-2024 FSC-klagomål.docx", "A 14725-2024")</f>
        <v/>
      </c>
      <c r="W155">
        <f>HYPERLINK("https://klasma.github.io/Logging_2281/klagomålsmail/A 14725-2024 FSC-klagomål mail.docx", "A 14725-2024")</f>
        <v/>
      </c>
      <c r="X155">
        <f>HYPERLINK("https://klasma.github.io/Logging_2281/tillsyn/A 14725-2024 tillsynsbegäran.docx", "A 14725-2024")</f>
        <v/>
      </c>
      <c r="Y155">
        <f>HYPERLINK("https://klasma.github.io/Logging_2281/tillsynsmail/A 14725-2024 tillsynsbegäran mail.docx", "A 14725-2024")</f>
        <v/>
      </c>
    </row>
    <row r="156" ht="15" customHeight="1">
      <c r="A156" t="inlineStr">
        <is>
          <t>A 14014-2022</t>
        </is>
      </c>
      <c r="B156" s="1" t="n">
        <v>44650</v>
      </c>
      <c r="C156" s="1" t="n">
        <v>45881</v>
      </c>
      <c r="D156" t="inlineStr">
        <is>
          <t>VÄSTERNORRLANDS LÄN</t>
        </is>
      </c>
      <c r="E156" t="inlineStr">
        <is>
          <t>SUNDSVALL</t>
        </is>
      </c>
      <c r="G156" t="n">
        <v>1.7</v>
      </c>
      <c r="H156" t="n">
        <v>0</v>
      </c>
      <c r="I156" t="n">
        <v>1</v>
      </c>
      <c r="J156" t="n">
        <v>0</v>
      </c>
      <c r="K156" t="n">
        <v>0</v>
      </c>
      <c r="L156" t="n">
        <v>0</v>
      </c>
      <c r="M156" t="n">
        <v>0</v>
      </c>
      <c r="N156" t="n">
        <v>0</v>
      </c>
      <c r="O156" t="n">
        <v>0</v>
      </c>
      <c r="P156" t="n">
        <v>0</v>
      </c>
      <c r="Q156" t="n">
        <v>1</v>
      </c>
      <c r="R156" s="2" t="inlineStr">
        <is>
          <t>Stor aspticka</t>
        </is>
      </c>
      <c r="S156">
        <f>HYPERLINK("https://klasma.github.io/Logging_2281/artfynd/A 14014-2022 artfynd.xlsx", "A 14014-2022")</f>
        <v/>
      </c>
      <c r="T156">
        <f>HYPERLINK("https://klasma.github.io/Logging_2281/kartor/A 14014-2022 karta.png", "A 14014-2022")</f>
        <v/>
      </c>
      <c r="V156">
        <f>HYPERLINK("https://klasma.github.io/Logging_2281/klagomål/A 14014-2022 FSC-klagomål.docx", "A 14014-2022")</f>
        <v/>
      </c>
      <c r="W156">
        <f>HYPERLINK("https://klasma.github.io/Logging_2281/klagomålsmail/A 14014-2022 FSC-klagomål mail.docx", "A 14014-2022")</f>
        <v/>
      </c>
      <c r="X156">
        <f>HYPERLINK("https://klasma.github.io/Logging_2281/tillsyn/A 14014-2022 tillsynsbegäran.docx", "A 14014-2022")</f>
        <v/>
      </c>
      <c r="Y156">
        <f>HYPERLINK("https://klasma.github.io/Logging_2281/tillsynsmail/A 14014-2022 tillsynsbegäran mail.docx", "A 14014-2022")</f>
        <v/>
      </c>
    </row>
    <row r="157" ht="15" customHeight="1">
      <c r="A157" t="inlineStr">
        <is>
          <t>A 22420-2021</t>
        </is>
      </c>
      <c r="B157" s="1" t="n">
        <v>44326</v>
      </c>
      <c r="C157" s="1" t="n">
        <v>45881</v>
      </c>
      <c r="D157" t="inlineStr">
        <is>
          <t>VÄSTERNORRLANDS LÄN</t>
        </is>
      </c>
      <c r="E157" t="inlineStr">
        <is>
          <t>SUNDSVALL</t>
        </is>
      </c>
      <c r="F157" t="inlineStr">
        <is>
          <t>Kyrkan</t>
        </is>
      </c>
      <c r="G157" t="n">
        <v>21.9</v>
      </c>
      <c r="H157" t="n">
        <v>1</v>
      </c>
      <c r="I157" t="n">
        <v>0</v>
      </c>
      <c r="J157" t="n">
        <v>1</v>
      </c>
      <c r="K157" t="n">
        <v>0</v>
      </c>
      <c r="L157" t="n">
        <v>0</v>
      </c>
      <c r="M157" t="n">
        <v>0</v>
      </c>
      <c r="N157" t="n">
        <v>0</v>
      </c>
      <c r="O157" t="n">
        <v>1</v>
      </c>
      <c r="P157" t="n">
        <v>0</v>
      </c>
      <c r="Q157" t="n">
        <v>1</v>
      </c>
      <c r="R157" s="2" t="inlineStr">
        <is>
          <t>Järpe</t>
        </is>
      </c>
      <c r="S157">
        <f>HYPERLINK("https://klasma.github.io/Logging_2281/artfynd/A 22420-2021 artfynd.xlsx", "A 22420-2021")</f>
        <v/>
      </c>
      <c r="T157">
        <f>HYPERLINK("https://klasma.github.io/Logging_2281/kartor/A 22420-2021 karta.png", "A 22420-2021")</f>
        <v/>
      </c>
      <c r="V157">
        <f>HYPERLINK("https://klasma.github.io/Logging_2281/klagomål/A 22420-2021 FSC-klagomål.docx", "A 22420-2021")</f>
        <v/>
      </c>
      <c r="W157">
        <f>HYPERLINK("https://klasma.github.io/Logging_2281/klagomålsmail/A 22420-2021 FSC-klagomål mail.docx", "A 22420-2021")</f>
        <v/>
      </c>
      <c r="X157">
        <f>HYPERLINK("https://klasma.github.io/Logging_2281/tillsyn/A 22420-2021 tillsynsbegäran.docx", "A 22420-2021")</f>
        <v/>
      </c>
      <c r="Y157">
        <f>HYPERLINK("https://klasma.github.io/Logging_2281/tillsynsmail/A 22420-2021 tillsynsbegäran mail.docx", "A 22420-2021")</f>
        <v/>
      </c>
      <c r="Z157">
        <f>HYPERLINK("https://klasma.github.io/Logging_2281/fåglar/A 22420-2021 prioriterade fågelarter.docx", "A 22420-2021")</f>
        <v/>
      </c>
    </row>
    <row r="158" ht="15" customHeight="1">
      <c r="A158" t="inlineStr">
        <is>
          <t>A 30933-2022</t>
        </is>
      </c>
      <c r="B158" s="1" t="n">
        <v>44767.93952546296</v>
      </c>
      <c r="C158" s="1" t="n">
        <v>45881</v>
      </c>
      <c r="D158" t="inlineStr">
        <is>
          <t>VÄSTERNORRLANDS LÄN</t>
        </is>
      </c>
      <c r="E158" t="inlineStr">
        <is>
          <t>SUNDSVALL</t>
        </is>
      </c>
      <c r="F158" t="inlineStr">
        <is>
          <t>SCA</t>
        </is>
      </c>
      <c r="G158" t="n">
        <v>1.9</v>
      </c>
      <c r="H158" t="n">
        <v>1</v>
      </c>
      <c r="I158" t="n">
        <v>0</v>
      </c>
      <c r="J158" t="n">
        <v>1</v>
      </c>
      <c r="K158" t="n">
        <v>0</v>
      </c>
      <c r="L158" t="n">
        <v>0</v>
      </c>
      <c r="M158" t="n">
        <v>0</v>
      </c>
      <c r="N158" t="n">
        <v>0</v>
      </c>
      <c r="O158" t="n">
        <v>1</v>
      </c>
      <c r="P158" t="n">
        <v>0</v>
      </c>
      <c r="Q158" t="n">
        <v>1</v>
      </c>
      <c r="R158" s="2" t="inlineStr">
        <is>
          <t>Björktrast</t>
        </is>
      </c>
      <c r="S158">
        <f>HYPERLINK("https://klasma.github.io/Logging_2281/artfynd/A 30933-2022 artfynd.xlsx", "A 30933-2022")</f>
        <v/>
      </c>
      <c r="T158">
        <f>HYPERLINK("https://klasma.github.io/Logging_2281/kartor/A 30933-2022 karta.png", "A 30933-2022")</f>
        <v/>
      </c>
      <c r="V158">
        <f>HYPERLINK("https://klasma.github.io/Logging_2281/klagomål/A 30933-2022 FSC-klagomål.docx", "A 30933-2022")</f>
        <v/>
      </c>
      <c r="W158">
        <f>HYPERLINK("https://klasma.github.io/Logging_2281/klagomålsmail/A 30933-2022 FSC-klagomål mail.docx", "A 30933-2022")</f>
        <v/>
      </c>
      <c r="X158">
        <f>HYPERLINK("https://klasma.github.io/Logging_2281/tillsyn/A 30933-2022 tillsynsbegäran.docx", "A 30933-2022")</f>
        <v/>
      </c>
      <c r="Y158">
        <f>HYPERLINK("https://klasma.github.io/Logging_2281/tillsynsmail/A 30933-2022 tillsynsbegäran mail.docx", "A 30933-2022")</f>
        <v/>
      </c>
      <c r="Z158">
        <f>HYPERLINK("https://klasma.github.io/Logging_2281/fåglar/A 30933-2022 prioriterade fågelarter.docx", "A 30933-2022")</f>
        <v/>
      </c>
    </row>
    <row r="159" ht="15" customHeight="1">
      <c r="A159" t="inlineStr">
        <is>
          <t>A 14676-2022</t>
        </is>
      </c>
      <c r="B159" s="1" t="n">
        <v>44655</v>
      </c>
      <c r="C159" s="1" t="n">
        <v>45881</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11146-2025</t>
        </is>
      </c>
      <c r="B160" s="1" t="n">
        <v>45723.6775</v>
      </c>
      <c r="C160" s="1" t="n">
        <v>45881</v>
      </c>
      <c r="D160" t="inlineStr">
        <is>
          <t>VÄSTERNORRLANDS LÄN</t>
        </is>
      </c>
      <c r="E160" t="inlineStr">
        <is>
          <t>SUNDSVALL</t>
        </is>
      </c>
      <c r="F160" t="inlineStr">
        <is>
          <t>SCA</t>
        </is>
      </c>
      <c r="G160" t="n">
        <v>17.4</v>
      </c>
      <c r="H160" t="n">
        <v>0</v>
      </c>
      <c r="I160" t="n">
        <v>0</v>
      </c>
      <c r="J160" t="n">
        <v>1</v>
      </c>
      <c r="K160" t="n">
        <v>0</v>
      </c>
      <c r="L160" t="n">
        <v>0</v>
      </c>
      <c r="M160" t="n">
        <v>0</v>
      </c>
      <c r="N160" t="n">
        <v>0</v>
      </c>
      <c r="O160" t="n">
        <v>1</v>
      </c>
      <c r="P160" t="n">
        <v>0</v>
      </c>
      <c r="Q160" t="n">
        <v>1</v>
      </c>
      <c r="R160" s="2" t="inlineStr">
        <is>
          <t>Skogshare</t>
        </is>
      </c>
      <c r="S160">
        <f>HYPERLINK("https://klasma.github.io/Logging_2281/artfynd/A 11146-2025 artfynd.xlsx", "A 11146-2025")</f>
        <v/>
      </c>
      <c r="T160">
        <f>HYPERLINK("https://klasma.github.io/Logging_2281/kartor/A 11146-2025 karta.png", "A 11146-2025")</f>
        <v/>
      </c>
      <c r="V160">
        <f>HYPERLINK("https://klasma.github.io/Logging_2281/klagomål/A 11146-2025 FSC-klagomål.docx", "A 11146-2025")</f>
        <v/>
      </c>
      <c r="W160">
        <f>HYPERLINK("https://klasma.github.io/Logging_2281/klagomålsmail/A 11146-2025 FSC-klagomål mail.docx", "A 11146-2025")</f>
        <v/>
      </c>
      <c r="X160">
        <f>HYPERLINK("https://klasma.github.io/Logging_2281/tillsyn/A 11146-2025 tillsynsbegäran.docx", "A 11146-2025")</f>
        <v/>
      </c>
      <c r="Y160">
        <f>HYPERLINK("https://klasma.github.io/Logging_2281/tillsynsmail/A 11146-2025 tillsynsbegäran mail.docx", "A 11146-2025")</f>
        <v/>
      </c>
    </row>
    <row r="161" ht="15" customHeight="1">
      <c r="A161" t="inlineStr">
        <is>
          <t>A 51737-2023</t>
        </is>
      </c>
      <c r="B161" s="1" t="n">
        <v>45222</v>
      </c>
      <c r="C161" s="1" t="n">
        <v>45881</v>
      </c>
      <c r="D161" t="inlineStr">
        <is>
          <t>VÄSTERNORRLANDS LÄN</t>
        </is>
      </c>
      <c r="E161" t="inlineStr">
        <is>
          <t>SUNDSVALL</t>
        </is>
      </c>
      <c r="G161" t="n">
        <v>10.9</v>
      </c>
      <c r="H161" t="n">
        <v>0</v>
      </c>
      <c r="I161" t="n">
        <v>0</v>
      </c>
      <c r="J161" t="n">
        <v>1</v>
      </c>
      <c r="K161" t="n">
        <v>0</v>
      </c>
      <c r="L161" t="n">
        <v>0</v>
      </c>
      <c r="M161" t="n">
        <v>0</v>
      </c>
      <c r="N161" t="n">
        <v>0</v>
      </c>
      <c r="O161" t="n">
        <v>1</v>
      </c>
      <c r="P161" t="n">
        <v>0</v>
      </c>
      <c r="Q161" t="n">
        <v>1</v>
      </c>
      <c r="R161" s="2" t="inlineStr">
        <is>
          <t>Garnlav</t>
        </is>
      </c>
      <c r="S161">
        <f>HYPERLINK("https://klasma.github.io/Logging_2281/artfynd/A 51737-2023 artfynd.xlsx", "A 51737-2023")</f>
        <v/>
      </c>
      <c r="T161">
        <f>HYPERLINK("https://klasma.github.io/Logging_2281/kartor/A 51737-2023 karta.png", "A 51737-2023")</f>
        <v/>
      </c>
      <c r="V161">
        <f>HYPERLINK("https://klasma.github.io/Logging_2281/klagomål/A 51737-2023 FSC-klagomål.docx", "A 51737-2023")</f>
        <v/>
      </c>
      <c r="W161">
        <f>HYPERLINK("https://klasma.github.io/Logging_2281/klagomålsmail/A 51737-2023 FSC-klagomål mail.docx", "A 51737-2023")</f>
        <v/>
      </c>
      <c r="X161">
        <f>HYPERLINK("https://klasma.github.io/Logging_2281/tillsyn/A 51737-2023 tillsynsbegäran.docx", "A 51737-2023")</f>
        <v/>
      </c>
      <c r="Y161">
        <f>HYPERLINK("https://klasma.github.io/Logging_2281/tillsynsmail/A 51737-2023 tillsynsbegäran mail.docx", "A 51737-2023")</f>
        <v/>
      </c>
    </row>
    <row r="162" ht="15" customHeight="1">
      <c r="A162" t="inlineStr">
        <is>
          <t>A 20075-2025</t>
        </is>
      </c>
      <c r="B162" s="1" t="n">
        <v>45772.44855324074</v>
      </c>
      <c r="C162" s="1" t="n">
        <v>45881</v>
      </c>
      <c r="D162" t="inlineStr">
        <is>
          <t>VÄSTERNORRLANDS LÄN</t>
        </is>
      </c>
      <c r="E162" t="inlineStr">
        <is>
          <t>SUNDSVALL</t>
        </is>
      </c>
      <c r="F162" t="inlineStr">
        <is>
          <t>Naturvårdsverket</t>
        </is>
      </c>
      <c r="G162" t="n">
        <v>8.9</v>
      </c>
      <c r="H162" t="n">
        <v>0</v>
      </c>
      <c r="I162" t="n">
        <v>0</v>
      </c>
      <c r="J162" t="n">
        <v>1</v>
      </c>
      <c r="K162" t="n">
        <v>0</v>
      </c>
      <c r="L162" t="n">
        <v>0</v>
      </c>
      <c r="M162" t="n">
        <v>0</v>
      </c>
      <c r="N162" t="n">
        <v>0</v>
      </c>
      <c r="O162" t="n">
        <v>1</v>
      </c>
      <c r="P162" t="n">
        <v>0</v>
      </c>
      <c r="Q162" t="n">
        <v>1</v>
      </c>
      <c r="R162" s="2" t="inlineStr">
        <is>
          <t>Lunglav</t>
        </is>
      </c>
      <c r="S162">
        <f>HYPERLINK("https://klasma.github.io/Logging_2281/artfynd/A 20075-2025 artfynd.xlsx", "A 20075-2025")</f>
        <v/>
      </c>
      <c r="T162">
        <f>HYPERLINK("https://klasma.github.io/Logging_2281/kartor/A 20075-2025 karta.png", "A 20075-2025")</f>
        <v/>
      </c>
      <c r="V162">
        <f>HYPERLINK("https://klasma.github.io/Logging_2281/klagomål/A 20075-2025 FSC-klagomål.docx", "A 20075-2025")</f>
        <v/>
      </c>
      <c r="W162">
        <f>HYPERLINK("https://klasma.github.io/Logging_2281/klagomålsmail/A 20075-2025 FSC-klagomål mail.docx", "A 20075-2025")</f>
        <v/>
      </c>
      <c r="X162">
        <f>HYPERLINK("https://klasma.github.io/Logging_2281/tillsyn/A 20075-2025 tillsynsbegäran.docx", "A 20075-2025")</f>
        <v/>
      </c>
      <c r="Y162">
        <f>HYPERLINK("https://klasma.github.io/Logging_2281/tillsynsmail/A 20075-2025 tillsynsbegäran mail.docx", "A 20075-2025")</f>
        <v/>
      </c>
    </row>
    <row r="163" ht="15" customHeight="1">
      <c r="A163" t="inlineStr">
        <is>
          <t>A 37232-2021</t>
        </is>
      </c>
      <c r="B163" s="1" t="n">
        <v>44396</v>
      </c>
      <c r="C163" s="1" t="n">
        <v>45881</v>
      </c>
      <c r="D163" t="inlineStr">
        <is>
          <t>VÄSTERNORRLANDS LÄN</t>
        </is>
      </c>
      <c r="E163" t="inlineStr">
        <is>
          <t>SUNDSVALL</t>
        </is>
      </c>
      <c r="F163" t="inlineStr">
        <is>
          <t>SCA</t>
        </is>
      </c>
      <c r="G163" t="n">
        <v>1.6</v>
      </c>
      <c r="H163" t="n">
        <v>0</v>
      </c>
      <c r="I163" t="n">
        <v>0</v>
      </c>
      <c r="J163" t="n">
        <v>1</v>
      </c>
      <c r="K163" t="n">
        <v>0</v>
      </c>
      <c r="L163" t="n">
        <v>0</v>
      </c>
      <c r="M163" t="n">
        <v>0</v>
      </c>
      <c r="N163" t="n">
        <v>0</v>
      </c>
      <c r="O163" t="n">
        <v>1</v>
      </c>
      <c r="P163" t="n">
        <v>0</v>
      </c>
      <c r="Q163" t="n">
        <v>1</v>
      </c>
      <c r="R163" s="2" t="inlineStr">
        <is>
          <t>Rosenticka</t>
        </is>
      </c>
      <c r="S163">
        <f>HYPERLINK("https://klasma.github.io/Logging_2281/artfynd/A 37232-2021 artfynd.xlsx", "A 37232-2021")</f>
        <v/>
      </c>
      <c r="T163">
        <f>HYPERLINK("https://klasma.github.io/Logging_2281/kartor/A 37232-2021 karta.png", "A 37232-2021")</f>
        <v/>
      </c>
      <c r="V163">
        <f>HYPERLINK("https://klasma.github.io/Logging_2281/klagomål/A 37232-2021 FSC-klagomål.docx", "A 37232-2021")</f>
        <v/>
      </c>
      <c r="W163">
        <f>HYPERLINK("https://klasma.github.io/Logging_2281/klagomålsmail/A 37232-2021 FSC-klagomål mail.docx", "A 37232-2021")</f>
        <v/>
      </c>
      <c r="X163">
        <f>HYPERLINK("https://klasma.github.io/Logging_2281/tillsyn/A 37232-2021 tillsynsbegäran.docx", "A 37232-2021")</f>
        <v/>
      </c>
      <c r="Y163">
        <f>HYPERLINK("https://klasma.github.io/Logging_2281/tillsynsmail/A 37232-2021 tillsynsbegäran mail.docx", "A 37232-2021")</f>
        <v/>
      </c>
    </row>
    <row r="164" ht="15" customHeight="1">
      <c r="A164" t="inlineStr">
        <is>
          <t>A 44193-2023</t>
        </is>
      </c>
      <c r="B164" s="1" t="n">
        <v>45188</v>
      </c>
      <c r="C164" s="1" t="n">
        <v>45881</v>
      </c>
      <c r="D164" t="inlineStr">
        <is>
          <t>VÄSTERNORRLANDS LÄN</t>
        </is>
      </c>
      <c r="E164" t="inlineStr">
        <is>
          <t>SUNDSVALL</t>
        </is>
      </c>
      <c r="F164" t="inlineStr">
        <is>
          <t>Holmen skog AB</t>
        </is>
      </c>
      <c r="G164" t="n">
        <v>15.1</v>
      </c>
      <c r="H164" t="n">
        <v>1</v>
      </c>
      <c r="I164" t="n">
        <v>0</v>
      </c>
      <c r="J164" t="n">
        <v>0</v>
      </c>
      <c r="K164" t="n">
        <v>0</v>
      </c>
      <c r="L164" t="n">
        <v>0</v>
      </c>
      <c r="M164" t="n">
        <v>0</v>
      </c>
      <c r="N164" t="n">
        <v>0</v>
      </c>
      <c r="O164" t="n">
        <v>0</v>
      </c>
      <c r="P164" t="n">
        <v>0</v>
      </c>
      <c r="Q164" t="n">
        <v>1</v>
      </c>
      <c r="R164" s="2" t="inlineStr">
        <is>
          <t>Tjäder</t>
        </is>
      </c>
      <c r="S164">
        <f>HYPERLINK("https://klasma.github.io/Logging_2281/artfynd/A 44193-2023 artfynd.xlsx", "A 44193-2023")</f>
        <v/>
      </c>
      <c r="T164">
        <f>HYPERLINK("https://klasma.github.io/Logging_2281/kartor/A 44193-2023 karta.png", "A 44193-2023")</f>
        <v/>
      </c>
      <c r="V164">
        <f>HYPERLINK("https://klasma.github.io/Logging_2281/klagomål/A 44193-2023 FSC-klagomål.docx", "A 44193-2023")</f>
        <v/>
      </c>
      <c r="W164">
        <f>HYPERLINK("https://klasma.github.io/Logging_2281/klagomålsmail/A 44193-2023 FSC-klagomål mail.docx", "A 44193-2023")</f>
        <v/>
      </c>
      <c r="X164">
        <f>HYPERLINK("https://klasma.github.io/Logging_2281/tillsyn/A 44193-2023 tillsynsbegäran.docx", "A 44193-2023")</f>
        <v/>
      </c>
      <c r="Y164">
        <f>HYPERLINK("https://klasma.github.io/Logging_2281/tillsynsmail/A 44193-2023 tillsynsbegäran mail.docx", "A 44193-2023")</f>
        <v/>
      </c>
      <c r="Z164">
        <f>HYPERLINK("https://klasma.github.io/Logging_2281/fåglar/A 44193-2023 prioriterade fågelarter.docx", "A 44193-2023")</f>
        <v/>
      </c>
    </row>
    <row r="165" ht="15" customHeight="1">
      <c r="A165" t="inlineStr">
        <is>
          <t>A 46260-2023</t>
        </is>
      </c>
      <c r="B165" s="1" t="n">
        <v>45196</v>
      </c>
      <c r="C165" s="1" t="n">
        <v>45881</v>
      </c>
      <c r="D165" t="inlineStr">
        <is>
          <t>VÄSTERNORRLANDS LÄN</t>
        </is>
      </c>
      <c r="E165" t="inlineStr">
        <is>
          <t>SUNDSVALL</t>
        </is>
      </c>
      <c r="F165" t="inlineStr">
        <is>
          <t>SCA</t>
        </is>
      </c>
      <c r="G165" t="n">
        <v>3</v>
      </c>
      <c r="H165" t="n">
        <v>1</v>
      </c>
      <c r="I165" t="n">
        <v>0</v>
      </c>
      <c r="J165" t="n">
        <v>1</v>
      </c>
      <c r="K165" t="n">
        <v>0</v>
      </c>
      <c r="L165" t="n">
        <v>0</v>
      </c>
      <c r="M165" t="n">
        <v>0</v>
      </c>
      <c r="N165" t="n">
        <v>0</v>
      </c>
      <c r="O165" t="n">
        <v>1</v>
      </c>
      <c r="P165" t="n">
        <v>0</v>
      </c>
      <c r="Q165" t="n">
        <v>1</v>
      </c>
      <c r="R165" s="2" t="inlineStr">
        <is>
          <t>Spillkråka</t>
        </is>
      </c>
      <c r="S165">
        <f>HYPERLINK("https://klasma.github.io/Logging_2281/artfynd/A 46260-2023 artfynd.xlsx", "A 46260-2023")</f>
        <v/>
      </c>
      <c r="T165">
        <f>HYPERLINK("https://klasma.github.io/Logging_2281/kartor/A 46260-2023 karta.png", "A 46260-2023")</f>
        <v/>
      </c>
      <c r="V165">
        <f>HYPERLINK("https://klasma.github.io/Logging_2281/klagomål/A 46260-2023 FSC-klagomål.docx", "A 46260-2023")</f>
        <v/>
      </c>
      <c r="W165">
        <f>HYPERLINK("https://klasma.github.io/Logging_2281/klagomålsmail/A 46260-2023 FSC-klagomål mail.docx", "A 46260-2023")</f>
        <v/>
      </c>
      <c r="X165">
        <f>HYPERLINK("https://klasma.github.io/Logging_2281/tillsyn/A 46260-2023 tillsynsbegäran.docx", "A 46260-2023")</f>
        <v/>
      </c>
      <c r="Y165">
        <f>HYPERLINK("https://klasma.github.io/Logging_2281/tillsynsmail/A 46260-2023 tillsynsbegäran mail.docx", "A 46260-2023")</f>
        <v/>
      </c>
      <c r="Z165">
        <f>HYPERLINK("https://klasma.github.io/Logging_2281/fåglar/A 46260-2023 prioriterade fågelarter.docx", "A 46260-2023")</f>
        <v/>
      </c>
    </row>
    <row r="166" ht="15" customHeight="1">
      <c r="A166" t="inlineStr">
        <is>
          <t>A 49850-2022</t>
        </is>
      </c>
      <c r="B166" s="1" t="n">
        <v>44862</v>
      </c>
      <c r="C166" s="1" t="n">
        <v>45881</v>
      </c>
      <c r="D166" t="inlineStr">
        <is>
          <t>VÄSTERNORRLANDS LÄN</t>
        </is>
      </c>
      <c r="E166" t="inlineStr">
        <is>
          <t>SUNDSVALL</t>
        </is>
      </c>
      <c r="F166" t="inlineStr">
        <is>
          <t>SCA</t>
        </is>
      </c>
      <c r="G166" t="n">
        <v>5.5</v>
      </c>
      <c r="H166" t="n">
        <v>0</v>
      </c>
      <c r="I166" t="n">
        <v>0</v>
      </c>
      <c r="J166" t="n">
        <v>0</v>
      </c>
      <c r="K166" t="n">
        <v>1</v>
      </c>
      <c r="L166" t="n">
        <v>0</v>
      </c>
      <c r="M166" t="n">
        <v>0</v>
      </c>
      <c r="N166" t="n">
        <v>0</v>
      </c>
      <c r="O166" t="n">
        <v>1</v>
      </c>
      <c r="P166" t="n">
        <v>1</v>
      </c>
      <c r="Q166" t="n">
        <v>1</v>
      </c>
      <c r="R166" s="2" t="inlineStr">
        <is>
          <t>Rynkskinn</t>
        </is>
      </c>
      <c r="S166">
        <f>HYPERLINK("https://klasma.github.io/Logging_2281/artfynd/A 49850-2022 artfynd.xlsx", "A 49850-2022")</f>
        <v/>
      </c>
      <c r="T166">
        <f>HYPERLINK("https://klasma.github.io/Logging_2281/kartor/A 49850-2022 karta.png", "A 49850-2022")</f>
        <v/>
      </c>
      <c r="V166">
        <f>HYPERLINK("https://klasma.github.io/Logging_2281/klagomål/A 49850-2022 FSC-klagomål.docx", "A 49850-2022")</f>
        <v/>
      </c>
      <c r="W166">
        <f>HYPERLINK("https://klasma.github.io/Logging_2281/klagomålsmail/A 49850-2022 FSC-klagomål mail.docx", "A 49850-2022")</f>
        <v/>
      </c>
      <c r="X166">
        <f>HYPERLINK("https://klasma.github.io/Logging_2281/tillsyn/A 49850-2022 tillsynsbegäran.docx", "A 49850-2022")</f>
        <v/>
      </c>
      <c r="Y166">
        <f>HYPERLINK("https://klasma.github.io/Logging_2281/tillsynsmail/A 49850-2022 tillsynsbegäran mail.docx", "A 49850-2022")</f>
        <v/>
      </c>
    </row>
    <row r="167" ht="15" customHeight="1">
      <c r="A167" t="inlineStr">
        <is>
          <t>A 20277-2024</t>
        </is>
      </c>
      <c r="B167" s="1" t="n">
        <v>45434</v>
      </c>
      <c r="C167" s="1" t="n">
        <v>45881</v>
      </c>
      <c r="D167" t="inlineStr">
        <is>
          <t>VÄSTERNORRLANDS LÄN</t>
        </is>
      </c>
      <c r="E167" t="inlineStr">
        <is>
          <t>SUNDSVALL</t>
        </is>
      </c>
      <c r="F167" t="inlineStr">
        <is>
          <t>SCA</t>
        </is>
      </c>
      <c r="G167" t="n">
        <v>2.6</v>
      </c>
      <c r="H167" t="n">
        <v>0</v>
      </c>
      <c r="I167" t="n">
        <v>1</v>
      </c>
      <c r="J167" t="n">
        <v>0</v>
      </c>
      <c r="K167" t="n">
        <v>0</v>
      </c>
      <c r="L167" t="n">
        <v>0</v>
      </c>
      <c r="M167" t="n">
        <v>0</v>
      </c>
      <c r="N167" t="n">
        <v>0</v>
      </c>
      <c r="O167" t="n">
        <v>0</v>
      </c>
      <c r="P167" t="n">
        <v>0</v>
      </c>
      <c r="Q167" t="n">
        <v>1</v>
      </c>
      <c r="R167" s="2" t="inlineStr">
        <is>
          <t>Vedticka</t>
        </is>
      </c>
      <c r="S167">
        <f>HYPERLINK("https://klasma.github.io/Logging_2281/artfynd/A 20277-2024 artfynd.xlsx", "A 20277-2024")</f>
        <v/>
      </c>
      <c r="T167">
        <f>HYPERLINK("https://klasma.github.io/Logging_2281/kartor/A 20277-2024 karta.png", "A 20277-2024")</f>
        <v/>
      </c>
      <c r="V167">
        <f>HYPERLINK("https://klasma.github.io/Logging_2281/klagomål/A 20277-2024 FSC-klagomål.docx", "A 20277-2024")</f>
        <v/>
      </c>
      <c r="W167">
        <f>HYPERLINK("https://klasma.github.io/Logging_2281/klagomålsmail/A 20277-2024 FSC-klagomål mail.docx", "A 20277-2024")</f>
        <v/>
      </c>
      <c r="X167">
        <f>HYPERLINK("https://klasma.github.io/Logging_2281/tillsyn/A 20277-2024 tillsynsbegäran.docx", "A 20277-2024")</f>
        <v/>
      </c>
      <c r="Y167">
        <f>HYPERLINK("https://klasma.github.io/Logging_2281/tillsynsmail/A 20277-2024 tillsynsbegäran mail.docx", "A 20277-2024")</f>
        <v/>
      </c>
    </row>
    <row r="168" ht="15" customHeight="1">
      <c r="A168" t="inlineStr">
        <is>
          <t>A 20078-2025</t>
        </is>
      </c>
      <c r="B168" s="1" t="n">
        <v>45772.44892361111</v>
      </c>
      <c r="C168" s="1" t="n">
        <v>45881</v>
      </c>
      <c r="D168" t="inlineStr">
        <is>
          <t>VÄSTERNORRLANDS LÄN</t>
        </is>
      </c>
      <c r="E168" t="inlineStr">
        <is>
          <t>SUNDSVALL</t>
        </is>
      </c>
      <c r="F168" t="inlineStr">
        <is>
          <t>Naturvårdsverket</t>
        </is>
      </c>
      <c r="G168" t="n">
        <v>6.9</v>
      </c>
      <c r="H168" t="n">
        <v>0</v>
      </c>
      <c r="I168" t="n">
        <v>0</v>
      </c>
      <c r="J168" t="n">
        <v>1</v>
      </c>
      <c r="K168" t="n">
        <v>0</v>
      </c>
      <c r="L168" t="n">
        <v>0</v>
      </c>
      <c r="M168" t="n">
        <v>0</v>
      </c>
      <c r="N168" t="n">
        <v>0</v>
      </c>
      <c r="O168" t="n">
        <v>1</v>
      </c>
      <c r="P168" t="n">
        <v>0</v>
      </c>
      <c r="Q168" t="n">
        <v>1</v>
      </c>
      <c r="R168" s="2" t="inlineStr">
        <is>
          <t>Lunglav</t>
        </is>
      </c>
      <c r="S168">
        <f>HYPERLINK("https://klasma.github.io/Logging_2281/artfynd/A 20078-2025 artfynd.xlsx", "A 20078-2025")</f>
        <v/>
      </c>
      <c r="T168">
        <f>HYPERLINK("https://klasma.github.io/Logging_2281/kartor/A 20078-2025 karta.png", "A 20078-2025")</f>
        <v/>
      </c>
      <c r="V168">
        <f>HYPERLINK("https://klasma.github.io/Logging_2281/klagomål/A 20078-2025 FSC-klagomål.docx", "A 20078-2025")</f>
        <v/>
      </c>
      <c r="W168">
        <f>HYPERLINK("https://klasma.github.io/Logging_2281/klagomålsmail/A 20078-2025 FSC-klagomål mail.docx", "A 20078-2025")</f>
        <v/>
      </c>
      <c r="X168">
        <f>HYPERLINK("https://klasma.github.io/Logging_2281/tillsyn/A 20078-2025 tillsynsbegäran.docx", "A 20078-2025")</f>
        <v/>
      </c>
      <c r="Y168">
        <f>HYPERLINK("https://klasma.github.io/Logging_2281/tillsynsmail/A 20078-2025 tillsynsbegäran mail.docx", "A 20078-2025")</f>
        <v/>
      </c>
    </row>
    <row r="169" ht="15" customHeight="1">
      <c r="A169" t="inlineStr">
        <is>
          <t>A 59895-2024</t>
        </is>
      </c>
      <c r="B169" s="1" t="n">
        <v>45641.59408564815</v>
      </c>
      <c r="C169" s="1" t="n">
        <v>45881</v>
      </c>
      <c r="D169" t="inlineStr">
        <is>
          <t>VÄSTERNORRLANDS LÄN</t>
        </is>
      </c>
      <c r="E169" t="inlineStr">
        <is>
          <t>SUNDSVALL</t>
        </is>
      </c>
      <c r="F169" t="inlineStr">
        <is>
          <t>SCA</t>
        </is>
      </c>
      <c r="G169" t="n">
        <v>3.4</v>
      </c>
      <c r="H169" t="n">
        <v>1</v>
      </c>
      <c r="I169" t="n">
        <v>0</v>
      </c>
      <c r="J169" t="n">
        <v>0</v>
      </c>
      <c r="K169" t="n">
        <v>1</v>
      </c>
      <c r="L169" t="n">
        <v>0</v>
      </c>
      <c r="M169" t="n">
        <v>0</v>
      </c>
      <c r="N169" t="n">
        <v>0</v>
      </c>
      <c r="O169" t="n">
        <v>1</v>
      </c>
      <c r="P169" t="n">
        <v>1</v>
      </c>
      <c r="Q169" t="n">
        <v>1</v>
      </c>
      <c r="R169" s="2" t="inlineStr">
        <is>
          <t>Knärot</t>
        </is>
      </c>
      <c r="S169">
        <f>HYPERLINK("https://klasma.github.io/Logging_2281/artfynd/A 59895-2024 artfynd.xlsx", "A 59895-2024")</f>
        <v/>
      </c>
      <c r="T169">
        <f>HYPERLINK("https://klasma.github.io/Logging_2281/kartor/A 59895-2024 karta.png", "A 59895-2024")</f>
        <v/>
      </c>
      <c r="U169">
        <f>HYPERLINK("https://klasma.github.io/Logging_2281/knärot/A 59895-2024 karta knärot.png", "A 59895-2024")</f>
        <v/>
      </c>
      <c r="V169">
        <f>HYPERLINK("https://klasma.github.io/Logging_2281/klagomål/A 59895-2024 FSC-klagomål.docx", "A 59895-2024")</f>
        <v/>
      </c>
      <c r="W169">
        <f>HYPERLINK("https://klasma.github.io/Logging_2281/klagomålsmail/A 59895-2024 FSC-klagomål mail.docx", "A 59895-2024")</f>
        <v/>
      </c>
      <c r="X169">
        <f>HYPERLINK("https://klasma.github.io/Logging_2281/tillsyn/A 59895-2024 tillsynsbegäran.docx", "A 59895-2024")</f>
        <v/>
      </c>
      <c r="Y169">
        <f>HYPERLINK("https://klasma.github.io/Logging_2281/tillsynsmail/A 59895-2024 tillsynsbegäran mail.docx", "A 59895-2024")</f>
        <v/>
      </c>
    </row>
    <row r="170" ht="15" customHeight="1">
      <c r="A170" t="inlineStr">
        <is>
          <t>A 64922-2021</t>
        </is>
      </c>
      <c r="B170" s="1" t="n">
        <v>44512</v>
      </c>
      <c r="C170" s="1" t="n">
        <v>45881</v>
      </c>
      <c r="D170" t="inlineStr">
        <is>
          <t>VÄSTERNORRLANDS LÄN</t>
        </is>
      </c>
      <c r="E170" t="inlineStr">
        <is>
          <t>SUNDSVALL</t>
        </is>
      </c>
      <c r="F170" t="inlineStr">
        <is>
          <t>Kommuner</t>
        </is>
      </c>
      <c r="G170" t="n">
        <v>1.5</v>
      </c>
      <c r="H170" t="n">
        <v>1</v>
      </c>
      <c r="I170" t="n">
        <v>0</v>
      </c>
      <c r="J170" t="n">
        <v>0</v>
      </c>
      <c r="K170" t="n">
        <v>0</v>
      </c>
      <c r="L170" t="n">
        <v>0</v>
      </c>
      <c r="M170" t="n">
        <v>0</v>
      </c>
      <c r="N170" t="n">
        <v>0</v>
      </c>
      <c r="O170" t="n">
        <v>0</v>
      </c>
      <c r="P170" t="n">
        <v>0</v>
      </c>
      <c r="Q170" t="n">
        <v>1</v>
      </c>
      <c r="R170" s="2" t="inlineStr">
        <is>
          <t>Näktergal</t>
        </is>
      </c>
      <c r="S170">
        <f>HYPERLINK("https://klasma.github.io/Logging_2281/artfynd/A 64922-2021 artfynd.xlsx", "A 64922-2021")</f>
        <v/>
      </c>
      <c r="T170">
        <f>HYPERLINK("https://klasma.github.io/Logging_2281/kartor/A 64922-2021 karta.png", "A 64922-2021")</f>
        <v/>
      </c>
      <c r="V170">
        <f>HYPERLINK("https://klasma.github.io/Logging_2281/klagomål/A 64922-2021 FSC-klagomål.docx", "A 64922-2021")</f>
        <v/>
      </c>
      <c r="W170">
        <f>HYPERLINK("https://klasma.github.io/Logging_2281/klagomålsmail/A 64922-2021 FSC-klagomål mail.docx", "A 64922-2021")</f>
        <v/>
      </c>
      <c r="X170">
        <f>HYPERLINK("https://klasma.github.io/Logging_2281/tillsyn/A 64922-2021 tillsynsbegäran.docx", "A 64922-2021")</f>
        <v/>
      </c>
      <c r="Y170">
        <f>HYPERLINK("https://klasma.github.io/Logging_2281/tillsynsmail/A 64922-2021 tillsynsbegäran mail.docx", "A 64922-2021")</f>
        <v/>
      </c>
      <c r="Z170">
        <f>HYPERLINK("https://klasma.github.io/Logging_2281/fåglar/A 64922-2021 prioriterade fågelarter.docx", "A 64922-2021")</f>
        <v/>
      </c>
    </row>
    <row r="171" ht="15" customHeight="1">
      <c r="A171" t="inlineStr">
        <is>
          <t>A 15346-2023</t>
        </is>
      </c>
      <c r="B171" s="1" t="n">
        <v>45016</v>
      </c>
      <c r="C171" s="1" t="n">
        <v>45881</v>
      </c>
      <c r="D171" t="inlineStr">
        <is>
          <t>VÄSTERNORRLANDS LÄN</t>
        </is>
      </c>
      <c r="E171" t="inlineStr">
        <is>
          <t>SUNDSVALL</t>
        </is>
      </c>
      <c r="G171" t="n">
        <v>3.8</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15346-2023 artfynd.xlsx", "A 15346-2023")</f>
        <v/>
      </c>
      <c r="T171">
        <f>HYPERLINK("https://klasma.github.io/Logging_2281/kartor/A 15346-2023 karta.png", "A 15346-2023")</f>
        <v/>
      </c>
      <c r="V171">
        <f>HYPERLINK("https://klasma.github.io/Logging_2281/klagomål/A 15346-2023 FSC-klagomål.docx", "A 15346-2023")</f>
        <v/>
      </c>
      <c r="W171">
        <f>HYPERLINK("https://klasma.github.io/Logging_2281/klagomålsmail/A 15346-2023 FSC-klagomål mail.docx", "A 15346-2023")</f>
        <v/>
      </c>
      <c r="X171">
        <f>HYPERLINK("https://klasma.github.io/Logging_2281/tillsyn/A 15346-2023 tillsynsbegäran.docx", "A 15346-2023")</f>
        <v/>
      </c>
      <c r="Y171">
        <f>HYPERLINK("https://klasma.github.io/Logging_2281/tillsynsmail/A 15346-2023 tillsynsbegäran mail.docx", "A 15346-2023")</f>
        <v/>
      </c>
      <c r="Z171">
        <f>HYPERLINK("https://klasma.github.io/Logging_2281/fåglar/A 15346-2023 prioriterade fågelarter.docx", "A 15346-2023")</f>
        <v/>
      </c>
    </row>
    <row r="172" ht="15" customHeight="1">
      <c r="A172" t="inlineStr">
        <is>
          <t>A 1220-2023</t>
        </is>
      </c>
      <c r="B172" s="1" t="n">
        <v>44935</v>
      </c>
      <c r="C172" s="1" t="n">
        <v>45881</v>
      </c>
      <c r="D172" t="inlineStr">
        <is>
          <t>VÄSTERNORRLANDS LÄN</t>
        </is>
      </c>
      <c r="E172" t="inlineStr">
        <is>
          <t>SUNDSVALL</t>
        </is>
      </c>
      <c r="G172" t="n">
        <v>2.7</v>
      </c>
      <c r="H172" t="n">
        <v>1</v>
      </c>
      <c r="I172" t="n">
        <v>0</v>
      </c>
      <c r="J172" t="n">
        <v>1</v>
      </c>
      <c r="K172" t="n">
        <v>0</v>
      </c>
      <c r="L172" t="n">
        <v>0</v>
      </c>
      <c r="M172" t="n">
        <v>0</v>
      </c>
      <c r="N172" t="n">
        <v>0</v>
      </c>
      <c r="O172" t="n">
        <v>1</v>
      </c>
      <c r="P172" t="n">
        <v>0</v>
      </c>
      <c r="Q172" t="n">
        <v>1</v>
      </c>
      <c r="R172" s="2" t="inlineStr">
        <is>
          <t>Spillkråka</t>
        </is>
      </c>
      <c r="S172">
        <f>HYPERLINK("https://klasma.github.io/Logging_2281/artfynd/A 1220-2023 artfynd.xlsx", "A 1220-2023")</f>
        <v/>
      </c>
      <c r="T172">
        <f>HYPERLINK("https://klasma.github.io/Logging_2281/kartor/A 1220-2023 karta.png", "A 1220-2023")</f>
        <v/>
      </c>
      <c r="V172">
        <f>HYPERLINK("https://klasma.github.io/Logging_2281/klagomål/A 1220-2023 FSC-klagomål.docx", "A 1220-2023")</f>
        <v/>
      </c>
      <c r="W172">
        <f>HYPERLINK("https://klasma.github.io/Logging_2281/klagomålsmail/A 1220-2023 FSC-klagomål mail.docx", "A 1220-2023")</f>
        <v/>
      </c>
      <c r="X172">
        <f>HYPERLINK("https://klasma.github.io/Logging_2281/tillsyn/A 1220-2023 tillsynsbegäran.docx", "A 1220-2023")</f>
        <v/>
      </c>
      <c r="Y172">
        <f>HYPERLINK("https://klasma.github.io/Logging_2281/tillsynsmail/A 1220-2023 tillsynsbegäran mail.docx", "A 1220-2023")</f>
        <v/>
      </c>
      <c r="Z172">
        <f>HYPERLINK("https://klasma.github.io/Logging_2281/fåglar/A 1220-2023 prioriterade fågelarter.docx", "A 1220-2023")</f>
        <v/>
      </c>
    </row>
    <row r="173" ht="15" customHeight="1">
      <c r="A173" t="inlineStr">
        <is>
          <t>A 37057-2021</t>
        </is>
      </c>
      <c r="B173" s="1" t="n">
        <v>44393.93881944445</v>
      </c>
      <c r="C173" s="1" t="n">
        <v>45881</v>
      </c>
      <c r="D173" t="inlineStr">
        <is>
          <t>VÄSTERNORRLANDS LÄN</t>
        </is>
      </c>
      <c r="E173" t="inlineStr">
        <is>
          <t>SUNDSVALL</t>
        </is>
      </c>
      <c r="F173" t="inlineStr">
        <is>
          <t>SCA</t>
        </is>
      </c>
      <c r="G173" t="n">
        <v>9.800000000000001</v>
      </c>
      <c r="H173" t="n">
        <v>1</v>
      </c>
      <c r="I173" t="n">
        <v>0</v>
      </c>
      <c r="J173" t="n">
        <v>1</v>
      </c>
      <c r="K173" t="n">
        <v>0</v>
      </c>
      <c r="L173" t="n">
        <v>0</v>
      </c>
      <c r="M173" t="n">
        <v>0</v>
      </c>
      <c r="N173" t="n">
        <v>0</v>
      </c>
      <c r="O173" t="n">
        <v>1</v>
      </c>
      <c r="P173" t="n">
        <v>0</v>
      </c>
      <c r="Q173" t="n">
        <v>1</v>
      </c>
      <c r="R173" s="2" t="inlineStr">
        <is>
          <t>Tretåig hackspett</t>
        </is>
      </c>
      <c r="S173">
        <f>HYPERLINK("https://klasma.github.io/Logging_2281/artfynd/A 37057-2021 artfynd.xlsx", "A 37057-2021")</f>
        <v/>
      </c>
      <c r="T173">
        <f>HYPERLINK("https://klasma.github.io/Logging_2281/kartor/A 37057-2021 karta.png", "A 37057-2021")</f>
        <v/>
      </c>
      <c r="V173">
        <f>HYPERLINK("https://klasma.github.io/Logging_2281/klagomål/A 37057-2021 FSC-klagomål.docx", "A 37057-2021")</f>
        <v/>
      </c>
      <c r="W173">
        <f>HYPERLINK("https://klasma.github.io/Logging_2281/klagomålsmail/A 37057-2021 FSC-klagomål mail.docx", "A 37057-2021")</f>
        <v/>
      </c>
      <c r="X173">
        <f>HYPERLINK("https://klasma.github.io/Logging_2281/tillsyn/A 37057-2021 tillsynsbegäran.docx", "A 37057-2021")</f>
        <v/>
      </c>
      <c r="Y173">
        <f>HYPERLINK("https://klasma.github.io/Logging_2281/tillsynsmail/A 37057-2021 tillsynsbegäran mail.docx", "A 37057-2021")</f>
        <v/>
      </c>
      <c r="Z173">
        <f>HYPERLINK("https://klasma.github.io/Logging_2281/fåglar/A 37057-2021 prioriterade fågelarter.docx", "A 37057-2021")</f>
        <v/>
      </c>
    </row>
    <row r="174" ht="15" customHeight="1">
      <c r="A174" t="inlineStr">
        <is>
          <t>A 7264-2025</t>
        </is>
      </c>
      <c r="B174" s="1" t="n">
        <v>45702.59416666667</v>
      </c>
      <c r="C174" s="1" t="n">
        <v>45881</v>
      </c>
      <c r="D174" t="inlineStr">
        <is>
          <t>VÄSTERNORRLANDS LÄN</t>
        </is>
      </c>
      <c r="E174" t="inlineStr">
        <is>
          <t>SUNDSVALL</t>
        </is>
      </c>
      <c r="F174" t="inlineStr">
        <is>
          <t>SCA</t>
        </is>
      </c>
      <c r="G174" t="n">
        <v>2.1</v>
      </c>
      <c r="H174" t="n">
        <v>0</v>
      </c>
      <c r="I174" t="n">
        <v>0</v>
      </c>
      <c r="J174" t="n">
        <v>1</v>
      </c>
      <c r="K174" t="n">
        <v>0</v>
      </c>
      <c r="L174" t="n">
        <v>0</v>
      </c>
      <c r="M174" t="n">
        <v>0</v>
      </c>
      <c r="N174" t="n">
        <v>0</v>
      </c>
      <c r="O174" t="n">
        <v>1</v>
      </c>
      <c r="P174" t="n">
        <v>0</v>
      </c>
      <c r="Q174" t="n">
        <v>1</v>
      </c>
      <c r="R174" s="2" t="inlineStr">
        <is>
          <t>Ullticka</t>
        </is>
      </c>
      <c r="S174">
        <f>HYPERLINK("https://klasma.github.io/Logging_2281/artfynd/A 7264-2025 artfynd.xlsx", "A 7264-2025")</f>
        <v/>
      </c>
      <c r="T174">
        <f>HYPERLINK("https://klasma.github.io/Logging_2281/kartor/A 7264-2025 karta.png", "A 7264-2025")</f>
        <v/>
      </c>
      <c r="U174">
        <f>HYPERLINK("https://klasma.github.io/Logging_2281/knärot/A 7264-2025 karta knärot.png", "A 7264-2025")</f>
        <v/>
      </c>
      <c r="V174">
        <f>HYPERLINK("https://klasma.github.io/Logging_2281/klagomål/A 7264-2025 FSC-klagomål.docx", "A 7264-2025")</f>
        <v/>
      </c>
      <c r="W174">
        <f>HYPERLINK("https://klasma.github.io/Logging_2281/klagomålsmail/A 7264-2025 FSC-klagomål mail.docx", "A 7264-2025")</f>
        <v/>
      </c>
      <c r="X174">
        <f>HYPERLINK("https://klasma.github.io/Logging_2281/tillsyn/A 7264-2025 tillsynsbegäran.docx", "A 7264-2025")</f>
        <v/>
      </c>
      <c r="Y174">
        <f>HYPERLINK("https://klasma.github.io/Logging_2281/tillsynsmail/A 7264-2025 tillsynsbegäran mail.docx", "A 7264-2025")</f>
        <v/>
      </c>
    </row>
    <row r="175" ht="15" customHeight="1">
      <c r="A175" t="inlineStr">
        <is>
          <t>A 9584-2023</t>
        </is>
      </c>
      <c r="B175" s="1" t="n">
        <v>44982</v>
      </c>
      <c r="C175" s="1" t="n">
        <v>45881</v>
      </c>
      <c r="D175" t="inlineStr">
        <is>
          <t>VÄSTERNORRLANDS LÄN</t>
        </is>
      </c>
      <c r="E175" t="inlineStr">
        <is>
          <t>SUNDSVALL</t>
        </is>
      </c>
      <c r="F175" t="inlineStr">
        <is>
          <t>SCA</t>
        </is>
      </c>
      <c r="G175" t="n">
        <v>3.7</v>
      </c>
      <c r="H175" t="n">
        <v>1</v>
      </c>
      <c r="I175" t="n">
        <v>0</v>
      </c>
      <c r="J175" t="n">
        <v>0</v>
      </c>
      <c r="K175" t="n">
        <v>0</v>
      </c>
      <c r="L175" t="n">
        <v>0</v>
      </c>
      <c r="M175" t="n">
        <v>0</v>
      </c>
      <c r="N175" t="n">
        <v>0</v>
      </c>
      <c r="O175" t="n">
        <v>0</v>
      </c>
      <c r="P175" t="n">
        <v>0</v>
      </c>
      <c r="Q175" t="n">
        <v>1</v>
      </c>
      <c r="R175" s="2" t="inlineStr">
        <is>
          <t>Orre</t>
        </is>
      </c>
      <c r="S175">
        <f>HYPERLINK("https://klasma.github.io/Logging_2281/artfynd/A 9584-2023 artfynd.xlsx", "A 9584-2023")</f>
        <v/>
      </c>
      <c r="T175">
        <f>HYPERLINK("https://klasma.github.io/Logging_2281/kartor/A 9584-2023 karta.png", "A 9584-2023")</f>
        <v/>
      </c>
      <c r="V175">
        <f>HYPERLINK("https://klasma.github.io/Logging_2281/klagomål/A 9584-2023 FSC-klagomål.docx", "A 9584-2023")</f>
        <v/>
      </c>
      <c r="W175">
        <f>HYPERLINK("https://klasma.github.io/Logging_2281/klagomålsmail/A 9584-2023 FSC-klagomål mail.docx", "A 9584-2023")</f>
        <v/>
      </c>
      <c r="X175">
        <f>HYPERLINK("https://klasma.github.io/Logging_2281/tillsyn/A 9584-2023 tillsynsbegäran.docx", "A 9584-2023")</f>
        <v/>
      </c>
      <c r="Y175">
        <f>HYPERLINK("https://klasma.github.io/Logging_2281/tillsynsmail/A 9584-2023 tillsynsbegäran mail.docx", "A 9584-2023")</f>
        <v/>
      </c>
      <c r="Z175">
        <f>HYPERLINK("https://klasma.github.io/Logging_2281/fåglar/A 9584-2023 prioriterade fågelarter.docx", "A 9584-2023")</f>
        <v/>
      </c>
    </row>
    <row r="176" ht="15" customHeight="1">
      <c r="A176" t="inlineStr">
        <is>
          <t>A 13301-2025</t>
        </is>
      </c>
      <c r="B176" s="1" t="n">
        <v>45735.57451388889</v>
      </c>
      <c r="C176" s="1" t="n">
        <v>45881</v>
      </c>
      <c r="D176" t="inlineStr">
        <is>
          <t>VÄSTERNORRLANDS LÄN</t>
        </is>
      </c>
      <c r="E176" t="inlineStr">
        <is>
          <t>SUNDSVALL</t>
        </is>
      </c>
      <c r="F176" t="inlineStr">
        <is>
          <t>SCA</t>
        </is>
      </c>
      <c r="G176" t="n">
        <v>13.4</v>
      </c>
      <c r="H176" t="n">
        <v>1</v>
      </c>
      <c r="I176" t="n">
        <v>0</v>
      </c>
      <c r="J176" t="n">
        <v>0</v>
      </c>
      <c r="K176" t="n">
        <v>0</v>
      </c>
      <c r="L176" t="n">
        <v>0</v>
      </c>
      <c r="M176" t="n">
        <v>0</v>
      </c>
      <c r="N176" t="n">
        <v>0</v>
      </c>
      <c r="O176" t="n">
        <v>0</v>
      </c>
      <c r="P176" t="n">
        <v>0</v>
      </c>
      <c r="Q176" t="n">
        <v>1</v>
      </c>
      <c r="R176" s="2" t="inlineStr">
        <is>
          <t>Blåsippa</t>
        </is>
      </c>
      <c r="S176">
        <f>HYPERLINK("https://klasma.github.io/Logging_2281/artfynd/A 13301-2025 artfynd.xlsx", "A 13301-2025")</f>
        <v/>
      </c>
      <c r="T176">
        <f>HYPERLINK("https://klasma.github.io/Logging_2281/kartor/A 13301-2025 karta.png", "A 13301-2025")</f>
        <v/>
      </c>
      <c r="V176">
        <f>HYPERLINK("https://klasma.github.io/Logging_2281/klagomål/A 13301-2025 FSC-klagomål.docx", "A 13301-2025")</f>
        <v/>
      </c>
      <c r="W176">
        <f>HYPERLINK("https://klasma.github.io/Logging_2281/klagomålsmail/A 13301-2025 FSC-klagomål mail.docx", "A 13301-2025")</f>
        <v/>
      </c>
      <c r="X176">
        <f>HYPERLINK("https://klasma.github.io/Logging_2281/tillsyn/A 13301-2025 tillsynsbegäran.docx", "A 13301-2025")</f>
        <v/>
      </c>
      <c r="Y176">
        <f>HYPERLINK("https://klasma.github.io/Logging_2281/tillsynsmail/A 13301-2025 tillsynsbegäran mail.docx", "A 13301-2025")</f>
        <v/>
      </c>
    </row>
    <row r="177" ht="15" customHeight="1">
      <c r="A177" t="inlineStr">
        <is>
          <t>A 15376-2024</t>
        </is>
      </c>
      <c r="B177" s="1" t="n">
        <v>45400</v>
      </c>
      <c r="C177" s="1" t="n">
        <v>45881</v>
      </c>
      <c r="D177" t="inlineStr">
        <is>
          <t>VÄSTERNORRLANDS LÄN</t>
        </is>
      </c>
      <c r="E177" t="inlineStr">
        <is>
          <t>SUNDSVALL</t>
        </is>
      </c>
      <c r="F177" t="inlineStr">
        <is>
          <t>Naturvårdsverket</t>
        </is>
      </c>
      <c r="G177" t="n">
        <v>1.2</v>
      </c>
      <c r="H177" t="n">
        <v>0</v>
      </c>
      <c r="I177" t="n">
        <v>0</v>
      </c>
      <c r="J177" t="n">
        <v>1</v>
      </c>
      <c r="K177" t="n">
        <v>0</v>
      </c>
      <c r="L177" t="n">
        <v>0</v>
      </c>
      <c r="M177" t="n">
        <v>0</v>
      </c>
      <c r="N177" t="n">
        <v>0</v>
      </c>
      <c r="O177" t="n">
        <v>1</v>
      </c>
      <c r="P177" t="n">
        <v>0</v>
      </c>
      <c r="Q177" t="n">
        <v>1</v>
      </c>
      <c r="R177" s="2" t="inlineStr">
        <is>
          <t>Granticka</t>
        </is>
      </c>
      <c r="S177">
        <f>HYPERLINK("https://klasma.github.io/Logging_2281/artfynd/A 15376-2024 artfynd.xlsx", "A 15376-2024")</f>
        <v/>
      </c>
      <c r="T177">
        <f>HYPERLINK("https://klasma.github.io/Logging_2281/kartor/A 15376-2024 karta.png", "A 15376-2024")</f>
        <v/>
      </c>
      <c r="V177">
        <f>HYPERLINK("https://klasma.github.io/Logging_2281/klagomål/A 15376-2024 FSC-klagomål.docx", "A 15376-2024")</f>
        <v/>
      </c>
      <c r="W177">
        <f>HYPERLINK("https://klasma.github.io/Logging_2281/klagomålsmail/A 15376-2024 FSC-klagomål mail.docx", "A 15376-2024")</f>
        <v/>
      </c>
      <c r="X177">
        <f>HYPERLINK("https://klasma.github.io/Logging_2281/tillsyn/A 15376-2024 tillsynsbegäran.docx", "A 15376-2024")</f>
        <v/>
      </c>
      <c r="Y177">
        <f>HYPERLINK("https://klasma.github.io/Logging_2281/tillsynsmail/A 15376-2024 tillsynsbegäran mail.docx", "A 15376-2024")</f>
        <v/>
      </c>
    </row>
    <row r="178" ht="15" customHeight="1">
      <c r="A178" t="inlineStr">
        <is>
          <t>A 10683-2025</t>
        </is>
      </c>
      <c r="B178" s="1" t="n">
        <v>45721.94451388889</v>
      </c>
      <c r="C178" s="1" t="n">
        <v>45881</v>
      </c>
      <c r="D178" t="inlineStr">
        <is>
          <t>VÄSTERNORRLANDS LÄN</t>
        </is>
      </c>
      <c r="E178" t="inlineStr">
        <is>
          <t>SUNDSVALL</t>
        </is>
      </c>
      <c r="G178" t="n">
        <v>1.5</v>
      </c>
      <c r="H178" t="n">
        <v>1</v>
      </c>
      <c r="I178" t="n">
        <v>0</v>
      </c>
      <c r="J178" t="n">
        <v>1</v>
      </c>
      <c r="K178" t="n">
        <v>0</v>
      </c>
      <c r="L178" t="n">
        <v>0</v>
      </c>
      <c r="M178" t="n">
        <v>0</v>
      </c>
      <c r="N178" t="n">
        <v>0</v>
      </c>
      <c r="O178" t="n">
        <v>1</v>
      </c>
      <c r="P178" t="n">
        <v>0</v>
      </c>
      <c r="Q178" t="n">
        <v>1</v>
      </c>
      <c r="R178" s="2" t="inlineStr">
        <is>
          <t>Björktrast</t>
        </is>
      </c>
      <c r="S178">
        <f>HYPERLINK("https://klasma.github.io/Logging_2281/artfynd/A 10683-2025 artfynd.xlsx", "A 10683-2025")</f>
        <v/>
      </c>
      <c r="T178">
        <f>HYPERLINK("https://klasma.github.io/Logging_2281/kartor/A 10683-2025 karta.png", "A 10683-2025")</f>
        <v/>
      </c>
      <c r="V178">
        <f>HYPERLINK("https://klasma.github.io/Logging_2281/klagomål/A 10683-2025 FSC-klagomål.docx", "A 10683-2025")</f>
        <v/>
      </c>
      <c r="W178">
        <f>HYPERLINK("https://klasma.github.io/Logging_2281/klagomålsmail/A 10683-2025 FSC-klagomål mail.docx", "A 10683-2025")</f>
        <v/>
      </c>
      <c r="X178">
        <f>HYPERLINK("https://klasma.github.io/Logging_2281/tillsyn/A 10683-2025 tillsynsbegäran.docx", "A 10683-2025")</f>
        <v/>
      </c>
      <c r="Y178">
        <f>HYPERLINK("https://klasma.github.io/Logging_2281/tillsynsmail/A 10683-2025 tillsynsbegäran mail.docx", "A 10683-2025")</f>
        <v/>
      </c>
      <c r="Z178">
        <f>HYPERLINK("https://klasma.github.io/Logging_2281/fåglar/A 10683-2025 prioriterade fågelarter.docx", "A 10683-2025")</f>
        <v/>
      </c>
    </row>
    <row r="179" ht="15" customHeight="1">
      <c r="A179" t="inlineStr">
        <is>
          <t>A 14665-2023</t>
        </is>
      </c>
      <c r="B179" s="1" t="n">
        <v>45013.9258912037</v>
      </c>
      <c r="C179" s="1" t="n">
        <v>45881</v>
      </c>
      <c r="D179" t="inlineStr">
        <is>
          <t>VÄSTERNORRLANDS LÄN</t>
        </is>
      </c>
      <c r="E179" t="inlineStr">
        <is>
          <t>SUNDSVALL</t>
        </is>
      </c>
      <c r="G179" t="n">
        <v>1.8</v>
      </c>
      <c r="H179" t="n">
        <v>1</v>
      </c>
      <c r="I179" t="n">
        <v>0</v>
      </c>
      <c r="J179" t="n">
        <v>0</v>
      </c>
      <c r="K179" t="n">
        <v>0</v>
      </c>
      <c r="L179" t="n">
        <v>0</v>
      </c>
      <c r="M179" t="n">
        <v>0</v>
      </c>
      <c r="N179" t="n">
        <v>0</v>
      </c>
      <c r="O179" t="n">
        <v>0</v>
      </c>
      <c r="P179" t="n">
        <v>0</v>
      </c>
      <c r="Q179" t="n">
        <v>1</v>
      </c>
      <c r="R179" s="2" t="inlineStr">
        <is>
          <t>Trana</t>
        </is>
      </c>
      <c r="S179">
        <f>HYPERLINK("https://klasma.github.io/Logging_2281/artfynd/A 14665-2023 artfynd.xlsx", "A 14665-2023")</f>
        <v/>
      </c>
      <c r="T179">
        <f>HYPERLINK("https://klasma.github.io/Logging_2281/kartor/A 14665-2023 karta.png", "A 14665-2023")</f>
        <v/>
      </c>
      <c r="V179">
        <f>HYPERLINK("https://klasma.github.io/Logging_2281/klagomål/A 14665-2023 FSC-klagomål.docx", "A 14665-2023")</f>
        <v/>
      </c>
      <c r="W179">
        <f>HYPERLINK("https://klasma.github.io/Logging_2281/klagomålsmail/A 14665-2023 FSC-klagomål mail.docx", "A 14665-2023")</f>
        <v/>
      </c>
      <c r="X179">
        <f>HYPERLINK("https://klasma.github.io/Logging_2281/tillsyn/A 14665-2023 tillsynsbegäran.docx", "A 14665-2023")</f>
        <v/>
      </c>
      <c r="Y179">
        <f>HYPERLINK("https://klasma.github.io/Logging_2281/tillsynsmail/A 14665-2023 tillsynsbegäran mail.docx", "A 14665-2023")</f>
        <v/>
      </c>
      <c r="Z179">
        <f>HYPERLINK("https://klasma.github.io/Logging_2281/fåglar/A 14665-2023 prioriterade fågelarter.docx", "A 14665-2023")</f>
        <v/>
      </c>
    </row>
    <row r="180" ht="15" customHeight="1">
      <c r="A180" t="inlineStr">
        <is>
          <t>A 58186-2022</t>
        </is>
      </c>
      <c r="B180" s="1" t="n">
        <v>44900</v>
      </c>
      <c r="C180" s="1" t="n">
        <v>45881</v>
      </c>
      <c r="D180" t="inlineStr">
        <is>
          <t>VÄSTERNORRLANDS LÄN</t>
        </is>
      </c>
      <c r="E180" t="inlineStr">
        <is>
          <t>SUNDSVALL</t>
        </is>
      </c>
      <c r="F180" t="inlineStr">
        <is>
          <t>SCA</t>
        </is>
      </c>
      <c r="G180" t="n">
        <v>9.300000000000001</v>
      </c>
      <c r="H180" t="n">
        <v>1</v>
      </c>
      <c r="I180" t="n">
        <v>1</v>
      </c>
      <c r="J180" t="n">
        <v>0</v>
      </c>
      <c r="K180" t="n">
        <v>0</v>
      </c>
      <c r="L180" t="n">
        <v>0</v>
      </c>
      <c r="M180" t="n">
        <v>0</v>
      </c>
      <c r="N180" t="n">
        <v>0</v>
      </c>
      <c r="O180" t="n">
        <v>0</v>
      </c>
      <c r="P180" t="n">
        <v>0</v>
      </c>
      <c r="Q180" t="n">
        <v>1</v>
      </c>
      <c r="R180" s="2" t="inlineStr">
        <is>
          <t>Plattlummer</t>
        </is>
      </c>
      <c r="S180">
        <f>HYPERLINK("https://klasma.github.io/Logging_2281/artfynd/A 58186-2022 artfynd.xlsx", "A 58186-2022")</f>
        <v/>
      </c>
      <c r="T180">
        <f>HYPERLINK("https://klasma.github.io/Logging_2281/kartor/A 58186-2022 karta.png", "A 58186-2022")</f>
        <v/>
      </c>
      <c r="V180">
        <f>HYPERLINK("https://klasma.github.io/Logging_2281/klagomål/A 58186-2022 FSC-klagomål.docx", "A 58186-2022")</f>
        <v/>
      </c>
      <c r="W180">
        <f>HYPERLINK("https://klasma.github.io/Logging_2281/klagomålsmail/A 58186-2022 FSC-klagomål mail.docx", "A 58186-2022")</f>
        <v/>
      </c>
      <c r="X180">
        <f>HYPERLINK("https://klasma.github.io/Logging_2281/tillsyn/A 58186-2022 tillsynsbegäran.docx", "A 58186-2022")</f>
        <v/>
      </c>
      <c r="Y180">
        <f>HYPERLINK("https://klasma.github.io/Logging_2281/tillsynsmail/A 58186-2022 tillsynsbegäran mail.docx", "A 58186-2022")</f>
        <v/>
      </c>
    </row>
    <row r="181" ht="15" customHeight="1">
      <c r="A181" t="inlineStr">
        <is>
          <t>A 19762-2025</t>
        </is>
      </c>
      <c r="B181" s="1" t="n">
        <v>45771.40686342592</v>
      </c>
      <c r="C181" s="1" t="n">
        <v>45881</v>
      </c>
      <c r="D181" t="inlineStr">
        <is>
          <t>VÄSTERNORRLANDS LÄN</t>
        </is>
      </c>
      <c r="E181" t="inlineStr">
        <is>
          <t>SUNDSVALL</t>
        </is>
      </c>
      <c r="F181" t="inlineStr">
        <is>
          <t>Naturvårdsverket</t>
        </is>
      </c>
      <c r="G181" t="n">
        <v>2.3</v>
      </c>
      <c r="H181" t="n">
        <v>0</v>
      </c>
      <c r="I181" t="n">
        <v>1</v>
      </c>
      <c r="J181" t="n">
        <v>0</v>
      </c>
      <c r="K181" t="n">
        <v>0</v>
      </c>
      <c r="L181" t="n">
        <v>0</v>
      </c>
      <c r="M181" t="n">
        <v>0</v>
      </c>
      <c r="N181" t="n">
        <v>0</v>
      </c>
      <c r="O181" t="n">
        <v>0</v>
      </c>
      <c r="P181" t="n">
        <v>0</v>
      </c>
      <c r="Q181" t="n">
        <v>1</v>
      </c>
      <c r="R181" s="2" t="inlineStr">
        <is>
          <t>Barkticka</t>
        </is>
      </c>
      <c r="S181">
        <f>HYPERLINK("https://klasma.github.io/Logging_2281/artfynd/A 19762-2025 artfynd.xlsx", "A 19762-2025")</f>
        <v/>
      </c>
      <c r="T181">
        <f>HYPERLINK("https://klasma.github.io/Logging_2281/kartor/A 19762-2025 karta.png", "A 19762-2025")</f>
        <v/>
      </c>
      <c r="V181">
        <f>HYPERLINK("https://klasma.github.io/Logging_2281/klagomål/A 19762-2025 FSC-klagomål.docx", "A 19762-2025")</f>
        <v/>
      </c>
      <c r="W181">
        <f>HYPERLINK("https://klasma.github.io/Logging_2281/klagomålsmail/A 19762-2025 FSC-klagomål mail.docx", "A 19762-2025")</f>
        <v/>
      </c>
      <c r="X181">
        <f>HYPERLINK("https://klasma.github.io/Logging_2281/tillsyn/A 19762-2025 tillsynsbegäran.docx", "A 19762-2025")</f>
        <v/>
      </c>
      <c r="Y181">
        <f>HYPERLINK("https://klasma.github.io/Logging_2281/tillsynsmail/A 19762-2025 tillsynsbegäran mail.docx", "A 19762-2025")</f>
        <v/>
      </c>
    </row>
    <row r="182" ht="15" customHeight="1">
      <c r="A182" t="inlineStr">
        <is>
          <t>A 3819-2024</t>
        </is>
      </c>
      <c r="B182" s="1" t="n">
        <v>45321</v>
      </c>
      <c r="C182" s="1" t="n">
        <v>45881</v>
      </c>
      <c r="D182" t="inlineStr">
        <is>
          <t>VÄSTERNORRLANDS LÄN</t>
        </is>
      </c>
      <c r="E182" t="inlineStr">
        <is>
          <t>SUNDSVALL</t>
        </is>
      </c>
      <c r="G182" t="n">
        <v>13.5</v>
      </c>
      <c r="H182" t="n">
        <v>1</v>
      </c>
      <c r="I182" t="n">
        <v>0</v>
      </c>
      <c r="J182" t="n">
        <v>0</v>
      </c>
      <c r="K182" t="n">
        <v>1</v>
      </c>
      <c r="L182" t="n">
        <v>0</v>
      </c>
      <c r="M182" t="n">
        <v>0</v>
      </c>
      <c r="N182" t="n">
        <v>0</v>
      </c>
      <c r="O182" t="n">
        <v>1</v>
      </c>
      <c r="P182" t="n">
        <v>1</v>
      </c>
      <c r="Q182" t="n">
        <v>1</v>
      </c>
      <c r="R182" s="2" t="inlineStr">
        <is>
          <t>Bombmurkla</t>
        </is>
      </c>
      <c r="S182">
        <f>HYPERLINK("https://klasma.github.io/Logging_2281/artfynd/A 3819-2024 artfynd.xlsx", "A 3819-2024")</f>
        <v/>
      </c>
      <c r="T182">
        <f>HYPERLINK("https://klasma.github.io/Logging_2281/kartor/A 3819-2024 karta.png", "A 3819-2024")</f>
        <v/>
      </c>
      <c r="V182">
        <f>HYPERLINK("https://klasma.github.io/Logging_2281/klagomål/A 3819-2024 FSC-klagomål.docx", "A 3819-2024")</f>
        <v/>
      </c>
      <c r="W182">
        <f>HYPERLINK("https://klasma.github.io/Logging_2281/klagomålsmail/A 3819-2024 FSC-klagomål mail.docx", "A 3819-2024")</f>
        <v/>
      </c>
      <c r="X182">
        <f>HYPERLINK("https://klasma.github.io/Logging_2281/tillsyn/A 3819-2024 tillsynsbegäran.docx", "A 3819-2024")</f>
        <v/>
      </c>
      <c r="Y182">
        <f>HYPERLINK("https://klasma.github.io/Logging_2281/tillsynsmail/A 3819-2024 tillsynsbegäran mail.docx", "A 3819-2024")</f>
        <v/>
      </c>
    </row>
    <row r="183" ht="15" customHeight="1">
      <c r="A183" t="inlineStr">
        <is>
          <t>A 233-2024</t>
        </is>
      </c>
      <c r="B183" s="1" t="n">
        <v>45294</v>
      </c>
      <c r="C183" s="1" t="n">
        <v>45881</v>
      </c>
      <c r="D183" t="inlineStr">
        <is>
          <t>VÄSTERNORRLANDS LÄN</t>
        </is>
      </c>
      <c r="E183" t="inlineStr">
        <is>
          <t>SUNDSVALL</t>
        </is>
      </c>
      <c r="G183" t="n">
        <v>2.4</v>
      </c>
      <c r="H183" t="n">
        <v>1</v>
      </c>
      <c r="I183" t="n">
        <v>0</v>
      </c>
      <c r="J183" t="n">
        <v>1</v>
      </c>
      <c r="K183" t="n">
        <v>0</v>
      </c>
      <c r="L183" t="n">
        <v>0</v>
      </c>
      <c r="M183" t="n">
        <v>0</v>
      </c>
      <c r="N183" t="n">
        <v>0</v>
      </c>
      <c r="O183" t="n">
        <v>1</v>
      </c>
      <c r="P183" t="n">
        <v>0</v>
      </c>
      <c r="Q183" t="n">
        <v>1</v>
      </c>
      <c r="R183" s="2" t="inlineStr">
        <is>
          <t>Duvhök</t>
        </is>
      </c>
      <c r="S183">
        <f>HYPERLINK("https://klasma.github.io/Logging_2281/artfynd/A 233-2024 artfynd.xlsx", "A 233-2024")</f>
        <v/>
      </c>
      <c r="T183">
        <f>HYPERLINK("https://klasma.github.io/Logging_2281/kartor/A 233-2024 karta.png", "A 233-2024")</f>
        <v/>
      </c>
      <c r="V183">
        <f>HYPERLINK("https://klasma.github.io/Logging_2281/klagomål/A 233-2024 FSC-klagomål.docx", "A 233-2024")</f>
        <v/>
      </c>
      <c r="W183">
        <f>HYPERLINK("https://klasma.github.io/Logging_2281/klagomålsmail/A 233-2024 FSC-klagomål mail.docx", "A 233-2024")</f>
        <v/>
      </c>
      <c r="X183">
        <f>HYPERLINK("https://klasma.github.io/Logging_2281/tillsyn/A 233-2024 tillsynsbegäran.docx", "A 233-2024")</f>
        <v/>
      </c>
      <c r="Y183">
        <f>HYPERLINK("https://klasma.github.io/Logging_2281/tillsynsmail/A 233-2024 tillsynsbegäran mail.docx", "A 233-2024")</f>
        <v/>
      </c>
      <c r="Z183">
        <f>HYPERLINK("https://klasma.github.io/Logging_2281/fåglar/A 233-2024 prioriterade fågelarter.docx", "A 233-2024")</f>
        <v/>
      </c>
    </row>
    <row r="184" ht="15" customHeight="1">
      <c r="A184" t="inlineStr">
        <is>
          <t>A 37231-2021</t>
        </is>
      </c>
      <c r="B184" s="1" t="n">
        <v>44396</v>
      </c>
      <c r="C184" s="1" t="n">
        <v>45881</v>
      </c>
      <c r="D184" t="inlineStr">
        <is>
          <t>VÄSTERNORRLANDS LÄN</t>
        </is>
      </c>
      <c r="E184" t="inlineStr">
        <is>
          <t>SUNDSVALL</t>
        </is>
      </c>
      <c r="F184" t="inlineStr">
        <is>
          <t>SCA</t>
        </is>
      </c>
      <c r="G184" t="n">
        <v>7.3</v>
      </c>
      <c r="H184" t="n">
        <v>1</v>
      </c>
      <c r="I184" t="n">
        <v>0</v>
      </c>
      <c r="J184" t="n">
        <v>0</v>
      </c>
      <c r="K184" t="n">
        <v>0</v>
      </c>
      <c r="L184" t="n">
        <v>0</v>
      </c>
      <c r="M184" t="n">
        <v>0</v>
      </c>
      <c r="N184" t="n">
        <v>0</v>
      </c>
      <c r="O184" t="n">
        <v>0</v>
      </c>
      <c r="P184" t="n">
        <v>0</v>
      </c>
      <c r="Q184" t="n">
        <v>1</v>
      </c>
      <c r="R184" s="2" t="inlineStr">
        <is>
          <t>Orre</t>
        </is>
      </c>
      <c r="S184">
        <f>HYPERLINK("https://klasma.github.io/Logging_2281/artfynd/A 37231-2021 artfynd.xlsx", "A 37231-2021")</f>
        <v/>
      </c>
      <c r="T184">
        <f>HYPERLINK("https://klasma.github.io/Logging_2281/kartor/A 37231-2021 karta.png", "A 37231-2021")</f>
        <v/>
      </c>
      <c r="V184">
        <f>HYPERLINK("https://klasma.github.io/Logging_2281/klagomål/A 37231-2021 FSC-klagomål.docx", "A 37231-2021")</f>
        <v/>
      </c>
      <c r="W184">
        <f>HYPERLINK("https://klasma.github.io/Logging_2281/klagomålsmail/A 37231-2021 FSC-klagomål mail.docx", "A 37231-2021")</f>
        <v/>
      </c>
      <c r="X184">
        <f>HYPERLINK("https://klasma.github.io/Logging_2281/tillsyn/A 37231-2021 tillsynsbegäran.docx", "A 37231-2021")</f>
        <v/>
      </c>
      <c r="Y184">
        <f>HYPERLINK("https://klasma.github.io/Logging_2281/tillsynsmail/A 37231-2021 tillsynsbegäran mail.docx", "A 37231-2021")</f>
        <v/>
      </c>
      <c r="Z184">
        <f>HYPERLINK("https://klasma.github.io/Logging_2281/fåglar/A 37231-2021 prioriterade fågelarter.docx", "A 37231-2021")</f>
        <v/>
      </c>
    </row>
    <row r="185" ht="15" customHeight="1">
      <c r="A185" t="inlineStr">
        <is>
          <t>A 39004-2024</t>
        </is>
      </c>
      <c r="B185" s="1" t="n">
        <v>45548</v>
      </c>
      <c r="C185" s="1" t="n">
        <v>45881</v>
      </c>
      <c r="D185" t="inlineStr">
        <is>
          <t>VÄSTERNORRLANDS LÄN</t>
        </is>
      </c>
      <c r="E185" t="inlineStr">
        <is>
          <t>SUNDSVALL</t>
        </is>
      </c>
      <c r="G185" t="n">
        <v>6.9</v>
      </c>
      <c r="H185" t="n">
        <v>0</v>
      </c>
      <c r="I185" t="n">
        <v>0</v>
      </c>
      <c r="J185" t="n">
        <v>1</v>
      </c>
      <c r="K185" t="n">
        <v>0</v>
      </c>
      <c r="L185" t="n">
        <v>0</v>
      </c>
      <c r="M185" t="n">
        <v>0</v>
      </c>
      <c r="N185" t="n">
        <v>0</v>
      </c>
      <c r="O185" t="n">
        <v>1</v>
      </c>
      <c r="P185" t="n">
        <v>0</v>
      </c>
      <c r="Q185" t="n">
        <v>1</v>
      </c>
      <c r="R185" s="2" t="inlineStr">
        <is>
          <t>Liten parasollmossa</t>
        </is>
      </c>
      <c r="S185">
        <f>HYPERLINK("https://klasma.github.io/Logging_2281/artfynd/A 39004-2024 artfynd.xlsx", "A 39004-2024")</f>
        <v/>
      </c>
      <c r="T185">
        <f>HYPERLINK("https://klasma.github.io/Logging_2281/kartor/A 39004-2024 karta.png", "A 39004-2024")</f>
        <v/>
      </c>
      <c r="V185">
        <f>HYPERLINK("https://klasma.github.io/Logging_2281/klagomål/A 39004-2024 FSC-klagomål.docx", "A 39004-2024")</f>
        <v/>
      </c>
      <c r="W185">
        <f>HYPERLINK("https://klasma.github.io/Logging_2281/klagomålsmail/A 39004-2024 FSC-klagomål mail.docx", "A 39004-2024")</f>
        <v/>
      </c>
      <c r="X185">
        <f>HYPERLINK("https://klasma.github.io/Logging_2281/tillsyn/A 39004-2024 tillsynsbegäran.docx", "A 39004-2024")</f>
        <v/>
      </c>
      <c r="Y185">
        <f>HYPERLINK("https://klasma.github.io/Logging_2281/tillsynsmail/A 39004-2024 tillsynsbegäran mail.docx", "A 39004-2024")</f>
        <v/>
      </c>
    </row>
    <row r="186" ht="15" customHeight="1">
      <c r="A186" t="inlineStr">
        <is>
          <t>A 50396-2024</t>
        </is>
      </c>
      <c r="B186" s="1" t="n">
        <v>45601</v>
      </c>
      <c r="C186" s="1" t="n">
        <v>45881</v>
      </c>
      <c r="D186" t="inlineStr">
        <is>
          <t>VÄSTERNORRLANDS LÄN</t>
        </is>
      </c>
      <c r="E186" t="inlineStr">
        <is>
          <t>SUNDSVALL</t>
        </is>
      </c>
      <c r="F186" t="inlineStr">
        <is>
          <t>SCA</t>
        </is>
      </c>
      <c r="G186" t="n">
        <v>8</v>
      </c>
      <c r="H186" t="n">
        <v>1</v>
      </c>
      <c r="I186" t="n">
        <v>0</v>
      </c>
      <c r="J186" t="n">
        <v>1</v>
      </c>
      <c r="K186" t="n">
        <v>0</v>
      </c>
      <c r="L186" t="n">
        <v>0</v>
      </c>
      <c r="M186" t="n">
        <v>0</v>
      </c>
      <c r="N186" t="n">
        <v>0</v>
      </c>
      <c r="O186" t="n">
        <v>1</v>
      </c>
      <c r="P186" t="n">
        <v>0</v>
      </c>
      <c r="Q186" t="n">
        <v>1</v>
      </c>
      <c r="R186" s="2" t="inlineStr">
        <is>
          <t>Järpe</t>
        </is>
      </c>
      <c r="S186">
        <f>HYPERLINK("https://klasma.github.io/Logging_2281/artfynd/A 50396-2024 artfynd.xlsx", "A 50396-2024")</f>
        <v/>
      </c>
      <c r="T186">
        <f>HYPERLINK("https://klasma.github.io/Logging_2281/kartor/A 50396-2024 karta.png", "A 50396-2024")</f>
        <v/>
      </c>
      <c r="V186">
        <f>HYPERLINK("https://klasma.github.io/Logging_2281/klagomål/A 50396-2024 FSC-klagomål.docx", "A 50396-2024")</f>
        <v/>
      </c>
      <c r="W186">
        <f>HYPERLINK("https://klasma.github.io/Logging_2281/klagomålsmail/A 50396-2024 FSC-klagomål mail.docx", "A 50396-2024")</f>
        <v/>
      </c>
      <c r="X186">
        <f>HYPERLINK("https://klasma.github.io/Logging_2281/tillsyn/A 50396-2024 tillsynsbegäran.docx", "A 50396-2024")</f>
        <v/>
      </c>
      <c r="Y186">
        <f>HYPERLINK("https://klasma.github.io/Logging_2281/tillsynsmail/A 50396-2024 tillsynsbegäran mail.docx", "A 50396-2024")</f>
        <v/>
      </c>
      <c r="Z186">
        <f>HYPERLINK("https://klasma.github.io/Logging_2281/fåglar/A 50396-2024 prioriterade fågelarter.docx", "A 50396-2024")</f>
        <v/>
      </c>
    </row>
    <row r="187" ht="15" customHeight="1">
      <c r="A187" t="inlineStr">
        <is>
          <t>A 23711-2022</t>
        </is>
      </c>
      <c r="B187" s="1" t="n">
        <v>44722</v>
      </c>
      <c r="C187" s="1" t="n">
        <v>45881</v>
      </c>
      <c r="D187" t="inlineStr">
        <is>
          <t>VÄSTERNORRLANDS LÄN</t>
        </is>
      </c>
      <c r="E187" t="inlineStr">
        <is>
          <t>SUNDSVALL</t>
        </is>
      </c>
      <c r="F187" t="inlineStr">
        <is>
          <t>Holmen skog AB</t>
        </is>
      </c>
      <c r="G187" t="n">
        <v>2.8</v>
      </c>
      <c r="H187" t="n">
        <v>0</v>
      </c>
      <c r="I187" t="n">
        <v>0</v>
      </c>
      <c r="J187" t="n">
        <v>1</v>
      </c>
      <c r="K187" t="n">
        <v>0</v>
      </c>
      <c r="L187" t="n">
        <v>0</v>
      </c>
      <c r="M187" t="n">
        <v>0</v>
      </c>
      <c r="N187" t="n">
        <v>0</v>
      </c>
      <c r="O187" t="n">
        <v>1</v>
      </c>
      <c r="P187" t="n">
        <v>0</v>
      </c>
      <c r="Q187" t="n">
        <v>1</v>
      </c>
      <c r="R187" s="2" t="inlineStr">
        <is>
          <t>Garnlav</t>
        </is>
      </c>
      <c r="S187">
        <f>HYPERLINK("https://klasma.github.io/Logging_2281/artfynd/A 23711-2022 artfynd.xlsx", "A 23711-2022")</f>
        <v/>
      </c>
      <c r="T187">
        <f>HYPERLINK("https://klasma.github.io/Logging_2281/kartor/A 23711-2022 karta.png", "A 23711-2022")</f>
        <v/>
      </c>
      <c r="V187">
        <f>HYPERLINK("https://klasma.github.io/Logging_2281/klagomål/A 23711-2022 FSC-klagomål.docx", "A 23711-2022")</f>
        <v/>
      </c>
      <c r="W187">
        <f>HYPERLINK("https://klasma.github.io/Logging_2281/klagomålsmail/A 23711-2022 FSC-klagomål mail.docx", "A 23711-2022")</f>
        <v/>
      </c>
      <c r="X187">
        <f>HYPERLINK("https://klasma.github.io/Logging_2281/tillsyn/A 23711-2022 tillsynsbegäran.docx", "A 23711-2022")</f>
        <v/>
      </c>
      <c r="Y187">
        <f>HYPERLINK("https://klasma.github.io/Logging_2281/tillsynsmail/A 23711-2022 tillsynsbegäran mail.docx", "A 23711-2022")</f>
        <v/>
      </c>
    </row>
    <row r="188" ht="15" customHeight="1">
      <c r="A188" t="inlineStr">
        <is>
          <t>A 22556-2022</t>
        </is>
      </c>
      <c r="B188" s="1" t="n">
        <v>44713.93802083333</v>
      </c>
      <c r="C188" s="1" t="n">
        <v>45881</v>
      </c>
      <c r="D188" t="inlineStr">
        <is>
          <t>VÄSTERNORRLANDS LÄN</t>
        </is>
      </c>
      <c r="E188" t="inlineStr">
        <is>
          <t>SUNDSVALL</t>
        </is>
      </c>
      <c r="F188" t="inlineStr">
        <is>
          <t>SCA</t>
        </is>
      </c>
      <c r="G188" t="n">
        <v>1.9</v>
      </c>
      <c r="H188" t="n">
        <v>0</v>
      </c>
      <c r="I188" t="n">
        <v>0</v>
      </c>
      <c r="J188" t="n">
        <v>1</v>
      </c>
      <c r="K188" t="n">
        <v>0</v>
      </c>
      <c r="L188" t="n">
        <v>0</v>
      </c>
      <c r="M188" t="n">
        <v>0</v>
      </c>
      <c r="N188" t="n">
        <v>0</v>
      </c>
      <c r="O188" t="n">
        <v>1</v>
      </c>
      <c r="P188" t="n">
        <v>0</v>
      </c>
      <c r="Q188" t="n">
        <v>1</v>
      </c>
      <c r="R188" s="2" t="inlineStr">
        <is>
          <t>Garnlav</t>
        </is>
      </c>
      <c r="S188">
        <f>HYPERLINK("https://klasma.github.io/Logging_2281/artfynd/A 22556-2022 artfynd.xlsx", "A 22556-2022")</f>
        <v/>
      </c>
      <c r="T188">
        <f>HYPERLINK("https://klasma.github.io/Logging_2281/kartor/A 22556-2022 karta.png", "A 22556-2022")</f>
        <v/>
      </c>
      <c r="V188">
        <f>HYPERLINK("https://klasma.github.io/Logging_2281/klagomål/A 22556-2022 FSC-klagomål.docx", "A 22556-2022")</f>
        <v/>
      </c>
      <c r="W188">
        <f>HYPERLINK("https://klasma.github.io/Logging_2281/klagomålsmail/A 22556-2022 FSC-klagomål mail.docx", "A 22556-2022")</f>
        <v/>
      </c>
      <c r="X188">
        <f>HYPERLINK("https://klasma.github.io/Logging_2281/tillsyn/A 22556-2022 tillsynsbegäran.docx", "A 22556-2022")</f>
        <v/>
      </c>
      <c r="Y188">
        <f>HYPERLINK("https://klasma.github.io/Logging_2281/tillsynsmail/A 22556-2022 tillsynsbegäran mail.docx", "A 22556-2022")</f>
        <v/>
      </c>
    </row>
    <row r="189" ht="15" customHeight="1">
      <c r="A189" t="inlineStr">
        <is>
          <t>A 52515-2024</t>
        </is>
      </c>
      <c r="B189" s="1" t="n">
        <v>45609</v>
      </c>
      <c r="C189" s="1" t="n">
        <v>45881</v>
      </c>
      <c r="D189" t="inlineStr">
        <is>
          <t>VÄSTERNORRLANDS LÄN</t>
        </is>
      </c>
      <c r="E189" t="inlineStr">
        <is>
          <t>SUNDSVALL</t>
        </is>
      </c>
      <c r="G189" t="n">
        <v>2.4</v>
      </c>
      <c r="H189" t="n">
        <v>0</v>
      </c>
      <c r="I189" t="n">
        <v>1</v>
      </c>
      <c r="J189" t="n">
        <v>0</v>
      </c>
      <c r="K189" t="n">
        <v>0</v>
      </c>
      <c r="L189" t="n">
        <v>0</v>
      </c>
      <c r="M189" t="n">
        <v>0</v>
      </c>
      <c r="N189" t="n">
        <v>0</v>
      </c>
      <c r="O189" t="n">
        <v>0</v>
      </c>
      <c r="P189" t="n">
        <v>0</v>
      </c>
      <c r="Q189" t="n">
        <v>1</v>
      </c>
      <c r="R189" s="2" t="inlineStr">
        <is>
          <t>Tibast</t>
        </is>
      </c>
      <c r="S189">
        <f>HYPERLINK("https://klasma.github.io/Logging_2281/artfynd/A 52515-2024 artfynd.xlsx", "A 52515-2024")</f>
        <v/>
      </c>
      <c r="T189">
        <f>HYPERLINK("https://klasma.github.io/Logging_2281/kartor/A 52515-2024 karta.png", "A 52515-2024")</f>
        <v/>
      </c>
      <c r="V189">
        <f>HYPERLINK("https://klasma.github.io/Logging_2281/klagomål/A 52515-2024 FSC-klagomål.docx", "A 52515-2024")</f>
        <v/>
      </c>
      <c r="W189">
        <f>HYPERLINK("https://klasma.github.io/Logging_2281/klagomålsmail/A 52515-2024 FSC-klagomål mail.docx", "A 52515-2024")</f>
        <v/>
      </c>
      <c r="X189">
        <f>HYPERLINK("https://klasma.github.io/Logging_2281/tillsyn/A 52515-2024 tillsynsbegäran.docx", "A 52515-2024")</f>
        <v/>
      </c>
      <c r="Y189">
        <f>HYPERLINK("https://klasma.github.io/Logging_2281/tillsynsmail/A 52515-2024 tillsynsbegäran mail.docx", "A 52515-2024")</f>
        <v/>
      </c>
    </row>
    <row r="190" ht="15" customHeight="1">
      <c r="A190" t="inlineStr">
        <is>
          <t>A 17331-2021</t>
        </is>
      </c>
      <c r="B190" s="1" t="n">
        <v>44298</v>
      </c>
      <c r="C190" s="1" t="n">
        <v>45881</v>
      </c>
      <c r="D190" t="inlineStr">
        <is>
          <t>VÄSTERNORRLANDS LÄN</t>
        </is>
      </c>
      <c r="E190" t="inlineStr">
        <is>
          <t>SUNDSVALL</t>
        </is>
      </c>
      <c r="G190" t="n">
        <v>3.7</v>
      </c>
      <c r="H190" t="n">
        <v>0</v>
      </c>
      <c r="I190" t="n">
        <v>0</v>
      </c>
      <c r="J190" t="n">
        <v>1</v>
      </c>
      <c r="K190" t="n">
        <v>0</v>
      </c>
      <c r="L190" t="n">
        <v>0</v>
      </c>
      <c r="M190" t="n">
        <v>0</v>
      </c>
      <c r="N190" t="n">
        <v>0</v>
      </c>
      <c r="O190" t="n">
        <v>1</v>
      </c>
      <c r="P190" t="n">
        <v>0</v>
      </c>
      <c r="Q190" t="n">
        <v>1</v>
      </c>
      <c r="R190" s="2" t="inlineStr">
        <is>
          <t>Myskmåra</t>
        </is>
      </c>
      <c r="S190">
        <f>HYPERLINK("https://klasma.github.io/Logging_2281/artfynd/A 17331-2021 artfynd.xlsx", "A 17331-2021")</f>
        <v/>
      </c>
      <c r="T190">
        <f>HYPERLINK("https://klasma.github.io/Logging_2281/kartor/A 17331-2021 karta.png", "A 17331-2021")</f>
        <v/>
      </c>
      <c r="V190">
        <f>HYPERLINK("https://klasma.github.io/Logging_2281/klagomål/A 17331-2021 FSC-klagomål.docx", "A 17331-2021")</f>
        <v/>
      </c>
      <c r="W190">
        <f>HYPERLINK("https://klasma.github.io/Logging_2281/klagomålsmail/A 17331-2021 FSC-klagomål mail.docx", "A 17331-2021")</f>
        <v/>
      </c>
      <c r="X190">
        <f>HYPERLINK("https://klasma.github.io/Logging_2281/tillsyn/A 17331-2021 tillsynsbegäran.docx", "A 17331-2021")</f>
        <v/>
      </c>
      <c r="Y190">
        <f>HYPERLINK("https://klasma.github.io/Logging_2281/tillsynsmail/A 17331-2021 tillsynsbegäran mail.docx", "A 17331-2021")</f>
        <v/>
      </c>
    </row>
    <row r="191" ht="15" customHeight="1">
      <c r="A191" t="inlineStr">
        <is>
          <t>A 17333-2021</t>
        </is>
      </c>
      <c r="B191" s="1" t="n">
        <v>44298</v>
      </c>
      <c r="C191" s="1" t="n">
        <v>45881</v>
      </c>
      <c r="D191" t="inlineStr">
        <is>
          <t>VÄSTERNORRLANDS LÄN</t>
        </is>
      </c>
      <c r="E191" t="inlineStr">
        <is>
          <t>SUNDSVALL</t>
        </is>
      </c>
      <c r="G191" t="n">
        <v>6.7</v>
      </c>
      <c r="H191" t="n">
        <v>1</v>
      </c>
      <c r="I191" t="n">
        <v>0</v>
      </c>
      <c r="J191" t="n">
        <v>1</v>
      </c>
      <c r="K191" t="n">
        <v>0</v>
      </c>
      <c r="L191" t="n">
        <v>0</v>
      </c>
      <c r="M191" t="n">
        <v>0</v>
      </c>
      <c r="N191" t="n">
        <v>0</v>
      </c>
      <c r="O191" t="n">
        <v>1</v>
      </c>
      <c r="P191" t="n">
        <v>0</v>
      </c>
      <c r="Q191" t="n">
        <v>1</v>
      </c>
      <c r="R191" s="2" t="inlineStr">
        <is>
          <t>Mindre hackspett</t>
        </is>
      </c>
      <c r="S191">
        <f>HYPERLINK("https://klasma.github.io/Logging_2281/artfynd/A 17333-2021 artfynd.xlsx", "A 17333-2021")</f>
        <v/>
      </c>
      <c r="T191">
        <f>HYPERLINK("https://klasma.github.io/Logging_2281/kartor/A 17333-2021 karta.png", "A 17333-2021")</f>
        <v/>
      </c>
      <c r="V191">
        <f>HYPERLINK("https://klasma.github.io/Logging_2281/klagomål/A 17333-2021 FSC-klagomål.docx", "A 17333-2021")</f>
        <v/>
      </c>
      <c r="W191">
        <f>HYPERLINK("https://klasma.github.io/Logging_2281/klagomålsmail/A 17333-2021 FSC-klagomål mail.docx", "A 17333-2021")</f>
        <v/>
      </c>
      <c r="X191">
        <f>HYPERLINK("https://klasma.github.io/Logging_2281/tillsyn/A 17333-2021 tillsynsbegäran.docx", "A 17333-2021")</f>
        <v/>
      </c>
      <c r="Y191">
        <f>HYPERLINK("https://klasma.github.io/Logging_2281/tillsynsmail/A 17333-2021 tillsynsbegäran mail.docx", "A 17333-2021")</f>
        <v/>
      </c>
      <c r="Z191">
        <f>HYPERLINK("https://klasma.github.io/Logging_2281/fåglar/A 17333-2021 prioriterade fågelarter.docx", "A 17333-2021")</f>
        <v/>
      </c>
    </row>
    <row r="192" ht="15" customHeight="1">
      <c r="A192" t="inlineStr">
        <is>
          <t>A 51434-2024</t>
        </is>
      </c>
      <c r="B192" s="1" t="n">
        <v>45604.47024305556</v>
      </c>
      <c r="C192" s="1" t="n">
        <v>45881</v>
      </c>
      <c r="D192" t="inlineStr">
        <is>
          <t>VÄSTERNORRLANDS LÄN</t>
        </is>
      </c>
      <c r="E192" t="inlineStr">
        <is>
          <t>SUNDSVALL</t>
        </is>
      </c>
      <c r="G192" t="n">
        <v>5.4</v>
      </c>
      <c r="H192" t="n">
        <v>1</v>
      </c>
      <c r="I192" t="n">
        <v>0</v>
      </c>
      <c r="J192" t="n">
        <v>0</v>
      </c>
      <c r="K192" t="n">
        <v>0</v>
      </c>
      <c r="L192" t="n">
        <v>0</v>
      </c>
      <c r="M192" t="n">
        <v>0</v>
      </c>
      <c r="N192" t="n">
        <v>0</v>
      </c>
      <c r="O192" t="n">
        <v>0</v>
      </c>
      <c r="P192" t="n">
        <v>0</v>
      </c>
      <c r="Q192" t="n">
        <v>1</v>
      </c>
      <c r="R192" s="2" t="inlineStr">
        <is>
          <t>Fläcknycklar</t>
        </is>
      </c>
      <c r="S192">
        <f>HYPERLINK("https://klasma.github.io/Logging_2281/artfynd/A 51434-2024 artfynd.xlsx", "A 51434-2024")</f>
        <v/>
      </c>
      <c r="T192">
        <f>HYPERLINK("https://klasma.github.io/Logging_2281/kartor/A 51434-2024 karta.png", "A 51434-2024")</f>
        <v/>
      </c>
      <c r="V192">
        <f>HYPERLINK("https://klasma.github.io/Logging_2281/klagomål/A 51434-2024 FSC-klagomål.docx", "A 51434-2024")</f>
        <v/>
      </c>
      <c r="W192">
        <f>HYPERLINK("https://klasma.github.io/Logging_2281/klagomålsmail/A 51434-2024 FSC-klagomål mail.docx", "A 51434-2024")</f>
        <v/>
      </c>
      <c r="X192">
        <f>HYPERLINK("https://klasma.github.io/Logging_2281/tillsyn/A 51434-2024 tillsynsbegäran.docx", "A 51434-2024")</f>
        <v/>
      </c>
      <c r="Y192">
        <f>HYPERLINK("https://klasma.github.io/Logging_2281/tillsynsmail/A 51434-2024 tillsynsbegäran mail.docx", "A 51434-2024")</f>
        <v/>
      </c>
    </row>
    <row r="193" ht="15" customHeight="1">
      <c r="A193" t="inlineStr">
        <is>
          <t>A 3347-2025</t>
        </is>
      </c>
      <c r="B193" s="1" t="n">
        <v>45679.78429398148</v>
      </c>
      <c r="C193" s="1" t="n">
        <v>45881</v>
      </c>
      <c r="D193" t="inlineStr">
        <is>
          <t>VÄSTERNORRLANDS LÄN</t>
        </is>
      </c>
      <c r="E193" t="inlineStr">
        <is>
          <t>SUNDSVALL</t>
        </is>
      </c>
      <c r="G193" t="n">
        <v>20.7</v>
      </c>
      <c r="H193" t="n">
        <v>0</v>
      </c>
      <c r="I193" t="n">
        <v>0</v>
      </c>
      <c r="J193" t="n">
        <v>1</v>
      </c>
      <c r="K193" t="n">
        <v>0</v>
      </c>
      <c r="L193" t="n">
        <v>0</v>
      </c>
      <c r="M193" t="n">
        <v>0</v>
      </c>
      <c r="N193" t="n">
        <v>0</v>
      </c>
      <c r="O193" t="n">
        <v>1</v>
      </c>
      <c r="P193" t="n">
        <v>0</v>
      </c>
      <c r="Q193" t="n">
        <v>1</v>
      </c>
      <c r="R193" s="2" t="inlineStr">
        <is>
          <t>Lunglav</t>
        </is>
      </c>
      <c r="S193">
        <f>HYPERLINK("https://klasma.github.io/Logging_2281/artfynd/A 3347-2025 artfynd.xlsx", "A 3347-2025")</f>
        <v/>
      </c>
      <c r="T193">
        <f>HYPERLINK("https://klasma.github.io/Logging_2281/kartor/A 3347-2025 karta.png", "A 3347-2025")</f>
        <v/>
      </c>
      <c r="V193">
        <f>HYPERLINK("https://klasma.github.io/Logging_2281/klagomål/A 3347-2025 FSC-klagomål.docx", "A 3347-2025")</f>
        <v/>
      </c>
      <c r="W193">
        <f>HYPERLINK("https://klasma.github.io/Logging_2281/klagomålsmail/A 3347-2025 FSC-klagomål mail.docx", "A 3347-2025")</f>
        <v/>
      </c>
      <c r="X193">
        <f>HYPERLINK("https://klasma.github.io/Logging_2281/tillsyn/A 3347-2025 tillsynsbegäran.docx", "A 3347-2025")</f>
        <v/>
      </c>
      <c r="Y193">
        <f>HYPERLINK("https://klasma.github.io/Logging_2281/tillsynsmail/A 3347-2025 tillsynsbegäran mail.docx", "A 3347-2025")</f>
        <v/>
      </c>
    </row>
    <row r="194" ht="15" customHeight="1">
      <c r="A194" t="inlineStr">
        <is>
          <t>A 20631-2025</t>
        </is>
      </c>
      <c r="B194" s="1" t="n">
        <v>45776</v>
      </c>
      <c r="C194" s="1" t="n">
        <v>45881</v>
      </c>
      <c r="D194" t="inlineStr">
        <is>
          <t>VÄSTERNORRLANDS LÄN</t>
        </is>
      </c>
      <c r="E194" t="inlineStr">
        <is>
          <t>SUNDSVALL</t>
        </is>
      </c>
      <c r="F194" t="inlineStr">
        <is>
          <t>Naturvårdsverket</t>
        </is>
      </c>
      <c r="G194" t="n">
        <v>9.6</v>
      </c>
      <c r="H194" t="n">
        <v>0</v>
      </c>
      <c r="I194" t="n">
        <v>0</v>
      </c>
      <c r="J194" t="n">
        <v>1</v>
      </c>
      <c r="K194" t="n">
        <v>0</v>
      </c>
      <c r="L194" t="n">
        <v>0</v>
      </c>
      <c r="M194" t="n">
        <v>0</v>
      </c>
      <c r="N194" t="n">
        <v>0</v>
      </c>
      <c r="O194" t="n">
        <v>1</v>
      </c>
      <c r="P194" t="n">
        <v>0</v>
      </c>
      <c r="Q194" t="n">
        <v>1</v>
      </c>
      <c r="R194" s="2" t="inlineStr">
        <is>
          <t>Nordtagging</t>
        </is>
      </c>
      <c r="S194">
        <f>HYPERLINK("https://klasma.github.io/Logging_2281/artfynd/A 20631-2025 artfynd.xlsx", "A 20631-2025")</f>
        <v/>
      </c>
      <c r="T194">
        <f>HYPERLINK("https://klasma.github.io/Logging_2281/kartor/A 20631-2025 karta.png", "A 20631-2025")</f>
        <v/>
      </c>
      <c r="V194">
        <f>HYPERLINK("https://klasma.github.io/Logging_2281/klagomål/A 20631-2025 FSC-klagomål.docx", "A 20631-2025")</f>
        <v/>
      </c>
      <c r="W194">
        <f>HYPERLINK("https://klasma.github.io/Logging_2281/klagomålsmail/A 20631-2025 FSC-klagomål mail.docx", "A 20631-2025")</f>
        <v/>
      </c>
      <c r="X194">
        <f>HYPERLINK("https://klasma.github.io/Logging_2281/tillsyn/A 20631-2025 tillsynsbegäran.docx", "A 20631-2025")</f>
        <v/>
      </c>
      <c r="Y194">
        <f>HYPERLINK("https://klasma.github.io/Logging_2281/tillsynsmail/A 20631-2025 tillsynsbegäran mail.docx", "A 20631-2025")</f>
        <v/>
      </c>
    </row>
    <row r="195" ht="15" customHeight="1">
      <c r="A195" t="inlineStr">
        <is>
          <t>A 21318-2025</t>
        </is>
      </c>
      <c r="B195" s="1" t="n">
        <v>45782.34424768519</v>
      </c>
      <c r="C195" s="1" t="n">
        <v>45881</v>
      </c>
      <c r="D195" t="inlineStr">
        <is>
          <t>VÄSTERNORRLANDS LÄN</t>
        </is>
      </c>
      <c r="E195" t="inlineStr">
        <is>
          <t>SUNDSVALL</t>
        </is>
      </c>
      <c r="F195" t="inlineStr">
        <is>
          <t>Naturvårdsverket</t>
        </is>
      </c>
      <c r="G195" t="n">
        <v>3.7</v>
      </c>
      <c r="H195" t="n">
        <v>0</v>
      </c>
      <c r="I195" t="n">
        <v>0</v>
      </c>
      <c r="J195" t="n">
        <v>1</v>
      </c>
      <c r="K195" t="n">
        <v>0</v>
      </c>
      <c r="L195" t="n">
        <v>0</v>
      </c>
      <c r="M195" t="n">
        <v>0</v>
      </c>
      <c r="N195" t="n">
        <v>0</v>
      </c>
      <c r="O195" t="n">
        <v>1</v>
      </c>
      <c r="P195" t="n">
        <v>0</v>
      </c>
      <c r="Q195" t="n">
        <v>1</v>
      </c>
      <c r="R195" s="2" t="inlineStr">
        <is>
          <t>Reliktbock</t>
        </is>
      </c>
      <c r="S195">
        <f>HYPERLINK("https://klasma.github.io/Logging_2281/artfynd/A 21318-2025 artfynd.xlsx", "A 21318-2025")</f>
        <v/>
      </c>
      <c r="T195">
        <f>HYPERLINK("https://klasma.github.io/Logging_2281/kartor/A 21318-2025 karta.png", "A 21318-2025")</f>
        <v/>
      </c>
      <c r="V195">
        <f>HYPERLINK("https://klasma.github.io/Logging_2281/klagomål/A 21318-2025 FSC-klagomål.docx", "A 21318-2025")</f>
        <v/>
      </c>
      <c r="W195">
        <f>HYPERLINK("https://klasma.github.io/Logging_2281/klagomålsmail/A 21318-2025 FSC-klagomål mail.docx", "A 21318-2025")</f>
        <v/>
      </c>
      <c r="X195">
        <f>HYPERLINK("https://klasma.github.io/Logging_2281/tillsyn/A 21318-2025 tillsynsbegäran.docx", "A 21318-2025")</f>
        <v/>
      </c>
      <c r="Y195">
        <f>HYPERLINK("https://klasma.github.io/Logging_2281/tillsynsmail/A 21318-2025 tillsynsbegäran mail.docx", "A 21318-2025")</f>
        <v/>
      </c>
    </row>
    <row r="196" ht="15" customHeight="1">
      <c r="A196" t="inlineStr">
        <is>
          <t>A 9200-2022</t>
        </is>
      </c>
      <c r="B196" s="1" t="n">
        <v>44615.92614583333</v>
      </c>
      <c r="C196" s="1" t="n">
        <v>45881</v>
      </c>
      <c r="D196" t="inlineStr">
        <is>
          <t>VÄSTERNORRLANDS LÄN</t>
        </is>
      </c>
      <c r="E196" t="inlineStr">
        <is>
          <t>SUNDSVALL</t>
        </is>
      </c>
      <c r="G196" t="n">
        <v>17.6</v>
      </c>
      <c r="H196" t="n">
        <v>0</v>
      </c>
      <c r="I196" t="n">
        <v>0</v>
      </c>
      <c r="J196" t="n">
        <v>1</v>
      </c>
      <c r="K196" t="n">
        <v>0</v>
      </c>
      <c r="L196" t="n">
        <v>0</v>
      </c>
      <c r="M196" t="n">
        <v>0</v>
      </c>
      <c r="N196" t="n">
        <v>0</v>
      </c>
      <c r="O196" t="n">
        <v>1</v>
      </c>
      <c r="P196" t="n">
        <v>0</v>
      </c>
      <c r="Q196" t="n">
        <v>1</v>
      </c>
      <c r="R196" s="2" t="inlineStr">
        <is>
          <t>Blå taggsvamp</t>
        </is>
      </c>
      <c r="S196">
        <f>HYPERLINK("https://klasma.github.io/Logging_2281/artfynd/A 9200-2022 artfynd.xlsx", "A 9200-2022")</f>
        <v/>
      </c>
      <c r="T196">
        <f>HYPERLINK("https://klasma.github.io/Logging_2281/kartor/A 9200-2022 karta.png", "A 9200-2022")</f>
        <v/>
      </c>
      <c r="V196">
        <f>HYPERLINK("https://klasma.github.io/Logging_2281/klagomål/A 9200-2022 FSC-klagomål.docx", "A 9200-2022")</f>
        <v/>
      </c>
      <c r="W196">
        <f>HYPERLINK("https://klasma.github.io/Logging_2281/klagomålsmail/A 9200-2022 FSC-klagomål mail.docx", "A 9200-2022")</f>
        <v/>
      </c>
      <c r="X196">
        <f>HYPERLINK("https://klasma.github.io/Logging_2281/tillsyn/A 9200-2022 tillsynsbegäran.docx", "A 9200-2022")</f>
        <v/>
      </c>
      <c r="Y196">
        <f>HYPERLINK("https://klasma.github.io/Logging_2281/tillsynsmail/A 9200-2022 tillsynsbegäran mail.docx", "A 9200-2022")</f>
        <v/>
      </c>
    </row>
    <row r="197" ht="15" customHeight="1">
      <c r="A197" t="inlineStr">
        <is>
          <t>A 26080-2024</t>
        </is>
      </c>
      <c r="B197" s="1" t="n">
        <v>45468</v>
      </c>
      <c r="C197" s="1" t="n">
        <v>45881</v>
      </c>
      <c r="D197" t="inlineStr">
        <is>
          <t>VÄSTERNORRLANDS LÄN</t>
        </is>
      </c>
      <c r="E197" t="inlineStr">
        <is>
          <t>SUNDSVALL</t>
        </is>
      </c>
      <c r="G197" t="n">
        <v>18.8</v>
      </c>
      <c r="H197" t="n">
        <v>0</v>
      </c>
      <c r="I197" t="n">
        <v>0</v>
      </c>
      <c r="J197" t="n">
        <v>1</v>
      </c>
      <c r="K197" t="n">
        <v>0</v>
      </c>
      <c r="L197" t="n">
        <v>0</v>
      </c>
      <c r="M197" t="n">
        <v>0</v>
      </c>
      <c r="N197" t="n">
        <v>0</v>
      </c>
      <c r="O197" t="n">
        <v>1</v>
      </c>
      <c r="P197" t="n">
        <v>0</v>
      </c>
      <c r="Q197" t="n">
        <v>1</v>
      </c>
      <c r="R197" s="2" t="inlineStr">
        <is>
          <t>Lunglav</t>
        </is>
      </c>
      <c r="S197">
        <f>HYPERLINK("https://klasma.github.io/Logging_2281/artfynd/A 26080-2024 artfynd.xlsx", "A 26080-2024")</f>
        <v/>
      </c>
      <c r="T197">
        <f>HYPERLINK("https://klasma.github.io/Logging_2281/kartor/A 26080-2024 karta.png", "A 26080-2024")</f>
        <v/>
      </c>
      <c r="V197">
        <f>HYPERLINK("https://klasma.github.io/Logging_2281/klagomål/A 26080-2024 FSC-klagomål.docx", "A 26080-2024")</f>
        <v/>
      </c>
      <c r="W197">
        <f>HYPERLINK("https://klasma.github.io/Logging_2281/klagomålsmail/A 26080-2024 FSC-klagomål mail.docx", "A 26080-2024")</f>
        <v/>
      </c>
      <c r="X197">
        <f>HYPERLINK("https://klasma.github.io/Logging_2281/tillsyn/A 26080-2024 tillsynsbegäran.docx", "A 26080-2024")</f>
        <v/>
      </c>
      <c r="Y197">
        <f>HYPERLINK("https://klasma.github.io/Logging_2281/tillsynsmail/A 26080-2024 tillsynsbegäran mail.docx", "A 26080-2024")</f>
        <v/>
      </c>
    </row>
    <row r="198" ht="15" customHeight="1">
      <c r="A198" t="inlineStr">
        <is>
          <t>A 12058-2023</t>
        </is>
      </c>
      <c r="B198" s="1" t="n">
        <v>44995</v>
      </c>
      <c r="C198" s="1" t="n">
        <v>45881</v>
      </c>
      <c r="D198" t="inlineStr">
        <is>
          <t>VÄSTERNORRLANDS LÄN</t>
        </is>
      </c>
      <c r="E198" t="inlineStr">
        <is>
          <t>SUNDSVALL</t>
        </is>
      </c>
      <c r="F198" t="inlineStr">
        <is>
          <t>SCA</t>
        </is>
      </c>
      <c r="G198" t="n">
        <v>4</v>
      </c>
      <c r="H198" t="n">
        <v>1</v>
      </c>
      <c r="I198" t="n">
        <v>0</v>
      </c>
      <c r="J198" t="n">
        <v>1</v>
      </c>
      <c r="K198" t="n">
        <v>0</v>
      </c>
      <c r="L198" t="n">
        <v>0</v>
      </c>
      <c r="M198" t="n">
        <v>0</v>
      </c>
      <c r="N198" t="n">
        <v>0</v>
      </c>
      <c r="O198" t="n">
        <v>1</v>
      </c>
      <c r="P198" t="n">
        <v>0</v>
      </c>
      <c r="Q198" t="n">
        <v>1</v>
      </c>
      <c r="R198" s="2" t="inlineStr">
        <is>
          <t>Fiskmås</t>
        </is>
      </c>
      <c r="S198">
        <f>HYPERLINK("https://klasma.github.io/Logging_2281/artfynd/A 12058-2023 artfynd.xlsx", "A 12058-2023")</f>
        <v/>
      </c>
      <c r="T198">
        <f>HYPERLINK("https://klasma.github.io/Logging_2281/kartor/A 12058-2023 karta.png", "A 12058-2023")</f>
        <v/>
      </c>
      <c r="V198">
        <f>HYPERLINK("https://klasma.github.io/Logging_2281/klagomål/A 12058-2023 FSC-klagomål.docx", "A 12058-2023")</f>
        <v/>
      </c>
      <c r="W198">
        <f>HYPERLINK("https://klasma.github.io/Logging_2281/klagomålsmail/A 12058-2023 FSC-klagomål mail.docx", "A 12058-2023")</f>
        <v/>
      </c>
      <c r="X198">
        <f>HYPERLINK("https://klasma.github.io/Logging_2281/tillsyn/A 12058-2023 tillsynsbegäran.docx", "A 12058-2023")</f>
        <v/>
      </c>
      <c r="Y198">
        <f>HYPERLINK("https://klasma.github.io/Logging_2281/tillsynsmail/A 12058-2023 tillsynsbegäran mail.docx", "A 12058-2023")</f>
        <v/>
      </c>
    </row>
    <row r="199" ht="15" customHeight="1">
      <c r="A199" t="inlineStr">
        <is>
          <t>A 15775-2021</t>
        </is>
      </c>
      <c r="B199" s="1" t="n">
        <v>44286</v>
      </c>
      <c r="C199" s="1" t="n">
        <v>45881</v>
      </c>
      <c r="D199" t="inlineStr">
        <is>
          <t>VÄSTERNORRLANDS LÄN</t>
        </is>
      </c>
      <c r="E199" t="inlineStr">
        <is>
          <t>SUNDSVALL</t>
        </is>
      </c>
      <c r="F199" t="inlineStr">
        <is>
          <t>Kommuner</t>
        </is>
      </c>
      <c r="G199" t="n">
        <v>8.4</v>
      </c>
      <c r="H199" t="n">
        <v>1</v>
      </c>
      <c r="I199" t="n">
        <v>0</v>
      </c>
      <c r="J199" t="n">
        <v>0</v>
      </c>
      <c r="K199" t="n">
        <v>0</v>
      </c>
      <c r="L199" t="n">
        <v>0</v>
      </c>
      <c r="M199" t="n">
        <v>0</v>
      </c>
      <c r="N199" t="n">
        <v>0</v>
      </c>
      <c r="O199" t="n">
        <v>0</v>
      </c>
      <c r="P199" t="n">
        <v>0</v>
      </c>
      <c r="Q199" t="n">
        <v>1</v>
      </c>
      <c r="R199" s="2" t="inlineStr">
        <is>
          <t>Vanlig padda</t>
        </is>
      </c>
      <c r="S199">
        <f>HYPERLINK("https://klasma.github.io/Logging_2281/artfynd/A 15775-2021 artfynd.xlsx", "A 15775-2021")</f>
        <v/>
      </c>
      <c r="T199">
        <f>HYPERLINK("https://klasma.github.io/Logging_2281/kartor/A 15775-2021 karta.png", "A 15775-2021")</f>
        <v/>
      </c>
      <c r="V199">
        <f>HYPERLINK("https://klasma.github.io/Logging_2281/klagomål/A 15775-2021 FSC-klagomål.docx", "A 15775-2021")</f>
        <v/>
      </c>
      <c r="W199">
        <f>HYPERLINK("https://klasma.github.io/Logging_2281/klagomålsmail/A 15775-2021 FSC-klagomål mail.docx", "A 15775-2021")</f>
        <v/>
      </c>
      <c r="X199">
        <f>HYPERLINK("https://klasma.github.io/Logging_2281/tillsyn/A 15775-2021 tillsynsbegäran.docx", "A 15775-2021")</f>
        <v/>
      </c>
      <c r="Y199">
        <f>HYPERLINK("https://klasma.github.io/Logging_2281/tillsynsmail/A 15775-2021 tillsynsbegäran mail.docx", "A 15775-2021")</f>
        <v/>
      </c>
    </row>
    <row r="200" ht="15" customHeight="1">
      <c r="A200" t="inlineStr">
        <is>
          <t>A 3924-2025</t>
        </is>
      </c>
      <c r="B200" s="1" t="n">
        <v>45684.44851851852</v>
      </c>
      <c r="C200" s="1" t="n">
        <v>45881</v>
      </c>
      <c r="D200" t="inlineStr">
        <is>
          <t>VÄSTERNORRLANDS LÄN</t>
        </is>
      </c>
      <c r="E200" t="inlineStr">
        <is>
          <t>SUNDSVALL</t>
        </is>
      </c>
      <c r="F200" t="inlineStr">
        <is>
          <t>SCA</t>
        </is>
      </c>
      <c r="G200" t="n">
        <v>5.9</v>
      </c>
      <c r="H200" t="n">
        <v>1</v>
      </c>
      <c r="I200" t="n">
        <v>0</v>
      </c>
      <c r="J200" t="n">
        <v>1</v>
      </c>
      <c r="K200" t="n">
        <v>0</v>
      </c>
      <c r="L200" t="n">
        <v>0</v>
      </c>
      <c r="M200" t="n">
        <v>0</v>
      </c>
      <c r="N200" t="n">
        <v>0</v>
      </c>
      <c r="O200" t="n">
        <v>1</v>
      </c>
      <c r="P200" t="n">
        <v>0</v>
      </c>
      <c r="Q200" t="n">
        <v>1</v>
      </c>
      <c r="R200" s="2" t="inlineStr">
        <is>
          <t>Järpe</t>
        </is>
      </c>
      <c r="S200">
        <f>HYPERLINK("https://klasma.github.io/Logging_2281/artfynd/A 3924-2025 artfynd.xlsx", "A 3924-2025")</f>
        <v/>
      </c>
      <c r="T200">
        <f>HYPERLINK("https://klasma.github.io/Logging_2281/kartor/A 3924-2025 karta.png", "A 3924-2025")</f>
        <v/>
      </c>
      <c r="V200">
        <f>HYPERLINK("https://klasma.github.io/Logging_2281/klagomål/A 3924-2025 FSC-klagomål.docx", "A 3924-2025")</f>
        <v/>
      </c>
      <c r="W200">
        <f>HYPERLINK("https://klasma.github.io/Logging_2281/klagomålsmail/A 3924-2025 FSC-klagomål mail.docx", "A 3924-2025")</f>
        <v/>
      </c>
      <c r="X200">
        <f>HYPERLINK("https://klasma.github.io/Logging_2281/tillsyn/A 3924-2025 tillsynsbegäran.docx", "A 3924-2025")</f>
        <v/>
      </c>
      <c r="Y200">
        <f>HYPERLINK("https://klasma.github.io/Logging_2281/tillsynsmail/A 3924-2025 tillsynsbegäran mail.docx", "A 3924-2025")</f>
        <v/>
      </c>
      <c r="Z200">
        <f>HYPERLINK("https://klasma.github.io/Logging_2281/fåglar/A 3924-2025 prioriterade fågelarter.docx", "A 3924-2025")</f>
        <v/>
      </c>
    </row>
    <row r="201" ht="15" customHeight="1">
      <c r="A201" t="inlineStr">
        <is>
          <t>A 49863-2023</t>
        </is>
      </c>
      <c r="B201" s="1" t="n">
        <v>45212</v>
      </c>
      <c r="C201" s="1" t="n">
        <v>45881</v>
      </c>
      <c r="D201" t="inlineStr">
        <is>
          <t>VÄSTERNORRLANDS LÄN</t>
        </is>
      </c>
      <c r="E201" t="inlineStr">
        <is>
          <t>SUNDSVALL</t>
        </is>
      </c>
      <c r="F201" t="inlineStr">
        <is>
          <t>SCA</t>
        </is>
      </c>
      <c r="G201" t="n">
        <v>2.3</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49863-2023 artfynd.xlsx", "A 49863-2023")</f>
        <v/>
      </c>
      <c r="T201">
        <f>HYPERLINK("https://klasma.github.io/Logging_2281/kartor/A 49863-2023 karta.png", "A 49863-2023")</f>
        <v/>
      </c>
      <c r="V201">
        <f>HYPERLINK("https://klasma.github.io/Logging_2281/klagomål/A 49863-2023 FSC-klagomål.docx", "A 49863-2023")</f>
        <v/>
      </c>
      <c r="W201">
        <f>HYPERLINK("https://klasma.github.io/Logging_2281/klagomålsmail/A 49863-2023 FSC-klagomål mail.docx", "A 49863-2023")</f>
        <v/>
      </c>
      <c r="X201">
        <f>HYPERLINK("https://klasma.github.io/Logging_2281/tillsyn/A 49863-2023 tillsynsbegäran.docx", "A 49863-2023")</f>
        <v/>
      </c>
      <c r="Y201">
        <f>HYPERLINK("https://klasma.github.io/Logging_2281/tillsynsmail/A 49863-2023 tillsynsbegäran mail.docx", "A 49863-2023")</f>
        <v/>
      </c>
      <c r="Z201">
        <f>HYPERLINK("https://klasma.github.io/Logging_2281/fåglar/A 49863-2023 prioriterade fågelarter.docx", "A 49863-2023")</f>
        <v/>
      </c>
    </row>
    <row r="202" ht="15" customHeight="1">
      <c r="A202" t="inlineStr">
        <is>
          <t>A 24016-2025</t>
        </is>
      </c>
      <c r="B202" s="1" t="n">
        <v>45796.44878472222</v>
      </c>
      <c r="C202" s="1" t="n">
        <v>45881</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58723-2024</t>
        </is>
      </c>
      <c r="B203" s="1" t="n">
        <v>45635.66302083333</v>
      </c>
      <c r="C203" s="1" t="n">
        <v>45881</v>
      </c>
      <c r="D203" t="inlineStr">
        <is>
          <t>VÄSTERNORRLANDS LÄN</t>
        </is>
      </c>
      <c r="E203" t="inlineStr">
        <is>
          <t>SUNDSVALL</t>
        </is>
      </c>
      <c r="G203" t="n">
        <v>2.2</v>
      </c>
      <c r="H203" t="n">
        <v>1</v>
      </c>
      <c r="I203" t="n">
        <v>0</v>
      </c>
      <c r="J203" t="n">
        <v>1</v>
      </c>
      <c r="K203" t="n">
        <v>0</v>
      </c>
      <c r="L203" t="n">
        <v>0</v>
      </c>
      <c r="M203" t="n">
        <v>0</v>
      </c>
      <c r="N203" t="n">
        <v>0</v>
      </c>
      <c r="O203" t="n">
        <v>1</v>
      </c>
      <c r="P203" t="n">
        <v>0</v>
      </c>
      <c r="Q203" t="n">
        <v>1</v>
      </c>
      <c r="R203" s="2" t="inlineStr">
        <is>
          <t>Talltita</t>
        </is>
      </c>
      <c r="S203">
        <f>HYPERLINK("https://klasma.github.io/Logging_2281/artfynd/A 58723-2024 artfynd.xlsx", "A 58723-2024")</f>
        <v/>
      </c>
      <c r="T203">
        <f>HYPERLINK("https://klasma.github.io/Logging_2281/kartor/A 58723-2024 karta.png", "A 58723-2024")</f>
        <v/>
      </c>
      <c r="V203">
        <f>HYPERLINK("https://klasma.github.io/Logging_2281/klagomål/A 58723-2024 FSC-klagomål.docx", "A 58723-2024")</f>
        <v/>
      </c>
      <c r="W203">
        <f>HYPERLINK("https://klasma.github.io/Logging_2281/klagomålsmail/A 58723-2024 FSC-klagomål mail.docx", "A 58723-2024")</f>
        <v/>
      </c>
      <c r="X203">
        <f>HYPERLINK("https://klasma.github.io/Logging_2281/tillsyn/A 58723-2024 tillsynsbegäran.docx", "A 58723-2024")</f>
        <v/>
      </c>
      <c r="Y203">
        <f>HYPERLINK("https://klasma.github.io/Logging_2281/tillsynsmail/A 58723-2024 tillsynsbegäran mail.docx", "A 58723-2024")</f>
        <v/>
      </c>
      <c r="Z203">
        <f>HYPERLINK("https://klasma.github.io/Logging_2281/fåglar/A 58723-2024 prioriterade fågelarter.docx", "A 58723-2024")</f>
        <v/>
      </c>
    </row>
    <row r="204" ht="15" customHeight="1">
      <c r="A204" t="inlineStr">
        <is>
          <t>A 30827-2023</t>
        </is>
      </c>
      <c r="B204" s="1" t="n">
        <v>45112</v>
      </c>
      <c r="C204" s="1" t="n">
        <v>45881</v>
      </c>
      <c r="D204" t="inlineStr">
        <is>
          <t>VÄSTERNORRLANDS LÄN</t>
        </is>
      </c>
      <c r="E204" t="inlineStr">
        <is>
          <t>SUNDSVALL</t>
        </is>
      </c>
      <c r="F204" t="inlineStr">
        <is>
          <t>SCA</t>
        </is>
      </c>
      <c r="G204" t="n">
        <v>21.9</v>
      </c>
      <c r="H204" t="n">
        <v>0</v>
      </c>
      <c r="I204" t="n">
        <v>1</v>
      </c>
      <c r="J204" t="n">
        <v>0</v>
      </c>
      <c r="K204" t="n">
        <v>0</v>
      </c>
      <c r="L204" t="n">
        <v>0</v>
      </c>
      <c r="M204" t="n">
        <v>0</v>
      </c>
      <c r="N204" t="n">
        <v>0</v>
      </c>
      <c r="O204" t="n">
        <v>0</v>
      </c>
      <c r="P204" t="n">
        <v>0</v>
      </c>
      <c r="Q204" t="n">
        <v>1</v>
      </c>
      <c r="R204" s="2" t="inlineStr">
        <is>
          <t>Dropptaggsvamp</t>
        </is>
      </c>
      <c r="S204">
        <f>HYPERLINK("https://klasma.github.io/Logging_2281/artfynd/A 30827-2023 artfynd.xlsx", "A 30827-2023")</f>
        <v/>
      </c>
      <c r="T204">
        <f>HYPERLINK("https://klasma.github.io/Logging_2281/kartor/A 30827-2023 karta.png", "A 30827-2023")</f>
        <v/>
      </c>
      <c r="V204">
        <f>HYPERLINK("https://klasma.github.io/Logging_2281/klagomål/A 30827-2023 FSC-klagomål.docx", "A 30827-2023")</f>
        <v/>
      </c>
      <c r="W204">
        <f>HYPERLINK("https://klasma.github.io/Logging_2281/klagomålsmail/A 30827-2023 FSC-klagomål mail.docx", "A 30827-2023")</f>
        <v/>
      </c>
      <c r="X204">
        <f>HYPERLINK("https://klasma.github.io/Logging_2281/tillsyn/A 30827-2023 tillsynsbegäran.docx", "A 30827-2023")</f>
        <v/>
      </c>
      <c r="Y204">
        <f>HYPERLINK("https://klasma.github.io/Logging_2281/tillsynsmail/A 30827-2023 tillsynsbegäran mail.docx", "A 30827-2023")</f>
        <v/>
      </c>
    </row>
    <row r="205" ht="15" customHeight="1">
      <c r="A205" t="inlineStr">
        <is>
          <t>A 17395-2025</t>
        </is>
      </c>
      <c r="B205" s="1" t="n">
        <v>45757.34414351852</v>
      </c>
      <c r="C205" s="1" t="n">
        <v>45881</v>
      </c>
      <c r="D205" t="inlineStr">
        <is>
          <t>VÄSTERNORRLANDS LÄN</t>
        </is>
      </c>
      <c r="E205" t="inlineStr">
        <is>
          <t>SUNDSVALL</t>
        </is>
      </c>
      <c r="F205" t="inlineStr">
        <is>
          <t>SCA</t>
        </is>
      </c>
      <c r="G205" t="n">
        <v>7.1</v>
      </c>
      <c r="H205" t="n">
        <v>1</v>
      </c>
      <c r="I205" t="n">
        <v>0</v>
      </c>
      <c r="J205" t="n">
        <v>0</v>
      </c>
      <c r="K205" t="n">
        <v>0</v>
      </c>
      <c r="L205" t="n">
        <v>0</v>
      </c>
      <c r="M205" t="n">
        <v>0</v>
      </c>
      <c r="N205" t="n">
        <v>0</v>
      </c>
      <c r="O205" t="n">
        <v>0</v>
      </c>
      <c r="P205" t="n">
        <v>0</v>
      </c>
      <c r="Q205" t="n">
        <v>1</v>
      </c>
      <c r="R205" s="2" t="inlineStr">
        <is>
          <t>Nattviol</t>
        </is>
      </c>
      <c r="S205">
        <f>HYPERLINK("https://klasma.github.io/Logging_2281/artfynd/A 17395-2025 artfynd.xlsx", "A 17395-2025")</f>
        <v/>
      </c>
      <c r="T205">
        <f>HYPERLINK("https://klasma.github.io/Logging_2281/kartor/A 17395-2025 karta.png", "A 17395-2025")</f>
        <v/>
      </c>
      <c r="V205">
        <f>HYPERLINK("https://klasma.github.io/Logging_2281/klagomål/A 17395-2025 FSC-klagomål.docx", "A 17395-2025")</f>
        <v/>
      </c>
      <c r="W205">
        <f>HYPERLINK("https://klasma.github.io/Logging_2281/klagomålsmail/A 17395-2025 FSC-klagomål mail.docx", "A 17395-2025")</f>
        <v/>
      </c>
      <c r="X205">
        <f>HYPERLINK("https://klasma.github.io/Logging_2281/tillsyn/A 17395-2025 tillsynsbegäran.docx", "A 17395-2025")</f>
        <v/>
      </c>
      <c r="Y205">
        <f>HYPERLINK("https://klasma.github.io/Logging_2281/tillsynsmail/A 17395-2025 tillsynsbegäran mail.docx", "A 17395-2025")</f>
        <v/>
      </c>
    </row>
    <row r="206" ht="15" customHeight="1">
      <c r="A206" t="inlineStr">
        <is>
          <t>A 25117-2025</t>
        </is>
      </c>
      <c r="B206" s="1" t="n">
        <v>45800.365</v>
      </c>
      <c r="C206" s="1" t="n">
        <v>45881</v>
      </c>
      <c r="D206" t="inlineStr">
        <is>
          <t>VÄSTERNORRLANDS LÄN</t>
        </is>
      </c>
      <c r="E206" t="inlineStr">
        <is>
          <t>SUNDSVALL</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HYPERLINK("https://klasma.github.io/Logging_2281/artfynd/A 25117-2025 artfynd.xlsx", "A 25117-2025")</f>
        <v/>
      </c>
      <c r="T206">
        <f>HYPERLINK("https://klasma.github.io/Logging_2281/kartor/A 25117-2025 karta.png", "A 25117-2025")</f>
        <v/>
      </c>
      <c r="V206">
        <f>HYPERLINK("https://klasma.github.io/Logging_2281/klagomål/A 25117-2025 FSC-klagomål.docx", "A 25117-2025")</f>
        <v/>
      </c>
      <c r="W206">
        <f>HYPERLINK("https://klasma.github.io/Logging_2281/klagomålsmail/A 25117-2025 FSC-klagomål mail.docx", "A 25117-2025")</f>
        <v/>
      </c>
      <c r="X206">
        <f>HYPERLINK("https://klasma.github.io/Logging_2281/tillsyn/A 25117-2025 tillsynsbegäran.docx", "A 25117-2025")</f>
        <v/>
      </c>
      <c r="Y206">
        <f>HYPERLINK("https://klasma.github.io/Logging_2281/tillsynsmail/A 25117-2025 tillsynsbegäran mail.docx", "A 25117-2025")</f>
        <v/>
      </c>
    </row>
    <row r="207" ht="15" customHeight="1">
      <c r="A207" t="inlineStr">
        <is>
          <t>A 28332-2021</t>
        </is>
      </c>
      <c r="B207" s="1" t="n">
        <v>44356.36717592592</v>
      </c>
      <c r="C207" s="1" t="n">
        <v>45881</v>
      </c>
      <c r="D207" t="inlineStr">
        <is>
          <t>VÄSTERNORRLANDS LÄN</t>
        </is>
      </c>
      <c r="E207" t="inlineStr">
        <is>
          <t>SUNDSVALL</t>
        </is>
      </c>
      <c r="G207" t="n">
        <v>11.8</v>
      </c>
      <c r="H207" t="n">
        <v>0</v>
      </c>
      <c r="I207" t="n">
        <v>1</v>
      </c>
      <c r="J207" t="n">
        <v>0</v>
      </c>
      <c r="K207" t="n">
        <v>0</v>
      </c>
      <c r="L207" t="n">
        <v>0</v>
      </c>
      <c r="M207" t="n">
        <v>0</v>
      </c>
      <c r="N207" t="n">
        <v>0</v>
      </c>
      <c r="O207" t="n">
        <v>0</v>
      </c>
      <c r="P207" t="n">
        <v>0</v>
      </c>
      <c r="Q207" t="n">
        <v>1</v>
      </c>
      <c r="R207" s="2" t="inlineStr">
        <is>
          <t>Fjällig taggsvamp s.str.</t>
        </is>
      </c>
      <c r="S207">
        <f>HYPERLINK("https://klasma.github.io/Logging_2281/artfynd/A 28332-2021 artfynd.xlsx", "A 28332-2021")</f>
        <v/>
      </c>
      <c r="T207">
        <f>HYPERLINK("https://klasma.github.io/Logging_2281/kartor/A 28332-2021 karta.png", "A 28332-2021")</f>
        <v/>
      </c>
      <c r="V207">
        <f>HYPERLINK("https://klasma.github.io/Logging_2281/klagomål/A 28332-2021 FSC-klagomål.docx", "A 28332-2021")</f>
        <v/>
      </c>
      <c r="W207">
        <f>HYPERLINK("https://klasma.github.io/Logging_2281/klagomålsmail/A 28332-2021 FSC-klagomål mail.docx", "A 28332-2021")</f>
        <v/>
      </c>
      <c r="X207">
        <f>HYPERLINK("https://klasma.github.io/Logging_2281/tillsyn/A 28332-2021 tillsynsbegäran.docx", "A 28332-2021")</f>
        <v/>
      </c>
      <c r="Y207">
        <f>HYPERLINK("https://klasma.github.io/Logging_2281/tillsynsmail/A 28332-2021 tillsynsbegäran mail.docx", "A 28332-2021")</f>
        <v/>
      </c>
    </row>
    <row r="208" ht="15" customHeight="1">
      <c r="A208" t="inlineStr">
        <is>
          <t>A 25791-2025</t>
        </is>
      </c>
      <c r="B208" s="1" t="n">
        <v>45804.38903935185</v>
      </c>
      <c r="C208" s="1" t="n">
        <v>45881</v>
      </c>
      <c r="D208" t="inlineStr">
        <is>
          <t>VÄSTERNORRLANDS LÄN</t>
        </is>
      </c>
      <c r="E208" t="inlineStr">
        <is>
          <t>SUNDSVALL</t>
        </is>
      </c>
      <c r="G208" t="n">
        <v>2.8</v>
      </c>
      <c r="H208" t="n">
        <v>1</v>
      </c>
      <c r="I208" t="n">
        <v>0</v>
      </c>
      <c r="J208" t="n">
        <v>1</v>
      </c>
      <c r="K208" t="n">
        <v>0</v>
      </c>
      <c r="L208" t="n">
        <v>0</v>
      </c>
      <c r="M208" t="n">
        <v>0</v>
      </c>
      <c r="N208" t="n">
        <v>0</v>
      </c>
      <c r="O208" t="n">
        <v>1</v>
      </c>
      <c r="P208" t="n">
        <v>0</v>
      </c>
      <c r="Q208" t="n">
        <v>1</v>
      </c>
      <c r="R208" s="2" t="inlineStr">
        <is>
          <t>Hornuggla</t>
        </is>
      </c>
      <c r="S208">
        <f>HYPERLINK("https://klasma.github.io/Logging_2281/artfynd/A 25791-2025 artfynd.xlsx", "A 25791-2025")</f>
        <v/>
      </c>
      <c r="T208">
        <f>HYPERLINK("https://klasma.github.io/Logging_2281/kartor/A 25791-2025 karta.png", "A 25791-2025")</f>
        <v/>
      </c>
      <c r="V208">
        <f>HYPERLINK("https://klasma.github.io/Logging_2281/klagomål/A 25791-2025 FSC-klagomål.docx", "A 25791-2025")</f>
        <v/>
      </c>
      <c r="W208">
        <f>HYPERLINK("https://klasma.github.io/Logging_2281/klagomålsmail/A 25791-2025 FSC-klagomål mail.docx", "A 25791-2025")</f>
        <v/>
      </c>
      <c r="X208">
        <f>HYPERLINK("https://klasma.github.io/Logging_2281/tillsyn/A 25791-2025 tillsynsbegäran.docx", "A 25791-2025")</f>
        <v/>
      </c>
      <c r="Y208">
        <f>HYPERLINK("https://klasma.github.io/Logging_2281/tillsynsmail/A 25791-2025 tillsynsbegäran mail.docx", "A 25791-2025")</f>
        <v/>
      </c>
      <c r="Z208">
        <f>HYPERLINK("https://klasma.github.io/Logging_2281/fåglar/A 25791-2025 prioriterade fågelarter.docx", "A 25791-2025")</f>
        <v/>
      </c>
    </row>
    <row r="209" ht="15" customHeight="1">
      <c r="A209" t="inlineStr">
        <is>
          <t>A 64483-2023</t>
        </is>
      </c>
      <c r="B209" s="1" t="n">
        <v>45280</v>
      </c>
      <c r="C209" s="1" t="n">
        <v>45881</v>
      </c>
      <c r="D209" t="inlineStr">
        <is>
          <t>VÄSTERNORRLANDS LÄN</t>
        </is>
      </c>
      <c r="E209" t="inlineStr">
        <is>
          <t>SUNDSVALL</t>
        </is>
      </c>
      <c r="G209" t="n">
        <v>1.5</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64483-2023 artfynd.xlsx", "A 64483-2023")</f>
        <v/>
      </c>
      <c r="T209">
        <f>HYPERLINK("https://klasma.github.io/Logging_2281/kartor/A 64483-2023 karta.png", "A 64483-2023")</f>
        <v/>
      </c>
      <c r="V209">
        <f>HYPERLINK("https://klasma.github.io/Logging_2281/klagomål/A 64483-2023 FSC-klagomål.docx", "A 64483-2023")</f>
        <v/>
      </c>
      <c r="W209">
        <f>HYPERLINK("https://klasma.github.io/Logging_2281/klagomålsmail/A 64483-2023 FSC-klagomål mail.docx", "A 64483-2023")</f>
        <v/>
      </c>
      <c r="X209">
        <f>HYPERLINK("https://klasma.github.io/Logging_2281/tillsyn/A 64483-2023 tillsynsbegäran.docx", "A 64483-2023")</f>
        <v/>
      </c>
      <c r="Y209">
        <f>HYPERLINK("https://klasma.github.io/Logging_2281/tillsynsmail/A 64483-2023 tillsynsbegäran mail.docx", "A 64483-2023")</f>
        <v/>
      </c>
      <c r="Z209">
        <f>HYPERLINK("https://klasma.github.io/Logging_2281/fåglar/A 64483-2023 prioriterade fågelarter.docx", "A 64483-2023")</f>
        <v/>
      </c>
    </row>
    <row r="210" ht="15" customHeight="1">
      <c r="A210" t="inlineStr">
        <is>
          <t>A 24431-2025</t>
        </is>
      </c>
      <c r="B210" s="1" t="n">
        <v>45797</v>
      </c>
      <c r="C210" s="1" t="n">
        <v>45881</v>
      </c>
      <c r="D210" t="inlineStr">
        <is>
          <t>VÄSTERNORRLANDS LÄN</t>
        </is>
      </c>
      <c r="E210" t="inlineStr">
        <is>
          <t>SUNDSVALL</t>
        </is>
      </c>
      <c r="F210" t="inlineStr">
        <is>
          <t>SCA</t>
        </is>
      </c>
      <c r="G210" t="n">
        <v>2.3</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24431-2025 artfynd.xlsx", "A 24431-2025")</f>
        <v/>
      </c>
      <c r="T210">
        <f>HYPERLINK("https://klasma.github.io/Logging_2281/kartor/A 24431-2025 karta.png", "A 24431-2025")</f>
        <v/>
      </c>
      <c r="V210">
        <f>HYPERLINK("https://klasma.github.io/Logging_2281/klagomål/A 24431-2025 FSC-klagomål.docx", "A 24431-2025")</f>
        <v/>
      </c>
      <c r="W210">
        <f>HYPERLINK("https://klasma.github.io/Logging_2281/klagomålsmail/A 24431-2025 FSC-klagomål mail.docx", "A 24431-2025")</f>
        <v/>
      </c>
      <c r="X210">
        <f>HYPERLINK("https://klasma.github.io/Logging_2281/tillsyn/A 24431-2025 tillsynsbegäran.docx", "A 24431-2025")</f>
        <v/>
      </c>
      <c r="Y210">
        <f>HYPERLINK("https://klasma.github.io/Logging_2281/tillsynsmail/A 24431-2025 tillsynsbegäran mail.docx", "A 24431-2025")</f>
        <v/>
      </c>
      <c r="Z210">
        <f>HYPERLINK("https://klasma.github.io/Logging_2281/fåglar/A 24431-2025 prioriterade fågelarter.docx", "A 24431-2025")</f>
        <v/>
      </c>
    </row>
    <row r="211" ht="15" customHeight="1">
      <c r="A211" t="inlineStr">
        <is>
          <t>A 27320-2024</t>
        </is>
      </c>
      <c r="B211" s="1" t="n">
        <v>45471</v>
      </c>
      <c r="C211" s="1" t="n">
        <v>45881</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27211-2025</t>
        </is>
      </c>
      <c r="B212" s="1" t="n">
        <v>45812.4068287037</v>
      </c>
      <c r="C212" s="1" t="n">
        <v>45881</v>
      </c>
      <c r="D212" t="inlineStr">
        <is>
          <t>VÄSTERNORRLANDS LÄN</t>
        </is>
      </c>
      <c r="E212" t="inlineStr">
        <is>
          <t>SUNDSVALL</t>
        </is>
      </c>
      <c r="F212" t="inlineStr">
        <is>
          <t>SCA</t>
        </is>
      </c>
      <c r="G212" t="n">
        <v>0.6</v>
      </c>
      <c r="H212" t="n">
        <v>0</v>
      </c>
      <c r="I212" t="n">
        <v>0</v>
      </c>
      <c r="J212" t="n">
        <v>1</v>
      </c>
      <c r="K212" t="n">
        <v>0</v>
      </c>
      <c r="L212" t="n">
        <v>0</v>
      </c>
      <c r="M212" t="n">
        <v>0</v>
      </c>
      <c r="N212" t="n">
        <v>0</v>
      </c>
      <c r="O212" t="n">
        <v>1</v>
      </c>
      <c r="P212" t="n">
        <v>0</v>
      </c>
      <c r="Q212" t="n">
        <v>1</v>
      </c>
      <c r="R212" s="2" t="inlineStr">
        <is>
          <t>Garnlav</t>
        </is>
      </c>
      <c r="S212">
        <f>HYPERLINK("https://klasma.github.io/Logging_2281/artfynd/A 27211-2025 artfynd.xlsx", "A 27211-2025")</f>
        <v/>
      </c>
      <c r="T212">
        <f>HYPERLINK("https://klasma.github.io/Logging_2281/kartor/A 27211-2025 karta.png", "A 27211-2025")</f>
        <v/>
      </c>
      <c r="V212">
        <f>HYPERLINK("https://klasma.github.io/Logging_2281/klagomål/A 27211-2025 FSC-klagomål.docx", "A 27211-2025")</f>
        <v/>
      </c>
      <c r="W212">
        <f>HYPERLINK("https://klasma.github.io/Logging_2281/klagomålsmail/A 27211-2025 FSC-klagomål mail.docx", "A 27211-2025")</f>
        <v/>
      </c>
      <c r="X212">
        <f>HYPERLINK("https://klasma.github.io/Logging_2281/tillsyn/A 27211-2025 tillsynsbegäran.docx", "A 27211-2025")</f>
        <v/>
      </c>
      <c r="Y212">
        <f>HYPERLINK("https://klasma.github.io/Logging_2281/tillsynsmail/A 27211-2025 tillsynsbegäran mail.docx", "A 27211-2025")</f>
        <v/>
      </c>
    </row>
    <row r="213" ht="15" customHeight="1">
      <c r="A213" t="inlineStr">
        <is>
          <t>A 19826-2025</t>
        </is>
      </c>
      <c r="B213" s="1" t="n">
        <v>45771.4690625</v>
      </c>
      <c r="C213" s="1" t="n">
        <v>45881</v>
      </c>
      <c r="D213" t="inlineStr">
        <is>
          <t>VÄSTERNORRLANDS LÄN</t>
        </is>
      </c>
      <c r="E213" t="inlineStr">
        <is>
          <t>SUNDSVALL</t>
        </is>
      </c>
      <c r="F213" t="inlineStr">
        <is>
          <t>Naturvårdsverket</t>
        </is>
      </c>
      <c r="G213" t="n">
        <v>1.5</v>
      </c>
      <c r="H213" t="n">
        <v>0</v>
      </c>
      <c r="I213" t="n">
        <v>0</v>
      </c>
      <c r="J213" t="n">
        <v>1</v>
      </c>
      <c r="K213" t="n">
        <v>0</v>
      </c>
      <c r="L213" t="n">
        <v>0</v>
      </c>
      <c r="M213" t="n">
        <v>0</v>
      </c>
      <c r="N213" t="n">
        <v>0</v>
      </c>
      <c r="O213" t="n">
        <v>1</v>
      </c>
      <c r="P213" t="n">
        <v>0</v>
      </c>
      <c r="Q213" t="n">
        <v>1</v>
      </c>
      <c r="R213" s="2" t="inlineStr">
        <is>
          <t>Lunglav</t>
        </is>
      </c>
      <c r="S213">
        <f>HYPERLINK("https://klasma.github.io/Logging_2281/artfynd/A 19826-2025 artfynd.xlsx", "A 19826-2025")</f>
        <v/>
      </c>
      <c r="T213">
        <f>HYPERLINK("https://klasma.github.io/Logging_2281/kartor/A 19826-2025 karta.png", "A 19826-2025")</f>
        <v/>
      </c>
      <c r="V213">
        <f>HYPERLINK("https://klasma.github.io/Logging_2281/klagomål/A 19826-2025 FSC-klagomål.docx", "A 19826-2025")</f>
        <v/>
      </c>
      <c r="W213">
        <f>HYPERLINK("https://klasma.github.io/Logging_2281/klagomålsmail/A 19826-2025 FSC-klagomål mail.docx", "A 19826-2025")</f>
        <v/>
      </c>
      <c r="X213">
        <f>HYPERLINK("https://klasma.github.io/Logging_2281/tillsyn/A 19826-2025 tillsynsbegäran.docx", "A 19826-2025")</f>
        <v/>
      </c>
      <c r="Y213">
        <f>HYPERLINK("https://klasma.github.io/Logging_2281/tillsynsmail/A 19826-2025 tillsynsbegäran mail.docx", "A 19826-2025")</f>
        <v/>
      </c>
    </row>
    <row r="214" ht="15" customHeight="1">
      <c r="A214" t="inlineStr">
        <is>
          <t>A 1058-2024</t>
        </is>
      </c>
      <c r="B214" s="1" t="n">
        <v>45301</v>
      </c>
      <c r="C214" s="1" t="n">
        <v>45881</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58470-2023</t>
        </is>
      </c>
      <c r="B215" s="1" t="n">
        <v>45250</v>
      </c>
      <c r="C215" s="1" t="n">
        <v>45881</v>
      </c>
      <c r="D215" t="inlineStr">
        <is>
          <t>VÄSTERNORRLANDS LÄN</t>
        </is>
      </c>
      <c r="E215" t="inlineStr">
        <is>
          <t>SUNDSVALL</t>
        </is>
      </c>
      <c r="F215" t="inlineStr">
        <is>
          <t>SCA</t>
        </is>
      </c>
      <c r="G215" t="n">
        <v>3.7</v>
      </c>
      <c r="H215" t="n">
        <v>0</v>
      </c>
      <c r="I215" t="n">
        <v>0</v>
      </c>
      <c r="J215" t="n">
        <v>1</v>
      </c>
      <c r="K215" t="n">
        <v>0</v>
      </c>
      <c r="L215" t="n">
        <v>0</v>
      </c>
      <c r="M215" t="n">
        <v>0</v>
      </c>
      <c r="N215" t="n">
        <v>0</v>
      </c>
      <c r="O215" t="n">
        <v>1</v>
      </c>
      <c r="P215" t="n">
        <v>0</v>
      </c>
      <c r="Q215" t="n">
        <v>1</v>
      </c>
      <c r="R215" s="2" t="inlineStr">
        <is>
          <t>Granticka</t>
        </is>
      </c>
      <c r="S215">
        <f>HYPERLINK("https://klasma.github.io/Logging_2281/artfynd/A 58470-2023 artfynd.xlsx", "A 58470-2023")</f>
        <v/>
      </c>
      <c r="T215">
        <f>HYPERLINK("https://klasma.github.io/Logging_2281/kartor/A 58470-2023 karta.png", "A 58470-2023")</f>
        <v/>
      </c>
      <c r="V215">
        <f>HYPERLINK("https://klasma.github.io/Logging_2281/klagomål/A 58470-2023 FSC-klagomål.docx", "A 58470-2023")</f>
        <v/>
      </c>
      <c r="W215">
        <f>HYPERLINK("https://klasma.github.io/Logging_2281/klagomålsmail/A 58470-2023 FSC-klagomål mail.docx", "A 58470-2023")</f>
        <v/>
      </c>
      <c r="X215">
        <f>HYPERLINK("https://klasma.github.io/Logging_2281/tillsyn/A 58470-2023 tillsynsbegäran.docx", "A 58470-2023")</f>
        <v/>
      </c>
      <c r="Y215">
        <f>HYPERLINK("https://klasma.github.io/Logging_2281/tillsynsmail/A 58470-2023 tillsynsbegäran mail.docx", "A 58470-2023")</f>
        <v/>
      </c>
    </row>
    <row r="216" ht="15" customHeight="1">
      <c r="A216" t="inlineStr">
        <is>
          <t>A 28452-2025</t>
        </is>
      </c>
      <c r="B216" s="1" t="n">
        <v>45819.40657407408</v>
      </c>
      <c r="C216" s="1" t="n">
        <v>45881</v>
      </c>
      <c r="D216" t="inlineStr">
        <is>
          <t>VÄSTERNORRLANDS LÄN</t>
        </is>
      </c>
      <c r="E216" t="inlineStr">
        <is>
          <t>SUNDSVALL</t>
        </is>
      </c>
      <c r="F216" t="inlineStr">
        <is>
          <t>Naturvårdsverket</t>
        </is>
      </c>
      <c r="G216" t="n">
        <v>11</v>
      </c>
      <c r="H216" t="n">
        <v>0</v>
      </c>
      <c r="I216" t="n">
        <v>0</v>
      </c>
      <c r="J216" t="n">
        <v>1</v>
      </c>
      <c r="K216" t="n">
        <v>0</v>
      </c>
      <c r="L216" t="n">
        <v>0</v>
      </c>
      <c r="M216" t="n">
        <v>0</v>
      </c>
      <c r="N216" t="n">
        <v>0</v>
      </c>
      <c r="O216" t="n">
        <v>1</v>
      </c>
      <c r="P216" t="n">
        <v>0</v>
      </c>
      <c r="Q216" t="n">
        <v>1</v>
      </c>
      <c r="R216" s="2" t="inlineStr">
        <is>
          <t>Lunglav</t>
        </is>
      </c>
      <c r="S216">
        <f>HYPERLINK("https://klasma.github.io/Logging_2281/artfynd/A 28452-2025 artfynd.xlsx", "A 28452-2025")</f>
        <v/>
      </c>
      <c r="T216">
        <f>HYPERLINK("https://klasma.github.io/Logging_2281/kartor/A 28452-2025 karta.png", "A 28452-2025")</f>
        <v/>
      </c>
      <c r="V216">
        <f>HYPERLINK("https://klasma.github.io/Logging_2281/klagomål/A 28452-2025 FSC-klagomål.docx", "A 28452-2025")</f>
        <v/>
      </c>
      <c r="W216">
        <f>HYPERLINK("https://klasma.github.io/Logging_2281/klagomålsmail/A 28452-2025 FSC-klagomål mail.docx", "A 28452-2025")</f>
        <v/>
      </c>
      <c r="X216">
        <f>HYPERLINK("https://klasma.github.io/Logging_2281/tillsyn/A 28452-2025 tillsynsbegäran.docx", "A 28452-2025")</f>
        <v/>
      </c>
      <c r="Y216">
        <f>HYPERLINK("https://klasma.github.io/Logging_2281/tillsynsmail/A 28452-2025 tillsynsbegäran mail.docx", "A 28452-2025")</f>
        <v/>
      </c>
    </row>
    <row r="217" ht="15" customHeight="1">
      <c r="A217" t="inlineStr">
        <is>
          <t>A 21765-2025</t>
        </is>
      </c>
      <c r="B217" s="1" t="n">
        <v>45783.64675925926</v>
      </c>
      <c r="C217" s="1" t="n">
        <v>45881</v>
      </c>
      <c r="D217" t="inlineStr">
        <is>
          <t>VÄSTERNORRLANDS LÄN</t>
        </is>
      </c>
      <c r="E217" t="inlineStr">
        <is>
          <t>SUNDSVALL</t>
        </is>
      </c>
      <c r="G217" t="n">
        <v>8</v>
      </c>
      <c r="H217" t="n">
        <v>1</v>
      </c>
      <c r="I217" t="n">
        <v>0</v>
      </c>
      <c r="J217" t="n">
        <v>0</v>
      </c>
      <c r="K217" t="n">
        <v>0</v>
      </c>
      <c r="L217" t="n">
        <v>0</v>
      </c>
      <c r="M217" t="n">
        <v>0</v>
      </c>
      <c r="N217" t="n">
        <v>0</v>
      </c>
      <c r="O217" t="n">
        <v>0</v>
      </c>
      <c r="P217" t="n">
        <v>0</v>
      </c>
      <c r="Q217" t="n">
        <v>1</v>
      </c>
      <c r="R217" s="2" t="inlineStr">
        <is>
          <t>Orre</t>
        </is>
      </c>
      <c r="S217">
        <f>HYPERLINK("https://klasma.github.io/Logging_2281/artfynd/A 21765-2025 artfynd.xlsx", "A 21765-2025")</f>
        <v/>
      </c>
      <c r="T217">
        <f>HYPERLINK("https://klasma.github.io/Logging_2281/kartor/A 21765-2025 karta.png", "A 21765-2025")</f>
        <v/>
      </c>
      <c r="V217">
        <f>HYPERLINK("https://klasma.github.io/Logging_2281/klagomål/A 21765-2025 FSC-klagomål.docx", "A 21765-2025")</f>
        <v/>
      </c>
      <c r="W217">
        <f>HYPERLINK("https://klasma.github.io/Logging_2281/klagomålsmail/A 21765-2025 FSC-klagomål mail.docx", "A 21765-2025")</f>
        <v/>
      </c>
      <c r="X217">
        <f>HYPERLINK("https://klasma.github.io/Logging_2281/tillsyn/A 21765-2025 tillsynsbegäran.docx", "A 21765-2025")</f>
        <v/>
      </c>
      <c r="Y217">
        <f>HYPERLINK("https://klasma.github.io/Logging_2281/tillsynsmail/A 21765-2025 tillsynsbegäran mail.docx", "A 21765-2025")</f>
        <v/>
      </c>
      <c r="Z217">
        <f>HYPERLINK("https://klasma.github.io/Logging_2281/fåglar/A 21765-2025 prioriterade fågelarter.docx", "A 21765-2025")</f>
        <v/>
      </c>
    </row>
    <row r="218" ht="15" customHeight="1">
      <c r="A218" t="inlineStr">
        <is>
          <t>A 40123-2021</t>
        </is>
      </c>
      <c r="B218" s="1" t="n">
        <v>44418</v>
      </c>
      <c r="C218" s="1" t="n">
        <v>45881</v>
      </c>
      <c r="D218" t="inlineStr">
        <is>
          <t>VÄSTERNORRLANDS LÄN</t>
        </is>
      </c>
      <c r="E218" t="inlineStr">
        <is>
          <t>SUNDSVALL</t>
        </is>
      </c>
      <c r="G218" t="n">
        <v>12.2</v>
      </c>
      <c r="H218" t="n">
        <v>1</v>
      </c>
      <c r="I218" t="n">
        <v>0</v>
      </c>
      <c r="J218" t="n">
        <v>1</v>
      </c>
      <c r="K218" t="n">
        <v>0</v>
      </c>
      <c r="L218" t="n">
        <v>0</v>
      </c>
      <c r="M218" t="n">
        <v>0</v>
      </c>
      <c r="N218" t="n">
        <v>0</v>
      </c>
      <c r="O218" t="n">
        <v>1</v>
      </c>
      <c r="P218" t="n">
        <v>0</v>
      </c>
      <c r="Q218" t="n">
        <v>1</v>
      </c>
      <c r="R218" s="2" t="inlineStr">
        <is>
          <t>Skogsfru</t>
        </is>
      </c>
      <c r="S218">
        <f>HYPERLINK("https://klasma.github.io/Logging_2281/artfynd/A 40123-2021 artfynd.xlsx", "A 40123-2021")</f>
        <v/>
      </c>
      <c r="T218">
        <f>HYPERLINK("https://klasma.github.io/Logging_2281/kartor/A 40123-2021 karta.png", "A 40123-2021")</f>
        <v/>
      </c>
      <c r="V218">
        <f>HYPERLINK("https://klasma.github.io/Logging_2281/klagomål/A 40123-2021 FSC-klagomål.docx", "A 40123-2021")</f>
        <v/>
      </c>
      <c r="W218">
        <f>HYPERLINK("https://klasma.github.io/Logging_2281/klagomålsmail/A 40123-2021 FSC-klagomål mail.docx", "A 40123-2021")</f>
        <v/>
      </c>
      <c r="X218">
        <f>HYPERLINK("https://klasma.github.io/Logging_2281/tillsyn/A 40123-2021 tillsynsbegäran.docx", "A 40123-2021")</f>
        <v/>
      </c>
      <c r="Y218">
        <f>HYPERLINK("https://klasma.github.io/Logging_2281/tillsynsmail/A 40123-2021 tillsynsbegäran mail.docx", "A 40123-2021")</f>
        <v/>
      </c>
    </row>
    <row r="219" ht="15" customHeight="1">
      <c r="A219" t="inlineStr">
        <is>
          <t>A 22993-2023</t>
        </is>
      </c>
      <c r="B219" s="1" t="n">
        <v>45072</v>
      </c>
      <c r="C219" s="1" t="n">
        <v>45881</v>
      </c>
      <c r="D219" t="inlineStr">
        <is>
          <t>VÄSTERNORRLANDS LÄN</t>
        </is>
      </c>
      <c r="E219" t="inlineStr">
        <is>
          <t>SUNDSVALL</t>
        </is>
      </c>
      <c r="F219" t="inlineStr">
        <is>
          <t>SCA</t>
        </is>
      </c>
      <c r="G219" t="n">
        <v>3.6</v>
      </c>
      <c r="H219" t="n">
        <v>0</v>
      </c>
      <c r="I219" t="n">
        <v>0</v>
      </c>
      <c r="J219" t="n">
        <v>1</v>
      </c>
      <c r="K219" t="n">
        <v>0</v>
      </c>
      <c r="L219" t="n">
        <v>0</v>
      </c>
      <c r="M219" t="n">
        <v>0</v>
      </c>
      <c r="N219" t="n">
        <v>0</v>
      </c>
      <c r="O219" t="n">
        <v>1</v>
      </c>
      <c r="P219" t="n">
        <v>0</v>
      </c>
      <c r="Q219" t="n">
        <v>1</v>
      </c>
      <c r="R219" s="2" t="inlineStr">
        <is>
          <t>Lunglav</t>
        </is>
      </c>
      <c r="S219">
        <f>HYPERLINK("https://klasma.github.io/Logging_2281/artfynd/A 22993-2023 artfynd.xlsx", "A 22993-2023")</f>
        <v/>
      </c>
      <c r="T219">
        <f>HYPERLINK("https://klasma.github.io/Logging_2281/kartor/A 22993-2023 karta.png", "A 22993-2023")</f>
        <v/>
      </c>
      <c r="V219">
        <f>HYPERLINK("https://klasma.github.io/Logging_2281/klagomål/A 22993-2023 FSC-klagomål.docx", "A 22993-2023")</f>
        <v/>
      </c>
      <c r="W219">
        <f>HYPERLINK("https://klasma.github.io/Logging_2281/klagomålsmail/A 22993-2023 FSC-klagomål mail.docx", "A 22993-2023")</f>
        <v/>
      </c>
      <c r="X219">
        <f>HYPERLINK("https://klasma.github.io/Logging_2281/tillsyn/A 22993-2023 tillsynsbegäran.docx", "A 22993-2023")</f>
        <v/>
      </c>
      <c r="Y219">
        <f>HYPERLINK("https://klasma.github.io/Logging_2281/tillsynsmail/A 22993-2023 tillsynsbegäran mail.docx", "A 22993-2023")</f>
        <v/>
      </c>
    </row>
    <row r="220" ht="15" customHeight="1">
      <c r="A220" t="inlineStr">
        <is>
          <t>A 37564-2025</t>
        </is>
      </c>
      <c r="B220" s="1" t="n">
        <v>45880.35408564815</v>
      </c>
      <c r="C220" s="1" t="n">
        <v>45881</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32290-2025</t>
        </is>
      </c>
      <c r="B221" s="1" t="n">
        <v>45835.69854166666</v>
      </c>
      <c r="C221" s="1" t="n">
        <v>45881</v>
      </c>
      <c r="D221" t="inlineStr">
        <is>
          <t>VÄSTERNORRLANDS LÄN</t>
        </is>
      </c>
      <c r="E221" t="inlineStr">
        <is>
          <t>SUNDSVALL</t>
        </is>
      </c>
      <c r="F221" t="inlineStr">
        <is>
          <t>SCA</t>
        </is>
      </c>
      <c r="G221" t="n">
        <v>9</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32290-2025 artfynd.xlsx", "A 32290-2025")</f>
        <v/>
      </c>
      <c r="T221">
        <f>HYPERLINK("https://klasma.github.io/Logging_2281/kartor/A 32290-2025 karta.png", "A 32290-2025")</f>
        <v/>
      </c>
      <c r="V221">
        <f>HYPERLINK("https://klasma.github.io/Logging_2281/klagomål/A 32290-2025 FSC-klagomål.docx", "A 32290-2025")</f>
        <v/>
      </c>
      <c r="W221">
        <f>HYPERLINK("https://klasma.github.io/Logging_2281/klagomålsmail/A 32290-2025 FSC-klagomål mail.docx", "A 32290-2025")</f>
        <v/>
      </c>
      <c r="X221">
        <f>HYPERLINK("https://klasma.github.io/Logging_2281/tillsyn/A 32290-2025 tillsynsbegäran.docx", "A 32290-2025")</f>
        <v/>
      </c>
      <c r="Y221">
        <f>HYPERLINK("https://klasma.github.io/Logging_2281/tillsynsmail/A 32290-2025 tillsynsbegäran mail.docx", "A 32290-2025")</f>
        <v/>
      </c>
      <c r="Z221">
        <f>HYPERLINK("https://klasma.github.io/Logging_2281/fåglar/A 32290-2025 prioriterade fågelarter.docx", "A 32290-2025")</f>
        <v/>
      </c>
    </row>
    <row r="222" ht="15" customHeight="1">
      <c r="A222" t="inlineStr">
        <is>
          <t>A 11681-2024</t>
        </is>
      </c>
      <c r="B222" s="1" t="n">
        <v>45373.58155092593</v>
      </c>
      <c r="C222" s="1" t="n">
        <v>45881</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19305-2022</t>
        </is>
      </c>
      <c r="B223" s="1" t="n">
        <v>44692</v>
      </c>
      <c r="C223" s="1" t="n">
        <v>45881</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44610-2021</t>
        </is>
      </c>
      <c r="B224" s="1" t="n">
        <v>44435.94177083333</v>
      </c>
      <c r="C224" s="1" t="n">
        <v>45881</v>
      </c>
      <c r="D224" t="inlineStr">
        <is>
          <t>VÄSTERNORRLANDS LÄN</t>
        </is>
      </c>
      <c r="E224" t="inlineStr">
        <is>
          <t>SUNDSVALL</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39756-2020</t>
        </is>
      </c>
      <c r="B225" s="1" t="n">
        <v>44067.37159722222</v>
      </c>
      <c r="C225" s="1" t="n">
        <v>45881</v>
      </c>
      <c r="D225" t="inlineStr">
        <is>
          <t>VÄSTERNORRLANDS LÄN</t>
        </is>
      </c>
      <c r="E225" t="inlineStr">
        <is>
          <t>SUNDSVALL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44399-2022</t>
        </is>
      </c>
      <c r="B226" s="1" t="n">
        <v>44838</v>
      </c>
      <c r="C226" s="1" t="n">
        <v>45881</v>
      </c>
      <c r="D226" t="inlineStr">
        <is>
          <t>VÄSTERNORRLANDS LÄN</t>
        </is>
      </c>
      <c r="E226" t="inlineStr">
        <is>
          <t>SUNDSVALL</t>
        </is>
      </c>
      <c r="G226" t="n">
        <v>0.2</v>
      </c>
      <c r="H226" t="n">
        <v>0</v>
      </c>
      <c r="I226" t="n">
        <v>0</v>
      </c>
      <c r="J226" t="n">
        <v>0</v>
      </c>
      <c r="K226" t="n">
        <v>0</v>
      </c>
      <c r="L226" t="n">
        <v>0</v>
      </c>
      <c r="M226" t="n">
        <v>0</v>
      </c>
      <c r="N226" t="n">
        <v>0</v>
      </c>
      <c r="O226" t="n">
        <v>0</v>
      </c>
      <c r="P226" t="n">
        <v>0</v>
      </c>
      <c r="Q226" t="n">
        <v>0</v>
      </c>
      <c r="R226" s="2" t="inlineStr"/>
    </row>
    <row r="227" ht="15" customHeight="1">
      <c r="A227" t="inlineStr">
        <is>
          <t>A 18453-2021</t>
        </is>
      </c>
      <c r="B227" s="1" t="n">
        <v>44305.92042824074</v>
      </c>
      <c r="C227" s="1" t="n">
        <v>45881</v>
      </c>
      <c r="D227" t="inlineStr">
        <is>
          <t>VÄSTERNORRLANDS LÄN</t>
        </is>
      </c>
      <c r="E227" t="inlineStr">
        <is>
          <t>SUNDSVALL</t>
        </is>
      </c>
      <c r="G227" t="n">
        <v>0.8</v>
      </c>
      <c r="H227" t="n">
        <v>0</v>
      </c>
      <c r="I227" t="n">
        <v>0</v>
      </c>
      <c r="J227" t="n">
        <v>0</v>
      </c>
      <c r="K227" t="n">
        <v>0</v>
      </c>
      <c r="L227" t="n">
        <v>0</v>
      </c>
      <c r="M227" t="n">
        <v>0</v>
      </c>
      <c r="N227" t="n">
        <v>0</v>
      </c>
      <c r="O227" t="n">
        <v>0</v>
      </c>
      <c r="P227" t="n">
        <v>0</v>
      </c>
      <c r="Q227" t="n">
        <v>0</v>
      </c>
      <c r="R227" s="2" t="inlineStr"/>
    </row>
    <row r="228" ht="15" customHeight="1">
      <c r="A228" t="inlineStr">
        <is>
          <t>A 63862-2020</t>
        </is>
      </c>
      <c r="B228" s="1" t="n">
        <v>44166</v>
      </c>
      <c r="C228" s="1" t="n">
        <v>45881</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7638-2021</t>
        </is>
      </c>
      <c r="B229" s="1" t="n">
        <v>44242.37700231482</v>
      </c>
      <c r="C229" s="1" t="n">
        <v>45881</v>
      </c>
      <c r="D229" t="inlineStr">
        <is>
          <t>VÄSTERNORRLANDS LÄN</t>
        </is>
      </c>
      <c r="E229" t="inlineStr">
        <is>
          <t>SUNDSVALL</t>
        </is>
      </c>
      <c r="G229" t="n">
        <v>1.7</v>
      </c>
      <c r="H229" t="n">
        <v>0</v>
      </c>
      <c r="I229" t="n">
        <v>0</v>
      </c>
      <c r="J229" t="n">
        <v>0</v>
      </c>
      <c r="K229" t="n">
        <v>0</v>
      </c>
      <c r="L229" t="n">
        <v>0</v>
      </c>
      <c r="M229" t="n">
        <v>0</v>
      </c>
      <c r="N229" t="n">
        <v>0</v>
      </c>
      <c r="O229" t="n">
        <v>0</v>
      </c>
      <c r="P229" t="n">
        <v>0</v>
      </c>
      <c r="Q229" t="n">
        <v>0</v>
      </c>
      <c r="R229" s="2" t="inlineStr"/>
    </row>
    <row r="230" ht="15" customHeight="1">
      <c r="A230" t="inlineStr">
        <is>
          <t>A 7639-2021</t>
        </is>
      </c>
      <c r="B230" s="1" t="n">
        <v>44242.3794212963</v>
      </c>
      <c r="C230" s="1" t="n">
        <v>45881</v>
      </c>
      <c r="D230" t="inlineStr">
        <is>
          <t>VÄSTERNORRLANDS LÄN</t>
        </is>
      </c>
      <c r="E230" t="inlineStr">
        <is>
          <t>SUNDSVALL</t>
        </is>
      </c>
      <c r="G230" t="n">
        <v>1.4</v>
      </c>
      <c r="H230" t="n">
        <v>0</v>
      </c>
      <c r="I230" t="n">
        <v>0</v>
      </c>
      <c r="J230" t="n">
        <v>0</v>
      </c>
      <c r="K230" t="n">
        <v>0</v>
      </c>
      <c r="L230" t="n">
        <v>0</v>
      </c>
      <c r="M230" t="n">
        <v>0</v>
      </c>
      <c r="N230" t="n">
        <v>0</v>
      </c>
      <c r="O230" t="n">
        <v>0</v>
      </c>
      <c r="P230" t="n">
        <v>0</v>
      </c>
      <c r="Q230" t="n">
        <v>0</v>
      </c>
      <c r="R230" s="2" t="inlineStr"/>
    </row>
    <row r="231" ht="15" customHeight="1">
      <c r="A231" t="inlineStr">
        <is>
          <t>A 61568-2020</t>
        </is>
      </c>
      <c r="B231" s="1" t="n">
        <v>44154</v>
      </c>
      <c r="C231" s="1" t="n">
        <v>45881</v>
      </c>
      <c r="D231" t="inlineStr">
        <is>
          <t>VÄSTERNORRLANDS LÄN</t>
        </is>
      </c>
      <c r="E231" t="inlineStr">
        <is>
          <t>SUNDSVALL</t>
        </is>
      </c>
      <c r="G231" t="n">
        <v>1.2</v>
      </c>
      <c r="H231" t="n">
        <v>0</v>
      </c>
      <c r="I231" t="n">
        <v>0</v>
      </c>
      <c r="J231" t="n">
        <v>0</v>
      </c>
      <c r="K231" t="n">
        <v>0</v>
      </c>
      <c r="L231" t="n">
        <v>0</v>
      </c>
      <c r="M231" t="n">
        <v>0</v>
      </c>
      <c r="N231" t="n">
        <v>0</v>
      </c>
      <c r="O231" t="n">
        <v>0</v>
      </c>
      <c r="P231" t="n">
        <v>0</v>
      </c>
      <c r="Q231" t="n">
        <v>0</v>
      </c>
      <c r="R231" s="2" t="inlineStr"/>
    </row>
    <row r="232" ht="15" customHeight="1">
      <c r="A232" t="inlineStr">
        <is>
          <t>A 28264-2021</t>
        </is>
      </c>
      <c r="B232" s="1" t="n">
        <v>44355</v>
      </c>
      <c r="C232" s="1" t="n">
        <v>45881</v>
      </c>
      <c r="D232" t="inlineStr">
        <is>
          <t>VÄSTERNORRLANDS LÄN</t>
        </is>
      </c>
      <c r="E232" t="inlineStr">
        <is>
          <t>SUNDSVALL</t>
        </is>
      </c>
      <c r="G232" t="n">
        <v>0.1</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45881</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50237-2021</t>
        </is>
      </c>
      <c r="B234" s="1" t="n">
        <v>44457.94170138889</v>
      </c>
      <c r="C234" s="1" t="n">
        <v>45881</v>
      </c>
      <c r="D234" t="inlineStr">
        <is>
          <t>VÄSTERNORRLANDS LÄN</t>
        </is>
      </c>
      <c r="E234" t="inlineStr">
        <is>
          <t>SUNDSVALL</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3824-2021</t>
        </is>
      </c>
      <c r="B235" s="1" t="n">
        <v>44222</v>
      </c>
      <c r="C235" s="1" t="n">
        <v>45881</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26424-2021</t>
        </is>
      </c>
      <c r="B236" s="1" t="n">
        <v>44347</v>
      </c>
      <c r="C236" s="1" t="n">
        <v>45881</v>
      </c>
      <c r="D236" t="inlineStr">
        <is>
          <t>VÄSTERNORRLANDS LÄN</t>
        </is>
      </c>
      <c r="E236" t="inlineStr">
        <is>
          <t>SUNDSVALL</t>
        </is>
      </c>
      <c r="G236" t="n">
        <v>0.8</v>
      </c>
      <c r="H236" t="n">
        <v>0</v>
      </c>
      <c r="I236" t="n">
        <v>0</v>
      </c>
      <c r="J236" t="n">
        <v>0</v>
      </c>
      <c r="K236" t="n">
        <v>0</v>
      </c>
      <c r="L236" t="n">
        <v>0</v>
      </c>
      <c r="M236" t="n">
        <v>0</v>
      </c>
      <c r="N236" t="n">
        <v>0</v>
      </c>
      <c r="O236" t="n">
        <v>0</v>
      </c>
      <c r="P236" t="n">
        <v>0</v>
      </c>
      <c r="Q236" t="n">
        <v>0</v>
      </c>
      <c r="R236" s="2" t="inlineStr"/>
    </row>
    <row r="237" ht="15" customHeight="1">
      <c r="A237" t="inlineStr">
        <is>
          <t>A 36251-2021</t>
        </is>
      </c>
      <c r="B237" s="1" t="n">
        <v>44390.3167824074</v>
      </c>
      <c r="C237" s="1" t="n">
        <v>45881</v>
      </c>
      <c r="D237" t="inlineStr">
        <is>
          <t>VÄSTERNORRLANDS LÄN</t>
        </is>
      </c>
      <c r="E237" t="inlineStr">
        <is>
          <t>SUNDSVALL</t>
        </is>
      </c>
      <c r="G237" t="n">
        <v>1.9</v>
      </c>
      <c r="H237" t="n">
        <v>0</v>
      </c>
      <c r="I237" t="n">
        <v>0</v>
      </c>
      <c r="J237" t="n">
        <v>0</v>
      </c>
      <c r="K237" t="n">
        <v>0</v>
      </c>
      <c r="L237" t="n">
        <v>0</v>
      </c>
      <c r="M237" t="n">
        <v>0</v>
      </c>
      <c r="N237" t="n">
        <v>0</v>
      </c>
      <c r="O237" t="n">
        <v>0</v>
      </c>
      <c r="P237" t="n">
        <v>0</v>
      </c>
      <c r="Q237" t="n">
        <v>0</v>
      </c>
      <c r="R237" s="2" t="inlineStr"/>
    </row>
    <row r="238" ht="15" customHeight="1">
      <c r="A238" t="inlineStr">
        <is>
          <t>A 49499-2020</t>
        </is>
      </c>
      <c r="B238" s="1" t="n">
        <v>44105</v>
      </c>
      <c r="C238" s="1" t="n">
        <v>45881</v>
      </c>
      <c r="D238" t="inlineStr">
        <is>
          <t>VÄSTERNORRLANDS LÄN</t>
        </is>
      </c>
      <c r="E238" t="inlineStr">
        <is>
          <t>SUNDSVALL</t>
        </is>
      </c>
      <c r="G238" t="n">
        <v>1.1</v>
      </c>
      <c r="H238" t="n">
        <v>0</v>
      </c>
      <c r="I238" t="n">
        <v>0</v>
      </c>
      <c r="J238" t="n">
        <v>0</v>
      </c>
      <c r="K238" t="n">
        <v>0</v>
      </c>
      <c r="L238" t="n">
        <v>0</v>
      </c>
      <c r="M238" t="n">
        <v>0</v>
      </c>
      <c r="N238" t="n">
        <v>0</v>
      </c>
      <c r="O238" t="n">
        <v>0</v>
      </c>
      <c r="P238" t="n">
        <v>0</v>
      </c>
      <c r="Q238" t="n">
        <v>0</v>
      </c>
      <c r="R238" s="2" t="inlineStr"/>
    </row>
    <row r="239" ht="15" customHeight="1">
      <c r="A239" t="inlineStr">
        <is>
          <t>A 61851-2021</t>
        </is>
      </c>
      <c r="B239" s="1" t="n">
        <v>44501</v>
      </c>
      <c r="C239" s="1" t="n">
        <v>45881</v>
      </c>
      <c r="D239" t="inlineStr">
        <is>
          <t>VÄSTERNORRLANDS LÄN</t>
        </is>
      </c>
      <c r="E239" t="inlineStr">
        <is>
          <t>SUNDSVALL</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64478-2021</t>
        </is>
      </c>
      <c r="B240" s="1" t="n">
        <v>44511</v>
      </c>
      <c r="C240" s="1" t="n">
        <v>45881</v>
      </c>
      <c r="D240" t="inlineStr">
        <is>
          <t>VÄSTERNORRLANDS LÄN</t>
        </is>
      </c>
      <c r="E240" t="inlineStr">
        <is>
          <t>SUNDSVALL</t>
        </is>
      </c>
      <c r="G240" t="n">
        <v>1.4</v>
      </c>
      <c r="H240" t="n">
        <v>0</v>
      </c>
      <c r="I240" t="n">
        <v>0</v>
      </c>
      <c r="J240" t="n">
        <v>0</v>
      </c>
      <c r="K240" t="n">
        <v>0</v>
      </c>
      <c r="L240" t="n">
        <v>0</v>
      </c>
      <c r="M240" t="n">
        <v>0</v>
      </c>
      <c r="N240" t="n">
        <v>0</v>
      </c>
      <c r="O240" t="n">
        <v>0</v>
      </c>
      <c r="P240" t="n">
        <v>0</v>
      </c>
      <c r="Q240" t="n">
        <v>0</v>
      </c>
      <c r="R240" s="2" t="inlineStr"/>
    </row>
    <row r="241" ht="15" customHeight="1">
      <c r="A241" t="inlineStr">
        <is>
          <t>A 25196-2022</t>
        </is>
      </c>
      <c r="B241" s="1" t="n">
        <v>44729.64677083334</v>
      </c>
      <c r="C241" s="1" t="n">
        <v>45881</v>
      </c>
      <c r="D241" t="inlineStr">
        <is>
          <t>VÄSTERNORRLANDS LÄN</t>
        </is>
      </c>
      <c r="E241" t="inlineStr">
        <is>
          <t>SUNDSVALL</t>
        </is>
      </c>
      <c r="F241" t="inlineStr">
        <is>
          <t>Holmen skog AB</t>
        </is>
      </c>
      <c r="G241" t="n">
        <v>1.7</v>
      </c>
      <c r="H241" t="n">
        <v>0</v>
      </c>
      <c r="I241" t="n">
        <v>0</v>
      </c>
      <c r="J241" t="n">
        <v>0</v>
      </c>
      <c r="K241" t="n">
        <v>0</v>
      </c>
      <c r="L241" t="n">
        <v>0</v>
      </c>
      <c r="M241" t="n">
        <v>0</v>
      </c>
      <c r="N241" t="n">
        <v>0</v>
      </c>
      <c r="O241" t="n">
        <v>0</v>
      </c>
      <c r="P241" t="n">
        <v>0</v>
      </c>
      <c r="Q241" t="n">
        <v>0</v>
      </c>
      <c r="R241" s="2" t="inlineStr"/>
    </row>
    <row r="242" ht="15" customHeight="1">
      <c r="A242" t="inlineStr">
        <is>
          <t>A 29484-2021</t>
        </is>
      </c>
      <c r="B242" s="1" t="n">
        <v>44361.64238425926</v>
      </c>
      <c r="C242" s="1" t="n">
        <v>45881</v>
      </c>
      <c r="D242" t="inlineStr">
        <is>
          <t>VÄSTERNORRLANDS LÄN</t>
        </is>
      </c>
      <c r="E242" t="inlineStr">
        <is>
          <t>SUNDSVALL</t>
        </is>
      </c>
      <c r="G242" t="n">
        <v>1.2</v>
      </c>
      <c r="H242" t="n">
        <v>0</v>
      </c>
      <c r="I242" t="n">
        <v>0</v>
      </c>
      <c r="J242" t="n">
        <v>0</v>
      </c>
      <c r="K242" t="n">
        <v>0</v>
      </c>
      <c r="L242" t="n">
        <v>0</v>
      </c>
      <c r="M242" t="n">
        <v>0</v>
      </c>
      <c r="N242" t="n">
        <v>0</v>
      </c>
      <c r="O242" t="n">
        <v>0</v>
      </c>
      <c r="P242" t="n">
        <v>0</v>
      </c>
      <c r="Q242" t="n">
        <v>0</v>
      </c>
      <c r="R242" s="2" t="inlineStr"/>
    </row>
    <row r="243" ht="15" customHeight="1">
      <c r="A243" t="inlineStr">
        <is>
          <t>A 50127-2021</t>
        </is>
      </c>
      <c r="B243" s="1" t="n">
        <v>44456</v>
      </c>
      <c r="C243" s="1" t="n">
        <v>45881</v>
      </c>
      <c r="D243" t="inlineStr">
        <is>
          <t>VÄSTERNORRLANDS LÄN</t>
        </is>
      </c>
      <c r="E243" t="inlineStr">
        <is>
          <t>SUNDSVALL</t>
        </is>
      </c>
      <c r="G243" t="n">
        <v>0.5</v>
      </c>
      <c r="H243" t="n">
        <v>0</v>
      </c>
      <c r="I243" t="n">
        <v>0</v>
      </c>
      <c r="J243" t="n">
        <v>0</v>
      </c>
      <c r="K243" t="n">
        <v>0</v>
      </c>
      <c r="L243" t="n">
        <v>0</v>
      </c>
      <c r="M243" t="n">
        <v>0</v>
      </c>
      <c r="N243" t="n">
        <v>0</v>
      </c>
      <c r="O243" t="n">
        <v>0</v>
      </c>
      <c r="P243" t="n">
        <v>0</v>
      </c>
      <c r="Q243" t="n">
        <v>0</v>
      </c>
      <c r="R243" s="2" t="inlineStr"/>
    </row>
    <row r="244" ht="15" customHeight="1">
      <c r="A244" t="inlineStr">
        <is>
          <t>A 37040-2021</t>
        </is>
      </c>
      <c r="B244" s="1" t="n">
        <v>44393.93452546297</v>
      </c>
      <c r="C244" s="1" t="n">
        <v>45881</v>
      </c>
      <c r="D244" t="inlineStr">
        <is>
          <t>VÄSTERNORRLANDS LÄN</t>
        </is>
      </c>
      <c r="E244" t="inlineStr">
        <is>
          <t>SUNDSVALL</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25643-2022</t>
        </is>
      </c>
      <c r="B245" s="1" t="n">
        <v>44732.94244212963</v>
      </c>
      <c r="C245" s="1" t="n">
        <v>45881</v>
      </c>
      <c r="D245" t="inlineStr">
        <is>
          <t>VÄSTERNORRLANDS LÄN</t>
        </is>
      </c>
      <c r="E245" t="inlineStr">
        <is>
          <t>SUNDSVALL</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17039-2022</t>
        </is>
      </c>
      <c r="B246" s="1" t="n">
        <v>44676.92622685185</v>
      </c>
      <c r="C246" s="1" t="n">
        <v>45881</v>
      </c>
      <c r="D246" t="inlineStr">
        <is>
          <t>VÄSTERNORRLANDS LÄN</t>
        </is>
      </c>
      <c r="E246" t="inlineStr">
        <is>
          <t>SUNDSVALL</t>
        </is>
      </c>
      <c r="G246" t="n">
        <v>2.7</v>
      </c>
      <c r="H246" t="n">
        <v>0</v>
      </c>
      <c r="I246" t="n">
        <v>0</v>
      </c>
      <c r="J246" t="n">
        <v>0</v>
      </c>
      <c r="K246" t="n">
        <v>0</v>
      </c>
      <c r="L246" t="n">
        <v>0</v>
      </c>
      <c r="M246" t="n">
        <v>0</v>
      </c>
      <c r="N246" t="n">
        <v>0</v>
      </c>
      <c r="O246" t="n">
        <v>0</v>
      </c>
      <c r="P246" t="n">
        <v>0</v>
      </c>
      <c r="Q246" t="n">
        <v>0</v>
      </c>
      <c r="R246" s="2" t="inlineStr"/>
    </row>
    <row r="247" ht="15" customHeight="1">
      <c r="A247" t="inlineStr">
        <is>
          <t>A 4760-2021</t>
        </is>
      </c>
      <c r="B247" s="1" t="n">
        <v>44225</v>
      </c>
      <c r="C247" s="1" t="n">
        <v>45881</v>
      </c>
      <c r="D247" t="inlineStr">
        <is>
          <t>VÄSTERNORRLANDS LÄN</t>
        </is>
      </c>
      <c r="E247" t="inlineStr">
        <is>
          <t>SUNDSVALL</t>
        </is>
      </c>
      <c r="F247" t="inlineStr">
        <is>
          <t>Kommuner</t>
        </is>
      </c>
      <c r="G247" t="n">
        <v>5.5</v>
      </c>
      <c r="H247" t="n">
        <v>0</v>
      </c>
      <c r="I247" t="n">
        <v>0</v>
      </c>
      <c r="J247" t="n">
        <v>0</v>
      </c>
      <c r="K247" t="n">
        <v>0</v>
      </c>
      <c r="L247" t="n">
        <v>0</v>
      </c>
      <c r="M247" t="n">
        <v>0</v>
      </c>
      <c r="N247" t="n">
        <v>0</v>
      </c>
      <c r="O247" t="n">
        <v>0</v>
      </c>
      <c r="P247" t="n">
        <v>0</v>
      </c>
      <c r="Q247" t="n">
        <v>0</v>
      </c>
      <c r="R247" s="2" t="inlineStr"/>
    </row>
    <row r="248" ht="15" customHeight="1">
      <c r="A248" t="inlineStr">
        <is>
          <t>A 13574-2021</t>
        </is>
      </c>
      <c r="B248" s="1" t="n">
        <v>44273.94049768519</v>
      </c>
      <c r="C248" s="1" t="n">
        <v>45881</v>
      </c>
      <c r="D248" t="inlineStr">
        <is>
          <t>VÄSTERNORRLANDS LÄN</t>
        </is>
      </c>
      <c r="E248" t="inlineStr">
        <is>
          <t>SUNDSVALL</t>
        </is>
      </c>
      <c r="F248" t="inlineStr">
        <is>
          <t>Naturvårdsverket</t>
        </is>
      </c>
      <c r="G248" t="n">
        <v>3.6</v>
      </c>
      <c r="H248" t="n">
        <v>0</v>
      </c>
      <c r="I248" t="n">
        <v>0</v>
      </c>
      <c r="J248" t="n">
        <v>0</v>
      </c>
      <c r="K248" t="n">
        <v>0</v>
      </c>
      <c r="L248" t="n">
        <v>0</v>
      </c>
      <c r="M248" t="n">
        <v>0</v>
      </c>
      <c r="N248" t="n">
        <v>0</v>
      </c>
      <c r="O248" t="n">
        <v>0</v>
      </c>
      <c r="P248" t="n">
        <v>0</v>
      </c>
      <c r="Q248" t="n">
        <v>0</v>
      </c>
      <c r="R248" s="2" t="inlineStr"/>
    </row>
    <row r="249" ht="15" customHeight="1">
      <c r="A249" t="inlineStr">
        <is>
          <t>A 52036-2020</t>
        </is>
      </c>
      <c r="B249" s="1" t="n">
        <v>44116</v>
      </c>
      <c r="C249" s="1" t="n">
        <v>45881</v>
      </c>
      <c r="D249" t="inlineStr">
        <is>
          <t>VÄSTERNORRLANDS LÄN</t>
        </is>
      </c>
      <c r="E249" t="inlineStr">
        <is>
          <t>SUNDSVALL</t>
        </is>
      </c>
      <c r="F249" t="inlineStr">
        <is>
          <t>SCA</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28238-2021</t>
        </is>
      </c>
      <c r="B250" s="1" t="n">
        <v>44355</v>
      </c>
      <c r="C250" s="1" t="n">
        <v>45881</v>
      </c>
      <c r="D250" t="inlineStr">
        <is>
          <t>VÄSTERNORRLANDS LÄN</t>
        </is>
      </c>
      <c r="E250" t="inlineStr">
        <is>
          <t>SUNDSVALL</t>
        </is>
      </c>
      <c r="G250" t="n">
        <v>0.4</v>
      </c>
      <c r="H250" t="n">
        <v>0</v>
      </c>
      <c r="I250" t="n">
        <v>0</v>
      </c>
      <c r="J250" t="n">
        <v>0</v>
      </c>
      <c r="K250" t="n">
        <v>0</v>
      </c>
      <c r="L250" t="n">
        <v>0</v>
      </c>
      <c r="M250" t="n">
        <v>0</v>
      </c>
      <c r="N250" t="n">
        <v>0</v>
      </c>
      <c r="O250" t="n">
        <v>0</v>
      </c>
      <c r="P250" t="n">
        <v>0</v>
      </c>
      <c r="Q250" t="n">
        <v>0</v>
      </c>
      <c r="R250" s="2" t="inlineStr"/>
    </row>
    <row r="251" ht="15" customHeight="1">
      <c r="A251" t="inlineStr">
        <is>
          <t>A 60178-2020</t>
        </is>
      </c>
      <c r="B251" s="1" t="n">
        <v>44152</v>
      </c>
      <c r="C251" s="1" t="n">
        <v>45881</v>
      </c>
      <c r="D251" t="inlineStr">
        <is>
          <t>VÄSTERNORRLANDS LÄN</t>
        </is>
      </c>
      <c r="E251" t="inlineStr">
        <is>
          <t>SUNDSVALL</t>
        </is>
      </c>
      <c r="G251" t="n">
        <v>0.4</v>
      </c>
      <c r="H251" t="n">
        <v>0</v>
      </c>
      <c r="I251" t="n">
        <v>0</v>
      </c>
      <c r="J251" t="n">
        <v>0</v>
      </c>
      <c r="K251" t="n">
        <v>0</v>
      </c>
      <c r="L251" t="n">
        <v>0</v>
      </c>
      <c r="M251" t="n">
        <v>0</v>
      </c>
      <c r="N251" t="n">
        <v>0</v>
      </c>
      <c r="O251" t="n">
        <v>0</v>
      </c>
      <c r="P251" t="n">
        <v>0</v>
      </c>
      <c r="Q251" t="n">
        <v>0</v>
      </c>
      <c r="R251" s="2" t="inlineStr"/>
    </row>
    <row r="252" ht="15" customHeight="1">
      <c r="A252" t="inlineStr">
        <is>
          <t>A 64367-2021</t>
        </is>
      </c>
      <c r="B252" s="1" t="n">
        <v>44511</v>
      </c>
      <c r="C252" s="1" t="n">
        <v>45881</v>
      </c>
      <c r="D252" t="inlineStr">
        <is>
          <t>VÄSTERNORRLANDS LÄN</t>
        </is>
      </c>
      <c r="E252" t="inlineStr">
        <is>
          <t>SUNDSVALL</t>
        </is>
      </c>
      <c r="G252" t="n">
        <v>2.2</v>
      </c>
      <c r="H252" t="n">
        <v>0</v>
      </c>
      <c r="I252" t="n">
        <v>0</v>
      </c>
      <c r="J252" t="n">
        <v>0</v>
      </c>
      <c r="K252" t="n">
        <v>0</v>
      </c>
      <c r="L252" t="n">
        <v>0</v>
      </c>
      <c r="M252" t="n">
        <v>0</v>
      </c>
      <c r="N252" t="n">
        <v>0</v>
      </c>
      <c r="O252" t="n">
        <v>0</v>
      </c>
      <c r="P252" t="n">
        <v>0</v>
      </c>
      <c r="Q252" t="n">
        <v>0</v>
      </c>
      <c r="R252" s="2" t="inlineStr"/>
    </row>
    <row r="253" ht="15" customHeight="1">
      <c r="A253" t="inlineStr">
        <is>
          <t>A 20186-2021</t>
        </is>
      </c>
      <c r="B253" s="1" t="n">
        <v>44314</v>
      </c>
      <c r="C253" s="1" t="n">
        <v>45881</v>
      </c>
      <c r="D253" t="inlineStr">
        <is>
          <t>VÄSTERNORRLANDS LÄN</t>
        </is>
      </c>
      <c r="E253" t="inlineStr">
        <is>
          <t>SUNDSVALL</t>
        </is>
      </c>
      <c r="G253" t="n">
        <v>2.3</v>
      </c>
      <c r="H253" t="n">
        <v>0</v>
      </c>
      <c r="I253" t="n">
        <v>0</v>
      </c>
      <c r="J253" t="n">
        <v>0</v>
      </c>
      <c r="K253" t="n">
        <v>0</v>
      </c>
      <c r="L253" t="n">
        <v>0</v>
      </c>
      <c r="M253" t="n">
        <v>0</v>
      </c>
      <c r="N253" t="n">
        <v>0</v>
      </c>
      <c r="O253" t="n">
        <v>0</v>
      </c>
      <c r="P253" t="n">
        <v>0</v>
      </c>
      <c r="Q253" t="n">
        <v>0</v>
      </c>
      <c r="R253" s="2" t="inlineStr"/>
    </row>
    <row r="254" ht="15" customHeight="1">
      <c r="A254" t="inlineStr">
        <is>
          <t>A 67987-2020</t>
        </is>
      </c>
      <c r="B254" s="1" t="n">
        <v>44182.81473379629</v>
      </c>
      <c r="C254" s="1" t="n">
        <v>45881</v>
      </c>
      <c r="D254" t="inlineStr">
        <is>
          <t>VÄSTERNORRLANDS LÄN</t>
        </is>
      </c>
      <c r="E254" t="inlineStr">
        <is>
          <t>SUNDSVALL</t>
        </is>
      </c>
      <c r="G254" t="n">
        <v>0.7</v>
      </c>
      <c r="H254" t="n">
        <v>0</v>
      </c>
      <c r="I254" t="n">
        <v>0</v>
      </c>
      <c r="J254" t="n">
        <v>0</v>
      </c>
      <c r="K254" t="n">
        <v>0</v>
      </c>
      <c r="L254" t="n">
        <v>0</v>
      </c>
      <c r="M254" t="n">
        <v>0</v>
      </c>
      <c r="N254" t="n">
        <v>0</v>
      </c>
      <c r="O254" t="n">
        <v>0</v>
      </c>
      <c r="P254" t="n">
        <v>0</v>
      </c>
      <c r="Q254" t="n">
        <v>0</v>
      </c>
      <c r="R254" s="2" t="inlineStr"/>
    </row>
    <row r="255" ht="15" customHeight="1">
      <c r="A255" t="inlineStr">
        <is>
          <t>A 15769-2021</t>
        </is>
      </c>
      <c r="B255" s="1" t="n">
        <v>44286</v>
      </c>
      <c r="C255" s="1" t="n">
        <v>45881</v>
      </c>
      <c r="D255" t="inlineStr">
        <is>
          <t>VÄSTERNORRLANDS LÄN</t>
        </is>
      </c>
      <c r="E255" t="inlineStr">
        <is>
          <t>SUNDSVALL</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1473-2021</t>
        </is>
      </c>
      <c r="B256" s="1" t="n">
        <v>44208</v>
      </c>
      <c r="C256" s="1" t="n">
        <v>45881</v>
      </c>
      <c r="D256" t="inlineStr">
        <is>
          <t>VÄSTERNORRLANDS LÄN</t>
        </is>
      </c>
      <c r="E256" t="inlineStr">
        <is>
          <t>SUNDSVALL</t>
        </is>
      </c>
      <c r="G256" t="n">
        <v>3.7</v>
      </c>
      <c r="H256" t="n">
        <v>0</v>
      </c>
      <c r="I256" t="n">
        <v>0</v>
      </c>
      <c r="J256" t="n">
        <v>0</v>
      </c>
      <c r="K256" t="n">
        <v>0</v>
      </c>
      <c r="L256" t="n">
        <v>0</v>
      </c>
      <c r="M256" t="n">
        <v>0</v>
      </c>
      <c r="N256" t="n">
        <v>0</v>
      </c>
      <c r="O256" t="n">
        <v>0</v>
      </c>
      <c r="P256" t="n">
        <v>0</v>
      </c>
      <c r="Q256" t="n">
        <v>0</v>
      </c>
      <c r="R256" s="2" t="inlineStr"/>
    </row>
    <row r="257" ht="15" customHeight="1">
      <c r="A257" t="inlineStr">
        <is>
          <t>A 7437-2022</t>
        </is>
      </c>
      <c r="B257" s="1" t="n">
        <v>44606</v>
      </c>
      <c r="C257" s="1" t="n">
        <v>45881</v>
      </c>
      <c r="D257" t="inlineStr">
        <is>
          <t>VÄSTERNORRLANDS LÄN</t>
        </is>
      </c>
      <c r="E257" t="inlineStr">
        <is>
          <t>SUNDSVALL</t>
        </is>
      </c>
      <c r="G257" t="n">
        <v>2</v>
      </c>
      <c r="H257" t="n">
        <v>0</v>
      </c>
      <c r="I257" t="n">
        <v>0</v>
      </c>
      <c r="J257" t="n">
        <v>0</v>
      </c>
      <c r="K257" t="n">
        <v>0</v>
      </c>
      <c r="L257" t="n">
        <v>0</v>
      </c>
      <c r="M257" t="n">
        <v>0</v>
      </c>
      <c r="N257" t="n">
        <v>0</v>
      </c>
      <c r="O257" t="n">
        <v>0</v>
      </c>
      <c r="P257" t="n">
        <v>0</v>
      </c>
      <c r="Q257" t="n">
        <v>0</v>
      </c>
      <c r="R257" s="2" t="inlineStr"/>
    </row>
    <row r="258" ht="15" customHeight="1">
      <c r="A258" t="inlineStr">
        <is>
          <t>A 1232-2022</t>
        </is>
      </c>
      <c r="B258" s="1" t="n">
        <v>44572.57984953704</v>
      </c>
      <c r="C258" s="1" t="n">
        <v>45881</v>
      </c>
      <c r="D258" t="inlineStr">
        <is>
          <t>VÄSTERNORRLANDS LÄN</t>
        </is>
      </c>
      <c r="E258" t="inlineStr">
        <is>
          <t>SUNDSVALL</t>
        </is>
      </c>
      <c r="G258" t="n">
        <v>0.6</v>
      </c>
      <c r="H258" t="n">
        <v>0</v>
      </c>
      <c r="I258" t="n">
        <v>0</v>
      </c>
      <c r="J258" t="n">
        <v>0</v>
      </c>
      <c r="K258" t="n">
        <v>0</v>
      </c>
      <c r="L258" t="n">
        <v>0</v>
      </c>
      <c r="M258" t="n">
        <v>0</v>
      </c>
      <c r="N258" t="n">
        <v>0</v>
      </c>
      <c r="O258" t="n">
        <v>0</v>
      </c>
      <c r="P258" t="n">
        <v>0</v>
      </c>
      <c r="Q258" t="n">
        <v>0</v>
      </c>
      <c r="R258" s="2" t="inlineStr"/>
    </row>
    <row r="259" ht="15" customHeight="1">
      <c r="A259" t="inlineStr">
        <is>
          <t>A 228-2022</t>
        </is>
      </c>
      <c r="B259" s="1" t="n">
        <v>44564</v>
      </c>
      <c r="C259" s="1" t="n">
        <v>45881</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55496-2022</t>
        </is>
      </c>
      <c r="B260" s="1" t="n">
        <v>44887.72143518519</v>
      </c>
      <c r="C260" s="1" t="n">
        <v>45881</v>
      </c>
      <c r="D260" t="inlineStr">
        <is>
          <t>VÄSTERNORRLANDS LÄN</t>
        </is>
      </c>
      <c r="E260" t="inlineStr">
        <is>
          <t>SUNDSVALL</t>
        </is>
      </c>
      <c r="F260" t="inlineStr">
        <is>
          <t>Holmen skog AB</t>
        </is>
      </c>
      <c r="G260" t="n">
        <v>2.8</v>
      </c>
      <c r="H260" t="n">
        <v>0</v>
      </c>
      <c r="I260" t="n">
        <v>0</v>
      </c>
      <c r="J260" t="n">
        <v>0</v>
      </c>
      <c r="K260" t="n">
        <v>0</v>
      </c>
      <c r="L260" t="n">
        <v>0</v>
      </c>
      <c r="M260" t="n">
        <v>0</v>
      </c>
      <c r="N260" t="n">
        <v>0</v>
      </c>
      <c r="O260" t="n">
        <v>0</v>
      </c>
      <c r="P260" t="n">
        <v>0</v>
      </c>
      <c r="Q260" t="n">
        <v>0</v>
      </c>
      <c r="R260" s="2" t="inlineStr"/>
    </row>
    <row r="261" ht="15" customHeight="1">
      <c r="A261" t="inlineStr">
        <is>
          <t>A 67388-2021</t>
        </is>
      </c>
      <c r="B261" s="1" t="n">
        <v>44523.92046296296</v>
      </c>
      <c r="C261" s="1" t="n">
        <v>45881</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16334-2021</t>
        </is>
      </c>
      <c r="B262" s="1" t="n">
        <v>44292</v>
      </c>
      <c r="C262" s="1" t="n">
        <v>45881</v>
      </c>
      <c r="D262" t="inlineStr">
        <is>
          <t>VÄSTERNORRLANDS LÄN</t>
        </is>
      </c>
      <c r="E262" t="inlineStr">
        <is>
          <t>SUNDSVALL</t>
        </is>
      </c>
      <c r="G262" t="n">
        <v>0.3</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45881</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69260-2021</t>
        </is>
      </c>
      <c r="B264" s="1" t="n">
        <v>44530</v>
      </c>
      <c r="C264" s="1" t="n">
        <v>45881</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67123-2021</t>
        </is>
      </c>
      <c r="B265" s="1" t="n">
        <v>44522</v>
      </c>
      <c r="C265" s="1" t="n">
        <v>45881</v>
      </c>
      <c r="D265" t="inlineStr">
        <is>
          <t>VÄSTERNORRLANDS LÄN</t>
        </is>
      </c>
      <c r="E265" t="inlineStr">
        <is>
          <t>SUNDSVALL</t>
        </is>
      </c>
      <c r="G265" t="n">
        <v>1.2</v>
      </c>
      <c r="H265" t="n">
        <v>0</v>
      </c>
      <c r="I265" t="n">
        <v>0</v>
      </c>
      <c r="J265" t="n">
        <v>0</v>
      </c>
      <c r="K265" t="n">
        <v>0</v>
      </c>
      <c r="L265" t="n">
        <v>0</v>
      </c>
      <c r="M265" t="n">
        <v>0</v>
      </c>
      <c r="N265" t="n">
        <v>0</v>
      </c>
      <c r="O265" t="n">
        <v>0</v>
      </c>
      <c r="P265" t="n">
        <v>0</v>
      </c>
      <c r="Q265" t="n">
        <v>0</v>
      </c>
      <c r="R265" s="2" t="inlineStr"/>
    </row>
    <row r="266" ht="15" customHeight="1">
      <c r="A266" t="inlineStr">
        <is>
          <t>A 21099-2021</t>
        </is>
      </c>
      <c r="B266" s="1" t="n">
        <v>44319</v>
      </c>
      <c r="C266" s="1" t="n">
        <v>45881</v>
      </c>
      <c r="D266" t="inlineStr">
        <is>
          <t>VÄSTERNORRLANDS LÄN</t>
        </is>
      </c>
      <c r="E266" t="inlineStr">
        <is>
          <t>SUNDSVALL</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14233-2022</t>
        </is>
      </c>
      <c r="B267" s="1" t="n">
        <v>44651</v>
      </c>
      <c r="C267" s="1" t="n">
        <v>45881</v>
      </c>
      <c r="D267" t="inlineStr">
        <is>
          <t>VÄSTERNORRLANDS LÄN</t>
        </is>
      </c>
      <c r="E267" t="inlineStr">
        <is>
          <t>SUNDSVALL</t>
        </is>
      </c>
      <c r="G267" t="n">
        <v>0.7</v>
      </c>
      <c r="H267" t="n">
        <v>0</v>
      </c>
      <c r="I267" t="n">
        <v>0</v>
      </c>
      <c r="J267" t="n">
        <v>0</v>
      </c>
      <c r="K267" t="n">
        <v>0</v>
      </c>
      <c r="L267" t="n">
        <v>0</v>
      </c>
      <c r="M267" t="n">
        <v>0</v>
      </c>
      <c r="N267" t="n">
        <v>0</v>
      </c>
      <c r="O267" t="n">
        <v>0</v>
      </c>
      <c r="P267" t="n">
        <v>0</v>
      </c>
      <c r="Q267" t="n">
        <v>0</v>
      </c>
      <c r="R267" s="2" t="inlineStr"/>
    </row>
    <row r="268" ht="15" customHeight="1">
      <c r="A268" t="inlineStr">
        <is>
          <t>A 36316-2021</t>
        </is>
      </c>
      <c r="B268" s="1" t="n">
        <v>44390.45508101852</v>
      </c>
      <c r="C268" s="1" t="n">
        <v>45881</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45775-2021</t>
        </is>
      </c>
      <c r="B269" s="1" t="n">
        <v>44441</v>
      </c>
      <c r="C269" s="1" t="n">
        <v>45881</v>
      </c>
      <c r="D269" t="inlineStr">
        <is>
          <t>VÄSTERNORRLANDS LÄN</t>
        </is>
      </c>
      <c r="E269" t="inlineStr">
        <is>
          <t>SUNDSVALL</t>
        </is>
      </c>
      <c r="G269" t="n">
        <v>3.7</v>
      </c>
      <c r="H269" t="n">
        <v>0</v>
      </c>
      <c r="I269" t="n">
        <v>0</v>
      </c>
      <c r="J269" t="n">
        <v>0</v>
      </c>
      <c r="K269" t="n">
        <v>0</v>
      </c>
      <c r="L269" t="n">
        <v>0</v>
      </c>
      <c r="M269" t="n">
        <v>0</v>
      </c>
      <c r="N269" t="n">
        <v>0</v>
      </c>
      <c r="O269" t="n">
        <v>0</v>
      </c>
      <c r="P269" t="n">
        <v>0</v>
      </c>
      <c r="Q269" t="n">
        <v>0</v>
      </c>
      <c r="R269" s="2" t="inlineStr"/>
    </row>
    <row r="270" ht="15" customHeight="1">
      <c r="A270" t="inlineStr">
        <is>
          <t>A 43205-2021</t>
        </is>
      </c>
      <c r="B270" s="1" t="n">
        <v>44431</v>
      </c>
      <c r="C270" s="1" t="n">
        <v>45881</v>
      </c>
      <c r="D270" t="inlineStr">
        <is>
          <t>VÄSTERNORRLANDS LÄN</t>
        </is>
      </c>
      <c r="E270" t="inlineStr">
        <is>
          <t>SUNDSVALL</t>
        </is>
      </c>
      <c r="G270" t="n">
        <v>2.9</v>
      </c>
      <c r="H270" t="n">
        <v>0</v>
      </c>
      <c r="I270" t="n">
        <v>0</v>
      </c>
      <c r="J270" t="n">
        <v>0</v>
      </c>
      <c r="K270" t="n">
        <v>0</v>
      </c>
      <c r="L270" t="n">
        <v>0</v>
      </c>
      <c r="M270" t="n">
        <v>0</v>
      </c>
      <c r="N270" t="n">
        <v>0</v>
      </c>
      <c r="O270" t="n">
        <v>0</v>
      </c>
      <c r="P270" t="n">
        <v>0</v>
      </c>
      <c r="Q270" t="n">
        <v>0</v>
      </c>
      <c r="R270" s="2" t="inlineStr"/>
    </row>
    <row r="271" ht="15" customHeight="1">
      <c r="A271" t="inlineStr">
        <is>
          <t>A 25484-2021</t>
        </is>
      </c>
      <c r="B271" s="1" t="n">
        <v>44342</v>
      </c>
      <c r="C271" s="1" t="n">
        <v>45881</v>
      </c>
      <c r="D271" t="inlineStr">
        <is>
          <t>VÄSTERNORRLANDS LÄN</t>
        </is>
      </c>
      <c r="E271" t="inlineStr">
        <is>
          <t>SUNDSVALL</t>
        </is>
      </c>
      <c r="G271" t="n">
        <v>1.8</v>
      </c>
      <c r="H271" t="n">
        <v>0</v>
      </c>
      <c r="I271" t="n">
        <v>0</v>
      </c>
      <c r="J271" t="n">
        <v>0</v>
      </c>
      <c r="K271" t="n">
        <v>0</v>
      </c>
      <c r="L271" t="n">
        <v>0</v>
      </c>
      <c r="M271" t="n">
        <v>0</v>
      </c>
      <c r="N271" t="n">
        <v>0</v>
      </c>
      <c r="O271" t="n">
        <v>0</v>
      </c>
      <c r="P271" t="n">
        <v>0</v>
      </c>
      <c r="Q271" t="n">
        <v>0</v>
      </c>
      <c r="R271" s="2" t="inlineStr"/>
    </row>
    <row r="272" ht="15" customHeight="1">
      <c r="A272" t="inlineStr">
        <is>
          <t>A 67277-2021</t>
        </is>
      </c>
      <c r="B272" s="1" t="n">
        <v>44523.6065162037</v>
      </c>
      <c r="C272" s="1" t="n">
        <v>45881</v>
      </c>
      <c r="D272" t="inlineStr">
        <is>
          <t>VÄSTERNORRLANDS LÄN</t>
        </is>
      </c>
      <c r="E272" t="inlineStr">
        <is>
          <t>SUNDSVALL</t>
        </is>
      </c>
      <c r="G272" t="n">
        <v>4.9</v>
      </c>
      <c r="H272" t="n">
        <v>0</v>
      </c>
      <c r="I272" t="n">
        <v>0</v>
      </c>
      <c r="J272" t="n">
        <v>0</v>
      </c>
      <c r="K272" t="n">
        <v>0</v>
      </c>
      <c r="L272" t="n">
        <v>0</v>
      </c>
      <c r="M272" t="n">
        <v>0</v>
      </c>
      <c r="N272" t="n">
        <v>0</v>
      </c>
      <c r="O272" t="n">
        <v>0</v>
      </c>
      <c r="P272" t="n">
        <v>0</v>
      </c>
      <c r="Q272" t="n">
        <v>0</v>
      </c>
      <c r="R272" s="2" t="inlineStr"/>
    </row>
    <row r="273" ht="15" customHeight="1">
      <c r="A273" t="inlineStr">
        <is>
          <t>A 29292-2021</t>
        </is>
      </c>
      <c r="B273" s="1" t="n">
        <v>44358</v>
      </c>
      <c r="C273" s="1" t="n">
        <v>45881</v>
      </c>
      <c r="D273" t="inlineStr">
        <is>
          <t>VÄSTERNORRLANDS LÄN</t>
        </is>
      </c>
      <c r="E273" t="inlineStr">
        <is>
          <t>SUNDSVALL</t>
        </is>
      </c>
      <c r="G273" t="n">
        <v>0.2</v>
      </c>
      <c r="H273" t="n">
        <v>0</v>
      </c>
      <c r="I273" t="n">
        <v>0</v>
      </c>
      <c r="J273" t="n">
        <v>0</v>
      </c>
      <c r="K273" t="n">
        <v>0</v>
      </c>
      <c r="L273" t="n">
        <v>0</v>
      </c>
      <c r="M273" t="n">
        <v>0</v>
      </c>
      <c r="N273" t="n">
        <v>0</v>
      </c>
      <c r="O273" t="n">
        <v>0</v>
      </c>
      <c r="P273" t="n">
        <v>0</v>
      </c>
      <c r="Q273" t="n">
        <v>0</v>
      </c>
      <c r="R273" s="2" t="inlineStr"/>
    </row>
    <row r="274" ht="15" customHeight="1">
      <c r="A274" t="inlineStr">
        <is>
          <t>A 70309-2021</t>
        </is>
      </c>
      <c r="B274" s="1" t="n">
        <v>44533</v>
      </c>
      <c r="C274" s="1" t="n">
        <v>45881</v>
      </c>
      <c r="D274" t="inlineStr">
        <is>
          <t>VÄSTERNORRLANDS LÄN</t>
        </is>
      </c>
      <c r="E274" t="inlineStr">
        <is>
          <t>SUNDSVALL</t>
        </is>
      </c>
      <c r="G274" t="n">
        <v>18.8</v>
      </c>
      <c r="H274" t="n">
        <v>0</v>
      </c>
      <c r="I274" t="n">
        <v>0</v>
      </c>
      <c r="J274" t="n">
        <v>0</v>
      </c>
      <c r="K274" t="n">
        <v>0</v>
      </c>
      <c r="L274" t="n">
        <v>0</v>
      </c>
      <c r="M274" t="n">
        <v>0</v>
      </c>
      <c r="N274" t="n">
        <v>0</v>
      </c>
      <c r="O274" t="n">
        <v>0</v>
      </c>
      <c r="P274" t="n">
        <v>0</v>
      </c>
      <c r="Q274" t="n">
        <v>0</v>
      </c>
      <c r="R274" s="2" t="inlineStr"/>
    </row>
    <row r="275" ht="15" customHeight="1">
      <c r="A275" t="inlineStr">
        <is>
          <t>A 24433-2021</t>
        </is>
      </c>
      <c r="B275" s="1" t="n">
        <v>44337.56453703704</v>
      </c>
      <c r="C275" s="1" t="n">
        <v>45881</v>
      </c>
      <c r="D275" t="inlineStr">
        <is>
          <t>VÄSTERNORRLANDS LÄN</t>
        </is>
      </c>
      <c r="E275" t="inlineStr">
        <is>
          <t>SUNDSVALL</t>
        </is>
      </c>
      <c r="G275" t="n">
        <v>1</v>
      </c>
      <c r="H275" t="n">
        <v>0</v>
      </c>
      <c r="I275" t="n">
        <v>0</v>
      </c>
      <c r="J275" t="n">
        <v>0</v>
      </c>
      <c r="K275" t="n">
        <v>0</v>
      </c>
      <c r="L275" t="n">
        <v>0</v>
      </c>
      <c r="M275" t="n">
        <v>0</v>
      </c>
      <c r="N275" t="n">
        <v>0</v>
      </c>
      <c r="O275" t="n">
        <v>0</v>
      </c>
      <c r="P275" t="n">
        <v>0</v>
      </c>
      <c r="Q275" t="n">
        <v>0</v>
      </c>
      <c r="R275" s="2" t="inlineStr"/>
    </row>
    <row r="276" ht="15" customHeight="1">
      <c r="A276" t="inlineStr">
        <is>
          <t>A 74383-2021</t>
        </is>
      </c>
      <c r="B276" s="1" t="n">
        <v>44559</v>
      </c>
      <c r="C276" s="1" t="n">
        <v>45881</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26287-2022</t>
        </is>
      </c>
      <c r="B277" s="1" t="n">
        <v>44735</v>
      </c>
      <c r="C277" s="1" t="n">
        <v>45881</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22336-2021</t>
        </is>
      </c>
      <c r="B278" s="1" t="n">
        <v>44326</v>
      </c>
      <c r="C278" s="1" t="n">
        <v>45881</v>
      </c>
      <c r="D278" t="inlineStr">
        <is>
          <t>VÄSTERNORRLANDS LÄN</t>
        </is>
      </c>
      <c r="E278" t="inlineStr">
        <is>
          <t>SUNDSVALL</t>
        </is>
      </c>
      <c r="G278" t="n">
        <v>0.4</v>
      </c>
      <c r="H278" t="n">
        <v>0</v>
      </c>
      <c r="I278" t="n">
        <v>0</v>
      </c>
      <c r="J278" t="n">
        <v>0</v>
      </c>
      <c r="K278" t="n">
        <v>0</v>
      </c>
      <c r="L278" t="n">
        <v>0</v>
      </c>
      <c r="M278" t="n">
        <v>0</v>
      </c>
      <c r="N278" t="n">
        <v>0</v>
      </c>
      <c r="O278" t="n">
        <v>0</v>
      </c>
      <c r="P278" t="n">
        <v>0</v>
      </c>
      <c r="Q278" t="n">
        <v>0</v>
      </c>
      <c r="R278" s="2" t="inlineStr"/>
    </row>
    <row r="279" ht="15" customHeight="1">
      <c r="A279" t="inlineStr">
        <is>
          <t>A 31959-2022</t>
        </is>
      </c>
      <c r="B279" s="1" t="n">
        <v>44777.92671296297</v>
      </c>
      <c r="C279" s="1" t="n">
        <v>45881</v>
      </c>
      <c r="D279" t="inlineStr">
        <is>
          <t>VÄSTERNORRLANDS LÄN</t>
        </is>
      </c>
      <c r="E279" t="inlineStr">
        <is>
          <t>SUNDSVALL</t>
        </is>
      </c>
      <c r="G279" t="n">
        <v>2.2</v>
      </c>
      <c r="H279" t="n">
        <v>0</v>
      </c>
      <c r="I279" t="n">
        <v>0</v>
      </c>
      <c r="J279" t="n">
        <v>0</v>
      </c>
      <c r="K279" t="n">
        <v>0</v>
      </c>
      <c r="L279" t="n">
        <v>0</v>
      </c>
      <c r="M279" t="n">
        <v>0</v>
      </c>
      <c r="N279" t="n">
        <v>0</v>
      </c>
      <c r="O279" t="n">
        <v>0</v>
      </c>
      <c r="P279" t="n">
        <v>0</v>
      </c>
      <c r="Q279" t="n">
        <v>0</v>
      </c>
      <c r="R279" s="2" t="inlineStr"/>
    </row>
    <row r="280" ht="15" customHeight="1">
      <c r="A280" t="inlineStr">
        <is>
          <t>A 45006-2021</t>
        </is>
      </c>
      <c r="B280" s="1" t="n">
        <v>44438.91969907407</v>
      </c>
      <c r="C280" s="1" t="n">
        <v>45881</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59127-2021</t>
        </is>
      </c>
      <c r="B281" s="1" t="n">
        <v>44490</v>
      </c>
      <c r="C281" s="1" t="n">
        <v>45881</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59496-2021</t>
        </is>
      </c>
      <c r="B282" s="1" t="n">
        <v>44491</v>
      </c>
      <c r="C282" s="1" t="n">
        <v>45881</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67698-2021</t>
        </is>
      </c>
      <c r="B283" s="1" t="n">
        <v>44524.94635416667</v>
      </c>
      <c r="C283" s="1" t="n">
        <v>45881</v>
      </c>
      <c r="D283" t="inlineStr">
        <is>
          <t>VÄSTERNORRLANDS LÄN</t>
        </is>
      </c>
      <c r="E283" t="inlineStr">
        <is>
          <t>SUNDSVALL</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23054-2022</t>
        </is>
      </c>
      <c r="B284" s="1" t="n">
        <v>44719.43481481481</v>
      </c>
      <c r="C284" s="1" t="n">
        <v>45881</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45881</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74384-2021</t>
        </is>
      </c>
      <c r="B286" s="1" t="n">
        <v>44559</v>
      </c>
      <c r="C286" s="1" t="n">
        <v>45881</v>
      </c>
      <c r="D286" t="inlineStr">
        <is>
          <t>VÄSTERNORRLANDS LÄN</t>
        </is>
      </c>
      <c r="E286" t="inlineStr">
        <is>
          <t>SUNDSVALL</t>
        </is>
      </c>
      <c r="G286" t="n">
        <v>4.2</v>
      </c>
      <c r="H286" t="n">
        <v>0</v>
      </c>
      <c r="I286" t="n">
        <v>0</v>
      </c>
      <c r="J286" t="n">
        <v>0</v>
      </c>
      <c r="K286" t="n">
        <v>0</v>
      </c>
      <c r="L286" t="n">
        <v>0</v>
      </c>
      <c r="M286" t="n">
        <v>0</v>
      </c>
      <c r="N286" t="n">
        <v>0</v>
      </c>
      <c r="O286" t="n">
        <v>0</v>
      </c>
      <c r="P286" t="n">
        <v>0</v>
      </c>
      <c r="Q286" t="n">
        <v>0</v>
      </c>
      <c r="R286" s="2" t="inlineStr"/>
    </row>
    <row r="287" ht="15" customHeight="1">
      <c r="A287" t="inlineStr">
        <is>
          <t>A 38670-2022</t>
        </is>
      </c>
      <c r="B287" s="1" t="n">
        <v>44813.94760416666</v>
      </c>
      <c r="C287" s="1" t="n">
        <v>45881</v>
      </c>
      <c r="D287" t="inlineStr">
        <is>
          <t>VÄSTERNORRLANDS LÄN</t>
        </is>
      </c>
      <c r="E287" t="inlineStr">
        <is>
          <t>SUNDSVALL</t>
        </is>
      </c>
      <c r="F287" t="inlineStr">
        <is>
          <t>SCA</t>
        </is>
      </c>
      <c r="G287" t="n">
        <v>4.5</v>
      </c>
      <c r="H287" t="n">
        <v>0</v>
      </c>
      <c r="I287" t="n">
        <v>0</v>
      </c>
      <c r="J287" t="n">
        <v>0</v>
      </c>
      <c r="K287" t="n">
        <v>0</v>
      </c>
      <c r="L287" t="n">
        <v>0</v>
      </c>
      <c r="M287" t="n">
        <v>0</v>
      </c>
      <c r="N287" t="n">
        <v>0</v>
      </c>
      <c r="O287" t="n">
        <v>0</v>
      </c>
      <c r="P287" t="n">
        <v>0</v>
      </c>
      <c r="Q287" t="n">
        <v>0</v>
      </c>
      <c r="R287" s="2" t="inlineStr"/>
    </row>
    <row r="288" ht="15" customHeight="1">
      <c r="A288" t="inlineStr">
        <is>
          <t>A 37611-2021</t>
        </is>
      </c>
      <c r="B288" s="1" t="n">
        <v>44399</v>
      </c>
      <c r="C288" s="1" t="n">
        <v>45881</v>
      </c>
      <c r="D288" t="inlineStr">
        <is>
          <t>VÄSTERNORRLANDS LÄN</t>
        </is>
      </c>
      <c r="E288" t="inlineStr">
        <is>
          <t>SUNDSVALL</t>
        </is>
      </c>
      <c r="F288" t="inlineStr">
        <is>
          <t>SCA</t>
        </is>
      </c>
      <c r="G288" t="n">
        <v>3.5</v>
      </c>
      <c r="H288" t="n">
        <v>0</v>
      </c>
      <c r="I288" t="n">
        <v>0</v>
      </c>
      <c r="J288" t="n">
        <v>0</v>
      </c>
      <c r="K288" t="n">
        <v>0</v>
      </c>
      <c r="L288" t="n">
        <v>0</v>
      </c>
      <c r="M288" t="n">
        <v>0</v>
      </c>
      <c r="N288" t="n">
        <v>0</v>
      </c>
      <c r="O288" t="n">
        <v>0</v>
      </c>
      <c r="P288" t="n">
        <v>0</v>
      </c>
      <c r="Q288" t="n">
        <v>0</v>
      </c>
      <c r="R288" s="2" t="inlineStr"/>
    </row>
    <row r="289" ht="15" customHeight="1">
      <c r="A289" t="inlineStr">
        <is>
          <t>A 11862-2022</t>
        </is>
      </c>
      <c r="B289" s="1" t="n">
        <v>44635.34825231481</v>
      </c>
      <c r="C289" s="1" t="n">
        <v>45881</v>
      </c>
      <c r="D289" t="inlineStr">
        <is>
          <t>VÄSTERNORRLANDS LÄN</t>
        </is>
      </c>
      <c r="E289" t="inlineStr">
        <is>
          <t>SUNDSVALL</t>
        </is>
      </c>
      <c r="G289" t="n">
        <v>0.9</v>
      </c>
      <c r="H289" t="n">
        <v>0</v>
      </c>
      <c r="I289" t="n">
        <v>0</v>
      </c>
      <c r="J289" t="n">
        <v>0</v>
      </c>
      <c r="K289" t="n">
        <v>0</v>
      </c>
      <c r="L289" t="n">
        <v>0</v>
      </c>
      <c r="M289" t="n">
        <v>0</v>
      </c>
      <c r="N289" t="n">
        <v>0</v>
      </c>
      <c r="O289" t="n">
        <v>0</v>
      </c>
      <c r="P289" t="n">
        <v>0</v>
      </c>
      <c r="Q289" t="n">
        <v>0</v>
      </c>
      <c r="R289" s="2" t="inlineStr"/>
    </row>
    <row r="290" ht="15" customHeight="1">
      <c r="A290" t="inlineStr">
        <is>
          <t>A 6220-2021</t>
        </is>
      </c>
      <c r="B290" s="1" t="n">
        <v>44232</v>
      </c>
      <c r="C290" s="1" t="n">
        <v>45881</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15598-2022</t>
        </is>
      </c>
      <c r="B291" s="1" t="n">
        <v>44662</v>
      </c>
      <c r="C291" s="1" t="n">
        <v>45881</v>
      </c>
      <c r="D291" t="inlineStr">
        <is>
          <t>VÄSTERNORRLANDS LÄN</t>
        </is>
      </c>
      <c r="E291" t="inlineStr">
        <is>
          <t>SUNDSVALL</t>
        </is>
      </c>
      <c r="G291" t="n">
        <v>0.3</v>
      </c>
      <c r="H291" t="n">
        <v>0</v>
      </c>
      <c r="I291" t="n">
        <v>0</v>
      </c>
      <c r="J291" t="n">
        <v>0</v>
      </c>
      <c r="K291" t="n">
        <v>0</v>
      </c>
      <c r="L291" t="n">
        <v>0</v>
      </c>
      <c r="M291" t="n">
        <v>0</v>
      </c>
      <c r="N291" t="n">
        <v>0</v>
      </c>
      <c r="O291" t="n">
        <v>0</v>
      </c>
      <c r="P291" t="n">
        <v>0</v>
      </c>
      <c r="Q291" t="n">
        <v>0</v>
      </c>
      <c r="R291" s="2" t="inlineStr"/>
    </row>
    <row r="292" ht="15" customHeight="1">
      <c r="A292" t="inlineStr">
        <is>
          <t>A 26453-2022</t>
        </is>
      </c>
      <c r="B292" s="1" t="n">
        <v>44739</v>
      </c>
      <c r="C292" s="1" t="n">
        <v>45881</v>
      </c>
      <c r="D292" t="inlineStr">
        <is>
          <t>VÄSTERNORRLANDS LÄN</t>
        </is>
      </c>
      <c r="E292" t="inlineStr">
        <is>
          <t>SUNDSVALL</t>
        </is>
      </c>
      <c r="G292" t="n">
        <v>0.4</v>
      </c>
      <c r="H292" t="n">
        <v>0</v>
      </c>
      <c r="I292" t="n">
        <v>0</v>
      </c>
      <c r="J292" t="n">
        <v>0</v>
      </c>
      <c r="K292" t="n">
        <v>0</v>
      </c>
      <c r="L292" t="n">
        <v>0</v>
      </c>
      <c r="M292" t="n">
        <v>0</v>
      </c>
      <c r="N292" t="n">
        <v>0</v>
      </c>
      <c r="O292" t="n">
        <v>0</v>
      </c>
      <c r="P292" t="n">
        <v>0</v>
      </c>
      <c r="Q292" t="n">
        <v>0</v>
      </c>
      <c r="R292" s="2" t="inlineStr"/>
    </row>
    <row r="293" ht="15" customHeight="1">
      <c r="A293" t="inlineStr">
        <is>
          <t>A 55345-2022</t>
        </is>
      </c>
      <c r="B293" s="1" t="n">
        <v>44882</v>
      </c>
      <c r="C293" s="1" t="n">
        <v>45881</v>
      </c>
      <c r="D293" t="inlineStr">
        <is>
          <t>VÄSTERNORRLANDS LÄN</t>
        </is>
      </c>
      <c r="E293" t="inlineStr">
        <is>
          <t>SUNDSVALL</t>
        </is>
      </c>
      <c r="G293" t="n">
        <v>0.8</v>
      </c>
      <c r="H293" t="n">
        <v>0</v>
      </c>
      <c r="I293" t="n">
        <v>0</v>
      </c>
      <c r="J293" t="n">
        <v>0</v>
      </c>
      <c r="K293" t="n">
        <v>0</v>
      </c>
      <c r="L293" t="n">
        <v>0</v>
      </c>
      <c r="M293" t="n">
        <v>0</v>
      </c>
      <c r="N293" t="n">
        <v>0</v>
      </c>
      <c r="O293" t="n">
        <v>0</v>
      </c>
      <c r="P293" t="n">
        <v>0</v>
      </c>
      <c r="Q293" t="n">
        <v>0</v>
      </c>
      <c r="R293" s="2" t="inlineStr"/>
    </row>
    <row r="294" ht="15" customHeight="1">
      <c r="A294" t="inlineStr">
        <is>
          <t>A 44603-2022</t>
        </is>
      </c>
      <c r="B294" s="1" t="n">
        <v>44839</v>
      </c>
      <c r="C294" s="1" t="n">
        <v>45881</v>
      </c>
      <c r="D294" t="inlineStr">
        <is>
          <t>VÄSTERNORRLANDS LÄN</t>
        </is>
      </c>
      <c r="E294" t="inlineStr">
        <is>
          <t>SUNDSVALL</t>
        </is>
      </c>
      <c r="G294" t="n">
        <v>1.5</v>
      </c>
      <c r="H294" t="n">
        <v>0</v>
      </c>
      <c r="I294" t="n">
        <v>0</v>
      </c>
      <c r="J294" t="n">
        <v>0</v>
      </c>
      <c r="K294" t="n">
        <v>0</v>
      </c>
      <c r="L294" t="n">
        <v>0</v>
      </c>
      <c r="M294" t="n">
        <v>0</v>
      </c>
      <c r="N294" t="n">
        <v>0</v>
      </c>
      <c r="O294" t="n">
        <v>0</v>
      </c>
      <c r="P294" t="n">
        <v>0</v>
      </c>
      <c r="Q294" t="n">
        <v>0</v>
      </c>
      <c r="R294" s="2" t="inlineStr"/>
    </row>
    <row r="295" ht="15" customHeight="1">
      <c r="A295" t="inlineStr">
        <is>
          <t>A 29535-2021</t>
        </is>
      </c>
      <c r="B295" s="1" t="n">
        <v>44361</v>
      </c>
      <c r="C295" s="1" t="n">
        <v>45881</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55019-2022</t>
        </is>
      </c>
      <c r="B296" s="1" t="n">
        <v>44881</v>
      </c>
      <c r="C296" s="1" t="n">
        <v>45881</v>
      </c>
      <c r="D296" t="inlineStr">
        <is>
          <t>VÄSTERNORRLANDS LÄN</t>
        </is>
      </c>
      <c r="E296" t="inlineStr">
        <is>
          <t>SUNDSVALL</t>
        </is>
      </c>
      <c r="G296" t="n">
        <v>4.3</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45881</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27948-2022</t>
        </is>
      </c>
      <c r="B298" s="1" t="n">
        <v>44743</v>
      </c>
      <c r="C298" s="1" t="n">
        <v>45881</v>
      </c>
      <c r="D298" t="inlineStr">
        <is>
          <t>VÄSTERNORRLANDS LÄN</t>
        </is>
      </c>
      <c r="E298" t="inlineStr">
        <is>
          <t>SUNDSVALL</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20698-2021</t>
        </is>
      </c>
      <c r="B299" s="1" t="n">
        <v>44316</v>
      </c>
      <c r="C299" s="1" t="n">
        <v>45881</v>
      </c>
      <c r="D299" t="inlineStr">
        <is>
          <t>VÄSTERNORRLANDS LÄN</t>
        </is>
      </c>
      <c r="E299" t="inlineStr">
        <is>
          <t>SUNDSVALL</t>
        </is>
      </c>
      <c r="G299" t="n">
        <v>5.2</v>
      </c>
      <c r="H299" t="n">
        <v>0</v>
      </c>
      <c r="I299" t="n">
        <v>0</v>
      </c>
      <c r="J299" t="n">
        <v>0</v>
      </c>
      <c r="K299" t="n">
        <v>0</v>
      </c>
      <c r="L299" t="n">
        <v>0</v>
      </c>
      <c r="M299" t="n">
        <v>0</v>
      </c>
      <c r="N299" t="n">
        <v>0</v>
      </c>
      <c r="O299" t="n">
        <v>0</v>
      </c>
      <c r="P299" t="n">
        <v>0</v>
      </c>
      <c r="Q299" t="n">
        <v>0</v>
      </c>
      <c r="R299" s="2" t="inlineStr"/>
    </row>
    <row r="300" ht="15" customHeight="1">
      <c r="A300" t="inlineStr">
        <is>
          <t>A 20713-2021</t>
        </is>
      </c>
      <c r="B300" s="1" t="n">
        <v>44316</v>
      </c>
      <c r="C300" s="1" t="n">
        <v>45881</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51585-2022</t>
        </is>
      </c>
      <c r="B301" s="1" t="n">
        <v>44870.95725694444</v>
      </c>
      <c r="C301" s="1" t="n">
        <v>45881</v>
      </c>
      <c r="D301" t="inlineStr">
        <is>
          <t>VÄSTERNORRLANDS LÄN</t>
        </is>
      </c>
      <c r="E301" t="inlineStr">
        <is>
          <t>SUNDSVALL</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65696-2021</t>
        </is>
      </c>
      <c r="B302" s="1" t="n">
        <v>44516</v>
      </c>
      <c r="C302" s="1" t="n">
        <v>45881</v>
      </c>
      <c r="D302" t="inlineStr">
        <is>
          <t>VÄSTERNORRLANDS LÄN</t>
        </is>
      </c>
      <c r="E302" t="inlineStr">
        <is>
          <t>SUNDSVALL</t>
        </is>
      </c>
      <c r="G302" t="n">
        <v>0.5</v>
      </c>
      <c r="H302" t="n">
        <v>0</v>
      </c>
      <c r="I302" t="n">
        <v>0</v>
      </c>
      <c r="J302" t="n">
        <v>0</v>
      </c>
      <c r="K302" t="n">
        <v>0</v>
      </c>
      <c r="L302" t="n">
        <v>0</v>
      </c>
      <c r="M302" t="n">
        <v>0</v>
      </c>
      <c r="N302" t="n">
        <v>0</v>
      </c>
      <c r="O302" t="n">
        <v>0</v>
      </c>
      <c r="P302" t="n">
        <v>0</v>
      </c>
      <c r="Q302" t="n">
        <v>0</v>
      </c>
      <c r="R302" s="2" t="inlineStr"/>
    </row>
    <row r="303" ht="15" customHeight="1">
      <c r="A303" t="inlineStr">
        <is>
          <t>A 29403-2021</t>
        </is>
      </c>
      <c r="B303" s="1" t="n">
        <v>44361</v>
      </c>
      <c r="C303" s="1" t="n">
        <v>45881</v>
      </c>
      <c r="D303" t="inlineStr">
        <is>
          <t>VÄSTERNORRLANDS LÄN</t>
        </is>
      </c>
      <c r="E303" t="inlineStr">
        <is>
          <t>SUNDSVALL</t>
        </is>
      </c>
      <c r="G303" t="n">
        <v>1</v>
      </c>
      <c r="H303" t="n">
        <v>0</v>
      </c>
      <c r="I303" t="n">
        <v>0</v>
      </c>
      <c r="J303" t="n">
        <v>0</v>
      </c>
      <c r="K303" t="n">
        <v>0</v>
      </c>
      <c r="L303" t="n">
        <v>0</v>
      </c>
      <c r="M303" t="n">
        <v>0</v>
      </c>
      <c r="N303" t="n">
        <v>0</v>
      </c>
      <c r="O303" t="n">
        <v>0</v>
      </c>
      <c r="P303" t="n">
        <v>0</v>
      </c>
      <c r="Q303" t="n">
        <v>0</v>
      </c>
      <c r="R303" s="2" t="inlineStr"/>
    </row>
    <row r="304" ht="15" customHeight="1">
      <c r="A304" t="inlineStr">
        <is>
          <t>A 35483-2022</t>
        </is>
      </c>
      <c r="B304" s="1" t="n">
        <v>44798.92721064815</v>
      </c>
      <c r="C304" s="1" t="n">
        <v>45881</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50500-2020</t>
        </is>
      </c>
      <c r="B305" s="1" t="n">
        <v>44110</v>
      </c>
      <c r="C305" s="1" t="n">
        <v>45881</v>
      </c>
      <c r="D305" t="inlineStr">
        <is>
          <t>VÄSTERNORRLANDS LÄN</t>
        </is>
      </c>
      <c r="E305" t="inlineStr">
        <is>
          <t>SUNDSVALL</t>
        </is>
      </c>
      <c r="F305" t="inlineStr">
        <is>
          <t>Kommuner</t>
        </is>
      </c>
      <c r="G305" t="n">
        <v>1.7</v>
      </c>
      <c r="H305" t="n">
        <v>0</v>
      </c>
      <c r="I305" t="n">
        <v>0</v>
      </c>
      <c r="J305" t="n">
        <v>0</v>
      </c>
      <c r="K305" t="n">
        <v>0</v>
      </c>
      <c r="L305" t="n">
        <v>0</v>
      </c>
      <c r="M305" t="n">
        <v>0</v>
      </c>
      <c r="N305" t="n">
        <v>0</v>
      </c>
      <c r="O305" t="n">
        <v>0</v>
      </c>
      <c r="P305" t="n">
        <v>0</v>
      </c>
      <c r="Q305" t="n">
        <v>0</v>
      </c>
      <c r="R305" s="2" t="inlineStr"/>
    </row>
    <row r="306" ht="15" customHeight="1">
      <c r="A306" t="inlineStr">
        <is>
          <t>A 33723-2022</t>
        </is>
      </c>
      <c r="B306" s="1" t="n">
        <v>44789.9271875</v>
      </c>
      <c r="C306" s="1" t="n">
        <v>45881</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6808-2022</t>
        </is>
      </c>
      <c r="B307" s="1" t="n">
        <v>44602</v>
      </c>
      <c r="C307" s="1" t="n">
        <v>45881</v>
      </c>
      <c r="D307" t="inlineStr">
        <is>
          <t>VÄSTERNORRLANDS LÄN</t>
        </is>
      </c>
      <c r="E307" t="inlineStr">
        <is>
          <t>SUNDSVALL</t>
        </is>
      </c>
      <c r="G307" t="n">
        <v>2.4</v>
      </c>
      <c r="H307" t="n">
        <v>0</v>
      </c>
      <c r="I307" t="n">
        <v>0</v>
      </c>
      <c r="J307" t="n">
        <v>0</v>
      </c>
      <c r="K307" t="n">
        <v>0</v>
      </c>
      <c r="L307" t="n">
        <v>0</v>
      </c>
      <c r="M307" t="n">
        <v>0</v>
      </c>
      <c r="N307" t="n">
        <v>0</v>
      </c>
      <c r="O307" t="n">
        <v>0</v>
      </c>
      <c r="P307" t="n">
        <v>0</v>
      </c>
      <c r="Q307" t="n">
        <v>0</v>
      </c>
      <c r="R307" s="2" t="inlineStr"/>
    </row>
    <row r="308" ht="15" customHeight="1">
      <c r="A308" t="inlineStr">
        <is>
          <t>A 49857-2022</t>
        </is>
      </c>
      <c r="B308" s="1" t="n">
        <v>44862</v>
      </c>
      <c r="C308" s="1" t="n">
        <v>45881</v>
      </c>
      <c r="D308" t="inlineStr">
        <is>
          <t>VÄSTERNORRLANDS LÄN</t>
        </is>
      </c>
      <c r="E308" t="inlineStr">
        <is>
          <t>SUNDSVALL</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45881</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55217-2022</t>
        </is>
      </c>
      <c r="B310" s="1" t="n">
        <v>44886.96212962963</v>
      </c>
      <c r="C310" s="1" t="n">
        <v>45881</v>
      </c>
      <c r="D310" t="inlineStr">
        <is>
          <t>VÄSTERNORRLANDS LÄN</t>
        </is>
      </c>
      <c r="E310" t="inlineStr">
        <is>
          <t>SUNDSVALL</t>
        </is>
      </c>
      <c r="F310" t="inlineStr">
        <is>
          <t>SCA</t>
        </is>
      </c>
      <c r="G310" t="n">
        <v>7.5</v>
      </c>
      <c r="H310" t="n">
        <v>0</v>
      </c>
      <c r="I310" t="n">
        <v>0</v>
      </c>
      <c r="J310" t="n">
        <v>0</v>
      </c>
      <c r="K310" t="n">
        <v>0</v>
      </c>
      <c r="L310" t="n">
        <v>0</v>
      </c>
      <c r="M310" t="n">
        <v>0</v>
      </c>
      <c r="N310" t="n">
        <v>0</v>
      </c>
      <c r="O310" t="n">
        <v>0</v>
      </c>
      <c r="P310" t="n">
        <v>0</v>
      </c>
      <c r="Q310" t="n">
        <v>0</v>
      </c>
      <c r="R310" s="2" t="inlineStr"/>
    </row>
    <row r="311" ht="15" customHeight="1">
      <c r="A311" t="inlineStr">
        <is>
          <t>A 45596-2020</t>
        </is>
      </c>
      <c r="B311" s="1" t="n">
        <v>44090</v>
      </c>
      <c r="C311" s="1" t="n">
        <v>45881</v>
      </c>
      <c r="D311" t="inlineStr">
        <is>
          <t>VÄSTERNORRLANDS LÄN</t>
        </is>
      </c>
      <c r="E311" t="inlineStr">
        <is>
          <t>SUNDSVALL</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66236-2020</t>
        </is>
      </c>
      <c r="B312" s="1" t="n">
        <v>44175</v>
      </c>
      <c r="C312" s="1" t="n">
        <v>45881</v>
      </c>
      <c r="D312" t="inlineStr">
        <is>
          <t>VÄSTERNORRLANDS LÄN</t>
        </is>
      </c>
      <c r="E312" t="inlineStr">
        <is>
          <t>SUNDSVALL</t>
        </is>
      </c>
      <c r="G312" t="n">
        <v>6.2</v>
      </c>
      <c r="H312" t="n">
        <v>0</v>
      </c>
      <c r="I312" t="n">
        <v>0</v>
      </c>
      <c r="J312" t="n">
        <v>0</v>
      </c>
      <c r="K312" t="n">
        <v>0</v>
      </c>
      <c r="L312" t="n">
        <v>0</v>
      </c>
      <c r="M312" t="n">
        <v>0</v>
      </c>
      <c r="N312" t="n">
        <v>0</v>
      </c>
      <c r="O312" t="n">
        <v>0</v>
      </c>
      <c r="P312" t="n">
        <v>0</v>
      </c>
      <c r="Q312" t="n">
        <v>0</v>
      </c>
      <c r="R312" s="2" t="inlineStr"/>
    </row>
    <row r="313" ht="15" customHeight="1">
      <c r="A313" t="inlineStr">
        <is>
          <t>A 42099-2020</t>
        </is>
      </c>
      <c r="B313" s="1" t="n">
        <v>44074</v>
      </c>
      <c r="C313" s="1" t="n">
        <v>45881</v>
      </c>
      <c r="D313" t="inlineStr">
        <is>
          <t>VÄSTERNORRLANDS LÄN</t>
        </is>
      </c>
      <c r="E313" t="inlineStr">
        <is>
          <t>SUNDSVALL</t>
        </is>
      </c>
      <c r="G313" t="n">
        <v>2.9</v>
      </c>
      <c r="H313" t="n">
        <v>0</v>
      </c>
      <c r="I313" t="n">
        <v>0</v>
      </c>
      <c r="J313" t="n">
        <v>0</v>
      </c>
      <c r="K313" t="n">
        <v>0</v>
      </c>
      <c r="L313" t="n">
        <v>0</v>
      </c>
      <c r="M313" t="n">
        <v>0</v>
      </c>
      <c r="N313" t="n">
        <v>0</v>
      </c>
      <c r="O313" t="n">
        <v>0</v>
      </c>
      <c r="P313" t="n">
        <v>0</v>
      </c>
      <c r="Q313" t="n">
        <v>0</v>
      </c>
      <c r="R313" s="2" t="inlineStr"/>
    </row>
    <row r="314" ht="15" customHeight="1">
      <c r="A314" t="inlineStr">
        <is>
          <t>A 44039-2021</t>
        </is>
      </c>
      <c r="B314" s="1" t="n">
        <v>44434</v>
      </c>
      <c r="C314" s="1" t="n">
        <v>45881</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68285-2020</t>
        </is>
      </c>
      <c r="B315" s="1" t="n">
        <v>44183</v>
      </c>
      <c r="C315" s="1" t="n">
        <v>45881</v>
      </c>
      <c r="D315" t="inlineStr">
        <is>
          <t>VÄSTERNORRLANDS LÄN</t>
        </is>
      </c>
      <c r="E315" t="inlineStr">
        <is>
          <t>SUNDSVALL</t>
        </is>
      </c>
      <c r="G315" t="n">
        <v>0.3</v>
      </c>
      <c r="H315" t="n">
        <v>0</v>
      </c>
      <c r="I315" t="n">
        <v>0</v>
      </c>
      <c r="J315" t="n">
        <v>0</v>
      </c>
      <c r="K315" t="n">
        <v>0</v>
      </c>
      <c r="L315" t="n">
        <v>0</v>
      </c>
      <c r="M315" t="n">
        <v>0</v>
      </c>
      <c r="N315" t="n">
        <v>0</v>
      </c>
      <c r="O315" t="n">
        <v>0</v>
      </c>
      <c r="P315" t="n">
        <v>0</v>
      </c>
      <c r="Q315" t="n">
        <v>0</v>
      </c>
      <c r="R315" s="2" t="inlineStr"/>
    </row>
    <row r="316" ht="15" customHeight="1">
      <c r="A316" t="inlineStr">
        <is>
          <t>A 49501-2020</t>
        </is>
      </c>
      <c r="B316" s="1" t="n">
        <v>44105.94542824074</v>
      </c>
      <c r="C316" s="1" t="n">
        <v>45881</v>
      </c>
      <c r="D316" t="inlineStr">
        <is>
          <t>VÄSTERNORRLANDS LÄN</t>
        </is>
      </c>
      <c r="E316" t="inlineStr">
        <is>
          <t>SUNDSVALL</t>
        </is>
      </c>
      <c r="G316" t="n">
        <v>5.4</v>
      </c>
      <c r="H316" t="n">
        <v>0</v>
      </c>
      <c r="I316" t="n">
        <v>0</v>
      </c>
      <c r="J316" t="n">
        <v>0</v>
      </c>
      <c r="K316" t="n">
        <v>0</v>
      </c>
      <c r="L316" t="n">
        <v>0</v>
      </c>
      <c r="M316" t="n">
        <v>0</v>
      </c>
      <c r="N316" t="n">
        <v>0</v>
      </c>
      <c r="O316" t="n">
        <v>0</v>
      </c>
      <c r="P316" t="n">
        <v>0</v>
      </c>
      <c r="Q316" t="n">
        <v>0</v>
      </c>
      <c r="R316" s="2" t="inlineStr"/>
    </row>
    <row r="317" ht="15" customHeight="1">
      <c r="A317" t="inlineStr">
        <is>
          <t>A 70873-2021</t>
        </is>
      </c>
      <c r="B317" s="1" t="n">
        <v>44538</v>
      </c>
      <c r="C317" s="1" t="n">
        <v>45881</v>
      </c>
      <c r="D317" t="inlineStr">
        <is>
          <t>VÄSTERNORRLANDS LÄN</t>
        </is>
      </c>
      <c r="E317" t="inlineStr">
        <is>
          <t>SUNDSVALL</t>
        </is>
      </c>
      <c r="G317" t="n">
        <v>3.9</v>
      </c>
      <c r="H317" t="n">
        <v>0</v>
      </c>
      <c r="I317" t="n">
        <v>0</v>
      </c>
      <c r="J317" t="n">
        <v>0</v>
      </c>
      <c r="K317" t="n">
        <v>0</v>
      </c>
      <c r="L317" t="n">
        <v>0</v>
      </c>
      <c r="M317" t="n">
        <v>0</v>
      </c>
      <c r="N317" t="n">
        <v>0</v>
      </c>
      <c r="O317" t="n">
        <v>0</v>
      </c>
      <c r="P317" t="n">
        <v>0</v>
      </c>
      <c r="Q317" t="n">
        <v>0</v>
      </c>
      <c r="R317" s="2" t="inlineStr"/>
    </row>
    <row r="318" ht="15" customHeight="1">
      <c r="A318" t="inlineStr">
        <is>
          <t>A 35004-2022</t>
        </is>
      </c>
      <c r="B318" s="1" t="n">
        <v>44796</v>
      </c>
      <c r="C318" s="1" t="n">
        <v>45881</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17379-2021</t>
        </is>
      </c>
      <c r="B319" s="1" t="n">
        <v>44298</v>
      </c>
      <c r="C319" s="1" t="n">
        <v>45881</v>
      </c>
      <c r="D319" t="inlineStr">
        <is>
          <t>VÄSTERNORRLANDS LÄN</t>
        </is>
      </c>
      <c r="E319" t="inlineStr">
        <is>
          <t>SUNDSVALL</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45506-2021</t>
        </is>
      </c>
      <c r="B320" s="1" t="n">
        <v>44440</v>
      </c>
      <c r="C320" s="1" t="n">
        <v>45881</v>
      </c>
      <c r="D320" t="inlineStr">
        <is>
          <t>VÄSTERNORRLANDS LÄN</t>
        </is>
      </c>
      <c r="E320" t="inlineStr">
        <is>
          <t>SUNDSVALL</t>
        </is>
      </c>
      <c r="G320" t="n">
        <v>2.5</v>
      </c>
      <c r="H320" t="n">
        <v>0</v>
      </c>
      <c r="I320" t="n">
        <v>0</v>
      </c>
      <c r="J320" t="n">
        <v>0</v>
      </c>
      <c r="K320" t="n">
        <v>0</v>
      </c>
      <c r="L320" t="n">
        <v>0</v>
      </c>
      <c r="M320" t="n">
        <v>0</v>
      </c>
      <c r="N320" t="n">
        <v>0</v>
      </c>
      <c r="O320" t="n">
        <v>0</v>
      </c>
      <c r="P320" t="n">
        <v>0</v>
      </c>
      <c r="Q320" t="n">
        <v>0</v>
      </c>
      <c r="R320" s="2" t="inlineStr"/>
    </row>
    <row r="321" ht="15" customHeight="1">
      <c r="A321" t="inlineStr">
        <is>
          <t>A 15726-2022</t>
        </is>
      </c>
      <c r="B321" s="1" t="n">
        <v>44663.49225694445</v>
      </c>
      <c r="C321" s="1" t="n">
        <v>45881</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67562-2021</t>
        </is>
      </c>
      <c r="B322" s="1" t="n">
        <v>44524</v>
      </c>
      <c r="C322" s="1" t="n">
        <v>45881</v>
      </c>
      <c r="D322" t="inlineStr">
        <is>
          <t>VÄSTERNORRLANDS LÄN</t>
        </is>
      </c>
      <c r="E322" t="inlineStr">
        <is>
          <t>SUNDSVALL</t>
        </is>
      </c>
      <c r="G322" t="n">
        <v>1.9</v>
      </c>
      <c r="H322" t="n">
        <v>0</v>
      </c>
      <c r="I322" t="n">
        <v>0</v>
      </c>
      <c r="J322" t="n">
        <v>0</v>
      </c>
      <c r="K322" t="n">
        <v>0</v>
      </c>
      <c r="L322" t="n">
        <v>0</v>
      </c>
      <c r="M322" t="n">
        <v>0</v>
      </c>
      <c r="N322" t="n">
        <v>0</v>
      </c>
      <c r="O322" t="n">
        <v>0</v>
      </c>
      <c r="P322" t="n">
        <v>0</v>
      </c>
      <c r="Q322" t="n">
        <v>0</v>
      </c>
      <c r="R322" s="2" t="inlineStr"/>
    </row>
    <row r="323" ht="15" customHeight="1">
      <c r="A323" t="inlineStr">
        <is>
          <t>A 19468-2022</t>
        </is>
      </c>
      <c r="B323" s="1" t="n">
        <v>44693</v>
      </c>
      <c r="C323" s="1" t="n">
        <v>45881</v>
      </c>
      <c r="D323" t="inlineStr">
        <is>
          <t>VÄSTERNORRLANDS LÄN</t>
        </is>
      </c>
      <c r="E323" t="inlineStr">
        <is>
          <t>SUNDSVALL</t>
        </is>
      </c>
      <c r="G323" t="n">
        <v>0.1</v>
      </c>
      <c r="H323" t="n">
        <v>0</v>
      </c>
      <c r="I323" t="n">
        <v>0</v>
      </c>
      <c r="J323" t="n">
        <v>0</v>
      </c>
      <c r="K323" t="n">
        <v>0</v>
      </c>
      <c r="L323" t="n">
        <v>0</v>
      </c>
      <c r="M323" t="n">
        <v>0</v>
      </c>
      <c r="N323" t="n">
        <v>0</v>
      </c>
      <c r="O323" t="n">
        <v>0</v>
      </c>
      <c r="P323" t="n">
        <v>0</v>
      </c>
      <c r="Q323" t="n">
        <v>0</v>
      </c>
      <c r="R323" s="2" t="inlineStr"/>
    </row>
    <row r="324" ht="15" customHeight="1">
      <c r="A324" t="inlineStr">
        <is>
          <t>A 57890-2020</t>
        </is>
      </c>
      <c r="B324" s="1" t="n">
        <v>44140</v>
      </c>
      <c r="C324" s="1" t="n">
        <v>45881</v>
      </c>
      <c r="D324" t="inlineStr">
        <is>
          <t>VÄSTERNORRLANDS LÄN</t>
        </is>
      </c>
      <c r="E324" t="inlineStr">
        <is>
          <t>SUNDSVALL</t>
        </is>
      </c>
      <c r="G324" t="n">
        <v>2.9</v>
      </c>
      <c r="H324" t="n">
        <v>0</v>
      </c>
      <c r="I324" t="n">
        <v>0</v>
      </c>
      <c r="J324" t="n">
        <v>0</v>
      </c>
      <c r="K324" t="n">
        <v>0</v>
      </c>
      <c r="L324" t="n">
        <v>0</v>
      </c>
      <c r="M324" t="n">
        <v>0</v>
      </c>
      <c r="N324" t="n">
        <v>0</v>
      </c>
      <c r="O324" t="n">
        <v>0</v>
      </c>
      <c r="P324" t="n">
        <v>0</v>
      </c>
      <c r="Q324" t="n">
        <v>0</v>
      </c>
      <c r="R324" s="2" t="inlineStr"/>
    </row>
    <row r="325" ht="15" customHeight="1">
      <c r="A325" t="inlineStr">
        <is>
          <t>A 72769-2021</t>
        </is>
      </c>
      <c r="B325" s="1" t="n">
        <v>44546.944375</v>
      </c>
      <c r="C325" s="1" t="n">
        <v>45881</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47249-2022</t>
        </is>
      </c>
      <c r="B326" s="1" t="n">
        <v>44852</v>
      </c>
      <c r="C326" s="1" t="n">
        <v>45881</v>
      </c>
      <c r="D326" t="inlineStr">
        <is>
          <t>VÄSTERNORRLANDS LÄN</t>
        </is>
      </c>
      <c r="E326" t="inlineStr">
        <is>
          <t>SUNDSVALL</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44610-2022</t>
        </is>
      </c>
      <c r="B327" s="1" t="n">
        <v>44839</v>
      </c>
      <c r="C327" s="1" t="n">
        <v>45881</v>
      </c>
      <c r="D327" t="inlineStr">
        <is>
          <t>VÄSTERNORRLANDS LÄN</t>
        </is>
      </c>
      <c r="E327" t="inlineStr">
        <is>
          <t>SUNDSVALL</t>
        </is>
      </c>
      <c r="G327" t="n">
        <v>15.2</v>
      </c>
      <c r="H327" t="n">
        <v>0</v>
      </c>
      <c r="I327" t="n">
        <v>0</v>
      </c>
      <c r="J327" t="n">
        <v>0</v>
      </c>
      <c r="K327" t="n">
        <v>0</v>
      </c>
      <c r="L327" t="n">
        <v>0</v>
      </c>
      <c r="M327" t="n">
        <v>0</v>
      </c>
      <c r="N327" t="n">
        <v>0</v>
      </c>
      <c r="O327" t="n">
        <v>0</v>
      </c>
      <c r="P327" t="n">
        <v>0</v>
      </c>
      <c r="Q327" t="n">
        <v>0</v>
      </c>
      <c r="R327" s="2" t="inlineStr"/>
    </row>
    <row r="328" ht="15" customHeight="1">
      <c r="A328" t="inlineStr">
        <is>
          <t>A 53932-2022</t>
        </is>
      </c>
      <c r="B328" s="1" t="n">
        <v>44880.95572916666</v>
      </c>
      <c r="C328" s="1" t="n">
        <v>45881</v>
      </c>
      <c r="D328" t="inlineStr">
        <is>
          <t>VÄSTERNORRLANDS LÄN</t>
        </is>
      </c>
      <c r="E328" t="inlineStr">
        <is>
          <t>SUNDSVALL</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43770-2022</t>
        </is>
      </c>
      <c r="B329" s="1" t="n">
        <v>44837</v>
      </c>
      <c r="C329" s="1" t="n">
        <v>45881</v>
      </c>
      <c r="D329" t="inlineStr">
        <is>
          <t>VÄSTERNORRLANDS LÄN</t>
        </is>
      </c>
      <c r="E329" t="inlineStr">
        <is>
          <t>SUNDSVALL</t>
        </is>
      </c>
      <c r="G329" t="n">
        <v>0.8</v>
      </c>
      <c r="H329" t="n">
        <v>0</v>
      </c>
      <c r="I329" t="n">
        <v>0</v>
      </c>
      <c r="J329" t="n">
        <v>0</v>
      </c>
      <c r="K329" t="n">
        <v>0</v>
      </c>
      <c r="L329" t="n">
        <v>0</v>
      </c>
      <c r="M329" t="n">
        <v>0</v>
      </c>
      <c r="N329" t="n">
        <v>0</v>
      </c>
      <c r="O329" t="n">
        <v>0</v>
      </c>
      <c r="P329" t="n">
        <v>0</v>
      </c>
      <c r="Q329" t="n">
        <v>0</v>
      </c>
      <c r="R329" s="2" t="inlineStr"/>
    </row>
    <row r="330" ht="15" customHeight="1">
      <c r="A330" t="inlineStr">
        <is>
          <t>A 47197-2022</t>
        </is>
      </c>
      <c r="B330" s="1" t="n">
        <v>44851</v>
      </c>
      <c r="C330" s="1" t="n">
        <v>45881</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25539-2021</t>
        </is>
      </c>
      <c r="B331" s="1" t="n">
        <v>44343.3071875</v>
      </c>
      <c r="C331" s="1" t="n">
        <v>45881</v>
      </c>
      <c r="D331" t="inlineStr">
        <is>
          <t>VÄSTERNORRLANDS LÄN</t>
        </is>
      </c>
      <c r="E331" t="inlineStr">
        <is>
          <t>SUNDSVALL</t>
        </is>
      </c>
      <c r="G331" t="n">
        <v>0.8</v>
      </c>
      <c r="H331" t="n">
        <v>0</v>
      </c>
      <c r="I331" t="n">
        <v>0</v>
      </c>
      <c r="J331" t="n">
        <v>0</v>
      </c>
      <c r="K331" t="n">
        <v>0</v>
      </c>
      <c r="L331" t="n">
        <v>0</v>
      </c>
      <c r="M331" t="n">
        <v>0</v>
      </c>
      <c r="N331" t="n">
        <v>0</v>
      </c>
      <c r="O331" t="n">
        <v>0</v>
      </c>
      <c r="P331" t="n">
        <v>0</v>
      </c>
      <c r="Q331" t="n">
        <v>0</v>
      </c>
      <c r="R331" s="2" t="inlineStr"/>
    </row>
    <row r="332" ht="15" customHeight="1">
      <c r="A332" t="inlineStr">
        <is>
          <t>A 63464-2021</t>
        </is>
      </c>
      <c r="B332" s="1" t="n">
        <v>44504</v>
      </c>
      <c r="C332" s="1" t="n">
        <v>45881</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67474-2021</t>
        </is>
      </c>
      <c r="B333" s="1" t="n">
        <v>44524</v>
      </c>
      <c r="C333" s="1" t="n">
        <v>45881</v>
      </c>
      <c r="D333" t="inlineStr">
        <is>
          <t>VÄSTERNORRLANDS LÄN</t>
        </is>
      </c>
      <c r="E333" t="inlineStr">
        <is>
          <t>SUNDSVALL</t>
        </is>
      </c>
      <c r="G333" t="n">
        <v>8</v>
      </c>
      <c r="H333" t="n">
        <v>0</v>
      </c>
      <c r="I333" t="n">
        <v>0</v>
      </c>
      <c r="J333" t="n">
        <v>0</v>
      </c>
      <c r="K333" t="n">
        <v>0</v>
      </c>
      <c r="L333" t="n">
        <v>0</v>
      </c>
      <c r="M333" t="n">
        <v>0</v>
      </c>
      <c r="N333" t="n">
        <v>0</v>
      </c>
      <c r="O333" t="n">
        <v>0</v>
      </c>
      <c r="P333" t="n">
        <v>0</v>
      </c>
      <c r="Q333" t="n">
        <v>0</v>
      </c>
      <c r="R333" s="2" t="inlineStr"/>
    </row>
    <row r="334" ht="15" customHeight="1">
      <c r="A334" t="inlineStr">
        <is>
          <t>A 16424-2021</t>
        </is>
      </c>
      <c r="B334" s="1" t="n">
        <v>44292</v>
      </c>
      <c r="C334" s="1" t="n">
        <v>45881</v>
      </c>
      <c r="D334" t="inlineStr">
        <is>
          <t>VÄSTERNORRLANDS LÄN</t>
        </is>
      </c>
      <c r="E334" t="inlineStr">
        <is>
          <t>SUNDSVALL</t>
        </is>
      </c>
      <c r="G334" t="n">
        <v>0.2</v>
      </c>
      <c r="H334" t="n">
        <v>0</v>
      </c>
      <c r="I334" t="n">
        <v>0</v>
      </c>
      <c r="J334" t="n">
        <v>0</v>
      </c>
      <c r="K334" t="n">
        <v>0</v>
      </c>
      <c r="L334" t="n">
        <v>0</v>
      </c>
      <c r="M334" t="n">
        <v>0</v>
      </c>
      <c r="N334" t="n">
        <v>0</v>
      </c>
      <c r="O334" t="n">
        <v>0</v>
      </c>
      <c r="P334" t="n">
        <v>0</v>
      </c>
      <c r="Q334" t="n">
        <v>0</v>
      </c>
      <c r="R334" s="2" t="inlineStr"/>
    </row>
    <row r="335" ht="15" customHeight="1">
      <c r="A335" t="inlineStr">
        <is>
          <t>A 31510-2021</t>
        </is>
      </c>
      <c r="B335" s="1" t="n">
        <v>44369.45827546297</v>
      </c>
      <c r="C335" s="1" t="n">
        <v>45881</v>
      </c>
      <c r="D335" t="inlineStr">
        <is>
          <t>VÄSTERNORRLANDS LÄN</t>
        </is>
      </c>
      <c r="E335" t="inlineStr">
        <is>
          <t>SUNDSVALL</t>
        </is>
      </c>
      <c r="G335" t="n">
        <v>1.4</v>
      </c>
      <c r="H335" t="n">
        <v>0</v>
      </c>
      <c r="I335" t="n">
        <v>0</v>
      </c>
      <c r="J335" t="n">
        <v>0</v>
      </c>
      <c r="K335" t="n">
        <v>0</v>
      </c>
      <c r="L335" t="n">
        <v>0</v>
      </c>
      <c r="M335" t="n">
        <v>0</v>
      </c>
      <c r="N335" t="n">
        <v>0</v>
      </c>
      <c r="O335" t="n">
        <v>0</v>
      </c>
      <c r="P335" t="n">
        <v>0</v>
      </c>
      <c r="Q335" t="n">
        <v>0</v>
      </c>
      <c r="R335" s="2" t="inlineStr"/>
    </row>
    <row r="336" ht="15" customHeight="1">
      <c r="A336" t="inlineStr">
        <is>
          <t>A 66872-2021</t>
        </is>
      </c>
      <c r="B336" s="1" t="n">
        <v>44522</v>
      </c>
      <c r="C336" s="1" t="n">
        <v>45881</v>
      </c>
      <c r="D336" t="inlineStr">
        <is>
          <t>VÄSTERNORRLANDS LÄN</t>
        </is>
      </c>
      <c r="E336" t="inlineStr">
        <is>
          <t>SUNDSVALL</t>
        </is>
      </c>
      <c r="G336" t="n">
        <v>4.3</v>
      </c>
      <c r="H336" t="n">
        <v>0</v>
      </c>
      <c r="I336" t="n">
        <v>0</v>
      </c>
      <c r="J336" t="n">
        <v>0</v>
      </c>
      <c r="K336" t="n">
        <v>0</v>
      </c>
      <c r="L336" t="n">
        <v>0</v>
      </c>
      <c r="M336" t="n">
        <v>0</v>
      </c>
      <c r="N336" t="n">
        <v>0</v>
      </c>
      <c r="O336" t="n">
        <v>0</v>
      </c>
      <c r="P336" t="n">
        <v>0</v>
      </c>
      <c r="Q336" t="n">
        <v>0</v>
      </c>
      <c r="R336" s="2" t="inlineStr"/>
    </row>
    <row r="337" ht="15" customHeight="1">
      <c r="A337" t="inlineStr">
        <is>
          <t>A 45099-2020</t>
        </is>
      </c>
      <c r="B337" s="1" t="n">
        <v>44088</v>
      </c>
      <c r="C337" s="1" t="n">
        <v>45881</v>
      </c>
      <c r="D337" t="inlineStr">
        <is>
          <t>VÄSTERNORRLANDS LÄN</t>
        </is>
      </c>
      <c r="E337" t="inlineStr">
        <is>
          <t>SUNDSVALL</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57533-2021</t>
        </is>
      </c>
      <c r="B338" s="1" t="n">
        <v>44483.92024305555</v>
      </c>
      <c r="C338" s="1" t="n">
        <v>45881</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48705-2021</t>
        </is>
      </c>
      <c r="B339" s="1" t="n">
        <v>44452</v>
      </c>
      <c r="C339" s="1" t="n">
        <v>45881</v>
      </c>
      <c r="D339" t="inlineStr">
        <is>
          <t>VÄSTERNORRLANDS LÄN</t>
        </is>
      </c>
      <c r="E339" t="inlineStr">
        <is>
          <t>SUNDSVALL</t>
        </is>
      </c>
      <c r="G339" t="n">
        <v>0.1</v>
      </c>
      <c r="H339" t="n">
        <v>0</v>
      </c>
      <c r="I339" t="n">
        <v>0</v>
      </c>
      <c r="J339" t="n">
        <v>0</v>
      </c>
      <c r="K339" t="n">
        <v>0</v>
      </c>
      <c r="L339" t="n">
        <v>0</v>
      </c>
      <c r="M339" t="n">
        <v>0</v>
      </c>
      <c r="N339" t="n">
        <v>0</v>
      </c>
      <c r="O339" t="n">
        <v>0</v>
      </c>
      <c r="P339" t="n">
        <v>0</v>
      </c>
      <c r="Q339" t="n">
        <v>0</v>
      </c>
      <c r="R339" s="2" t="inlineStr"/>
    </row>
    <row r="340" ht="15" customHeight="1">
      <c r="A340" t="inlineStr">
        <is>
          <t>A 43299-2020</t>
        </is>
      </c>
      <c r="B340" s="1" t="n">
        <v>44081</v>
      </c>
      <c r="C340" s="1" t="n">
        <v>45881</v>
      </c>
      <c r="D340" t="inlineStr">
        <is>
          <t>VÄSTERNORRLANDS LÄN</t>
        </is>
      </c>
      <c r="E340" t="inlineStr">
        <is>
          <t>SUNDSVALL</t>
        </is>
      </c>
      <c r="G340" t="n">
        <v>2.6</v>
      </c>
      <c r="H340" t="n">
        <v>0</v>
      </c>
      <c r="I340" t="n">
        <v>0</v>
      </c>
      <c r="J340" t="n">
        <v>0</v>
      </c>
      <c r="K340" t="n">
        <v>0</v>
      </c>
      <c r="L340" t="n">
        <v>0</v>
      </c>
      <c r="M340" t="n">
        <v>0</v>
      </c>
      <c r="N340" t="n">
        <v>0</v>
      </c>
      <c r="O340" t="n">
        <v>0</v>
      </c>
      <c r="P340" t="n">
        <v>0</v>
      </c>
      <c r="Q340" t="n">
        <v>0</v>
      </c>
      <c r="R340" s="2" t="inlineStr"/>
    </row>
    <row r="341" ht="15" customHeight="1">
      <c r="A341" t="inlineStr">
        <is>
          <t>A 36694-2022</t>
        </is>
      </c>
      <c r="B341" s="1" t="n">
        <v>44804.94784722223</v>
      </c>
      <c r="C341" s="1" t="n">
        <v>45881</v>
      </c>
      <c r="D341" t="inlineStr">
        <is>
          <t>VÄSTERNORRLANDS LÄN</t>
        </is>
      </c>
      <c r="E341" t="inlineStr">
        <is>
          <t>SUNDSVALL</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29468-2021</t>
        </is>
      </c>
      <c r="B342" s="1" t="n">
        <v>44361</v>
      </c>
      <c r="C342" s="1" t="n">
        <v>45881</v>
      </c>
      <c r="D342" t="inlineStr">
        <is>
          <t>VÄSTERNORRLANDS LÄN</t>
        </is>
      </c>
      <c r="E342" t="inlineStr">
        <is>
          <t>SUNDSVALL</t>
        </is>
      </c>
      <c r="G342" t="n">
        <v>2.5</v>
      </c>
      <c r="H342" t="n">
        <v>0</v>
      </c>
      <c r="I342" t="n">
        <v>0</v>
      </c>
      <c r="J342" t="n">
        <v>0</v>
      </c>
      <c r="K342" t="n">
        <v>0</v>
      </c>
      <c r="L342" t="n">
        <v>0</v>
      </c>
      <c r="M342" t="n">
        <v>0</v>
      </c>
      <c r="N342" t="n">
        <v>0</v>
      </c>
      <c r="O342" t="n">
        <v>0</v>
      </c>
      <c r="P342" t="n">
        <v>0</v>
      </c>
      <c r="Q342" t="n">
        <v>0</v>
      </c>
      <c r="R342" s="2" t="inlineStr"/>
    </row>
    <row r="343" ht="15" customHeight="1">
      <c r="A343" t="inlineStr">
        <is>
          <t>A 29576-2021</t>
        </is>
      </c>
      <c r="B343" s="1" t="n">
        <v>44361</v>
      </c>
      <c r="C343" s="1" t="n">
        <v>45881</v>
      </c>
      <c r="D343" t="inlineStr">
        <is>
          <t>VÄSTERNORRLANDS LÄN</t>
        </is>
      </c>
      <c r="E343" t="inlineStr">
        <is>
          <t>SUNDSVALL</t>
        </is>
      </c>
      <c r="G343" t="n">
        <v>2</v>
      </c>
      <c r="H343" t="n">
        <v>0</v>
      </c>
      <c r="I343" t="n">
        <v>0</v>
      </c>
      <c r="J343" t="n">
        <v>0</v>
      </c>
      <c r="K343" t="n">
        <v>0</v>
      </c>
      <c r="L343" t="n">
        <v>0</v>
      </c>
      <c r="M343" t="n">
        <v>0</v>
      </c>
      <c r="N343" t="n">
        <v>0</v>
      </c>
      <c r="O343" t="n">
        <v>0</v>
      </c>
      <c r="P343" t="n">
        <v>0</v>
      </c>
      <c r="Q343" t="n">
        <v>0</v>
      </c>
      <c r="R343" s="2" t="inlineStr"/>
    </row>
    <row r="344" ht="15" customHeight="1">
      <c r="A344" t="inlineStr">
        <is>
          <t>A 32183-2021</t>
        </is>
      </c>
      <c r="B344" s="1" t="n">
        <v>44371</v>
      </c>
      <c r="C344" s="1" t="n">
        <v>45881</v>
      </c>
      <c r="D344" t="inlineStr">
        <is>
          <t>VÄSTERNORRLANDS LÄN</t>
        </is>
      </c>
      <c r="E344" t="inlineStr">
        <is>
          <t>SUNDSVALL</t>
        </is>
      </c>
      <c r="G344" t="n">
        <v>1.7</v>
      </c>
      <c r="H344" t="n">
        <v>0</v>
      </c>
      <c r="I344" t="n">
        <v>0</v>
      </c>
      <c r="J344" t="n">
        <v>0</v>
      </c>
      <c r="K344" t="n">
        <v>0</v>
      </c>
      <c r="L344" t="n">
        <v>0</v>
      </c>
      <c r="M344" t="n">
        <v>0</v>
      </c>
      <c r="N344" t="n">
        <v>0</v>
      </c>
      <c r="O344" t="n">
        <v>0</v>
      </c>
      <c r="P344" t="n">
        <v>0</v>
      </c>
      <c r="Q344" t="n">
        <v>0</v>
      </c>
      <c r="R344" s="2" t="inlineStr"/>
    </row>
    <row r="345" ht="15" customHeight="1">
      <c r="A345" t="inlineStr">
        <is>
          <t>A 41469-2021</t>
        </is>
      </c>
      <c r="B345" s="1" t="n">
        <v>44424</v>
      </c>
      <c r="C345" s="1" t="n">
        <v>45881</v>
      </c>
      <c r="D345" t="inlineStr">
        <is>
          <t>VÄSTERNORRLANDS LÄN</t>
        </is>
      </c>
      <c r="E345" t="inlineStr">
        <is>
          <t>SUNDSVALL</t>
        </is>
      </c>
      <c r="G345" t="n">
        <v>3.3</v>
      </c>
      <c r="H345" t="n">
        <v>0</v>
      </c>
      <c r="I345" t="n">
        <v>0</v>
      </c>
      <c r="J345" t="n">
        <v>0</v>
      </c>
      <c r="K345" t="n">
        <v>0</v>
      </c>
      <c r="L345" t="n">
        <v>0</v>
      </c>
      <c r="M345" t="n">
        <v>0</v>
      </c>
      <c r="N345" t="n">
        <v>0</v>
      </c>
      <c r="O345" t="n">
        <v>0</v>
      </c>
      <c r="P345" t="n">
        <v>0</v>
      </c>
      <c r="Q345" t="n">
        <v>0</v>
      </c>
      <c r="R345" s="2" t="inlineStr"/>
    </row>
    <row r="346" ht="15" customHeight="1">
      <c r="A346" t="inlineStr">
        <is>
          <t>A 62080-2021</t>
        </is>
      </c>
      <c r="B346" s="1" t="n">
        <v>44502</v>
      </c>
      <c r="C346" s="1" t="n">
        <v>45881</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32285-2021</t>
        </is>
      </c>
      <c r="B347" s="1" t="n">
        <v>44371</v>
      </c>
      <c r="C347" s="1" t="n">
        <v>45881</v>
      </c>
      <c r="D347" t="inlineStr">
        <is>
          <t>VÄSTERNORRLANDS LÄN</t>
        </is>
      </c>
      <c r="E347" t="inlineStr">
        <is>
          <t>SUNDSVALL</t>
        </is>
      </c>
      <c r="G347" t="n">
        <v>3.9</v>
      </c>
      <c r="H347" t="n">
        <v>0</v>
      </c>
      <c r="I347" t="n">
        <v>0</v>
      </c>
      <c r="J347" t="n">
        <v>0</v>
      </c>
      <c r="K347" t="n">
        <v>0</v>
      </c>
      <c r="L347" t="n">
        <v>0</v>
      </c>
      <c r="M347" t="n">
        <v>0</v>
      </c>
      <c r="N347" t="n">
        <v>0</v>
      </c>
      <c r="O347" t="n">
        <v>0</v>
      </c>
      <c r="P347" t="n">
        <v>0</v>
      </c>
      <c r="Q347" t="n">
        <v>0</v>
      </c>
      <c r="R347" s="2" t="inlineStr"/>
    </row>
    <row r="348" ht="15" customHeight="1">
      <c r="A348" t="inlineStr">
        <is>
          <t>A 41800-2022</t>
        </is>
      </c>
      <c r="B348" s="1" t="n">
        <v>44827.9250462963</v>
      </c>
      <c r="C348" s="1" t="n">
        <v>45881</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55594-2021</t>
        </is>
      </c>
      <c r="B349" s="1" t="n">
        <v>44475</v>
      </c>
      <c r="C349" s="1" t="n">
        <v>45881</v>
      </c>
      <c r="D349" t="inlineStr">
        <is>
          <t>VÄSTERNORRLANDS LÄN</t>
        </is>
      </c>
      <c r="E349" t="inlineStr">
        <is>
          <t>SUNDSVALL</t>
        </is>
      </c>
      <c r="G349" t="n">
        <v>1.5</v>
      </c>
      <c r="H349" t="n">
        <v>0</v>
      </c>
      <c r="I349" t="n">
        <v>0</v>
      </c>
      <c r="J349" t="n">
        <v>0</v>
      </c>
      <c r="K349" t="n">
        <v>0</v>
      </c>
      <c r="L349" t="n">
        <v>0</v>
      </c>
      <c r="M349" t="n">
        <v>0</v>
      </c>
      <c r="N349" t="n">
        <v>0</v>
      </c>
      <c r="O349" t="n">
        <v>0</v>
      </c>
      <c r="P349" t="n">
        <v>0</v>
      </c>
      <c r="Q349" t="n">
        <v>0</v>
      </c>
      <c r="R349" s="2" t="inlineStr"/>
    </row>
    <row r="350" ht="15" customHeight="1">
      <c r="A350" t="inlineStr">
        <is>
          <t>A 49497-2020</t>
        </is>
      </c>
      <c r="B350" s="1" t="n">
        <v>44105</v>
      </c>
      <c r="C350" s="1" t="n">
        <v>45881</v>
      </c>
      <c r="D350" t="inlineStr">
        <is>
          <t>VÄSTERNORRLANDS LÄN</t>
        </is>
      </c>
      <c r="E350" t="inlineStr">
        <is>
          <t>SUNDSVALL</t>
        </is>
      </c>
      <c r="G350" t="n">
        <v>2.1</v>
      </c>
      <c r="H350" t="n">
        <v>0</v>
      </c>
      <c r="I350" t="n">
        <v>0</v>
      </c>
      <c r="J350" t="n">
        <v>0</v>
      </c>
      <c r="K350" t="n">
        <v>0</v>
      </c>
      <c r="L350" t="n">
        <v>0</v>
      </c>
      <c r="M350" t="n">
        <v>0</v>
      </c>
      <c r="N350" t="n">
        <v>0</v>
      </c>
      <c r="O350" t="n">
        <v>0</v>
      </c>
      <c r="P350" t="n">
        <v>0</v>
      </c>
      <c r="Q350" t="n">
        <v>0</v>
      </c>
      <c r="R350" s="2" t="inlineStr"/>
    </row>
    <row r="351" ht="15" customHeight="1">
      <c r="A351" t="inlineStr">
        <is>
          <t>A 43199-2021</t>
        </is>
      </c>
      <c r="B351" s="1" t="n">
        <v>44431.91931712963</v>
      </c>
      <c r="C351" s="1" t="n">
        <v>45881</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48705-2021</t>
        </is>
      </c>
      <c r="B352" s="1" t="n">
        <v>44452</v>
      </c>
      <c r="C352" s="1" t="n">
        <v>45881</v>
      </c>
      <c r="D352" t="inlineStr">
        <is>
          <t>VÄSTERNORRLANDS LÄN</t>
        </is>
      </c>
      <c r="E352" t="inlineStr">
        <is>
          <t>SUNDSVALL</t>
        </is>
      </c>
      <c r="G352" t="n">
        <v>3.1</v>
      </c>
      <c r="H352" t="n">
        <v>0</v>
      </c>
      <c r="I352" t="n">
        <v>0</v>
      </c>
      <c r="J352" t="n">
        <v>0</v>
      </c>
      <c r="K352" t="n">
        <v>0</v>
      </c>
      <c r="L352" t="n">
        <v>0</v>
      </c>
      <c r="M352" t="n">
        <v>0</v>
      </c>
      <c r="N352" t="n">
        <v>0</v>
      </c>
      <c r="O352" t="n">
        <v>0</v>
      </c>
      <c r="P352" t="n">
        <v>0</v>
      </c>
      <c r="Q352" t="n">
        <v>0</v>
      </c>
      <c r="R352" s="2" t="inlineStr"/>
    </row>
    <row r="353" ht="15" customHeight="1">
      <c r="A353" t="inlineStr">
        <is>
          <t>A 53289-2022</t>
        </is>
      </c>
      <c r="B353" s="1" t="n">
        <v>44876.95109953704</v>
      </c>
      <c r="C353" s="1" t="n">
        <v>45881</v>
      </c>
      <c r="D353" t="inlineStr">
        <is>
          <t>VÄSTERNORRLANDS LÄN</t>
        </is>
      </c>
      <c r="E353" t="inlineStr">
        <is>
          <t>SUNDSVALL</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54993-2022</t>
        </is>
      </c>
      <c r="B354" s="1" t="n">
        <v>44881</v>
      </c>
      <c r="C354" s="1" t="n">
        <v>45881</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45005-2020</t>
        </is>
      </c>
      <c r="B355" s="1" t="n">
        <v>44088</v>
      </c>
      <c r="C355" s="1" t="n">
        <v>45881</v>
      </c>
      <c r="D355" t="inlineStr">
        <is>
          <t>VÄSTERNORRLANDS LÄN</t>
        </is>
      </c>
      <c r="E355" t="inlineStr">
        <is>
          <t>SUNDSVALL</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25980-2021</t>
        </is>
      </c>
      <c r="B356" s="1" t="n">
        <v>44344.56225694445</v>
      </c>
      <c r="C356" s="1" t="n">
        <v>45881</v>
      </c>
      <c r="D356" t="inlineStr">
        <is>
          <t>VÄSTERNORRLANDS LÄN</t>
        </is>
      </c>
      <c r="E356" t="inlineStr">
        <is>
          <t>SUNDSVALL</t>
        </is>
      </c>
      <c r="G356" t="n">
        <v>1.7</v>
      </c>
      <c r="H356" t="n">
        <v>0</v>
      </c>
      <c r="I356" t="n">
        <v>0</v>
      </c>
      <c r="J356" t="n">
        <v>0</v>
      </c>
      <c r="K356" t="n">
        <v>0</v>
      </c>
      <c r="L356" t="n">
        <v>0</v>
      </c>
      <c r="M356" t="n">
        <v>0</v>
      </c>
      <c r="N356" t="n">
        <v>0</v>
      </c>
      <c r="O356" t="n">
        <v>0</v>
      </c>
      <c r="P356" t="n">
        <v>0</v>
      </c>
      <c r="Q356" t="n">
        <v>0</v>
      </c>
      <c r="R356" s="2" t="inlineStr"/>
    </row>
    <row r="357" ht="15" customHeight="1">
      <c r="A357" t="inlineStr">
        <is>
          <t>A 28829-2021</t>
        </is>
      </c>
      <c r="B357" s="1" t="n">
        <v>44357</v>
      </c>
      <c r="C357" s="1" t="n">
        <v>45881</v>
      </c>
      <c r="D357" t="inlineStr">
        <is>
          <t>VÄSTERNORRLANDS LÄN</t>
        </is>
      </c>
      <c r="E357" t="inlineStr">
        <is>
          <t>SUNDSVALL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21427-2021</t>
        </is>
      </c>
      <c r="B358" s="1" t="n">
        <v>44320</v>
      </c>
      <c r="C358" s="1" t="n">
        <v>45881</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24505-2021</t>
        </is>
      </c>
      <c r="B359" s="1" t="n">
        <v>44337.92274305555</v>
      </c>
      <c r="C359" s="1" t="n">
        <v>45881</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66191-2021</t>
        </is>
      </c>
      <c r="B360" s="1" t="n">
        <v>44517</v>
      </c>
      <c r="C360" s="1" t="n">
        <v>45881</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65597-2021</t>
        </is>
      </c>
      <c r="B361" s="1" t="n">
        <v>44516</v>
      </c>
      <c r="C361" s="1" t="n">
        <v>45881</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38754-2020</t>
        </is>
      </c>
      <c r="B362" s="1" t="n">
        <v>44061</v>
      </c>
      <c r="C362" s="1" t="n">
        <v>45881</v>
      </c>
      <c r="D362" t="inlineStr">
        <is>
          <t>VÄSTERNORRLANDS LÄN</t>
        </is>
      </c>
      <c r="E362" t="inlineStr">
        <is>
          <t>SUNDSVALL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63163-2021</t>
        </is>
      </c>
      <c r="B363" s="1" t="n">
        <v>44505</v>
      </c>
      <c r="C363" s="1" t="n">
        <v>45881</v>
      </c>
      <c r="D363" t="inlineStr">
        <is>
          <t>VÄSTERNORRLANDS LÄN</t>
        </is>
      </c>
      <c r="E363" t="inlineStr">
        <is>
          <t>SUNDSVALL</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45881</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40160-2021</t>
        </is>
      </c>
      <c r="B365" s="1" t="n">
        <v>44418.6568287037</v>
      </c>
      <c r="C365" s="1" t="n">
        <v>45881</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19178-2022</t>
        </is>
      </c>
      <c r="B366" s="1" t="n">
        <v>44691</v>
      </c>
      <c r="C366" s="1" t="n">
        <v>45881</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1335-2022</t>
        </is>
      </c>
      <c r="B367" s="1" t="n">
        <v>44572.92060185185</v>
      </c>
      <c r="C367" s="1" t="n">
        <v>45881</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62294-2020</t>
        </is>
      </c>
      <c r="B368" s="1" t="n">
        <v>44160</v>
      </c>
      <c r="C368" s="1" t="n">
        <v>45881</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38852-2020</t>
        </is>
      </c>
      <c r="B369" s="1" t="n">
        <v>44062</v>
      </c>
      <c r="C369" s="1" t="n">
        <v>45881</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38863-2020</t>
        </is>
      </c>
      <c r="B370" s="1" t="n">
        <v>44062</v>
      </c>
      <c r="C370" s="1" t="n">
        <v>45881</v>
      </c>
      <c r="D370" t="inlineStr">
        <is>
          <t>VÄSTERNORRLANDS LÄN</t>
        </is>
      </c>
      <c r="E370" t="inlineStr">
        <is>
          <t>SUNDSVALL</t>
        </is>
      </c>
      <c r="G370" t="n">
        <v>1.2</v>
      </c>
      <c r="H370" t="n">
        <v>0</v>
      </c>
      <c r="I370" t="n">
        <v>0</v>
      </c>
      <c r="J370" t="n">
        <v>0</v>
      </c>
      <c r="K370" t="n">
        <v>0</v>
      </c>
      <c r="L370" t="n">
        <v>0</v>
      </c>
      <c r="M370" t="n">
        <v>0</v>
      </c>
      <c r="N370" t="n">
        <v>0</v>
      </c>
      <c r="O370" t="n">
        <v>0</v>
      </c>
      <c r="P370" t="n">
        <v>0</v>
      </c>
      <c r="Q370" t="n">
        <v>0</v>
      </c>
      <c r="R370" s="2" t="inlineStr"/>
    </row>
    <row r="371" ht="15" customHeight="1">
      <c r="A371" t="inlineStr">
        <is>
          <t>A 39503-2021</t>
        </is>
      </c>
      <c r="B371" s="1" t="n">
        <v>44414</v>
      </c>
      <c r="C371" s="1" t="n">
        <v>45881</v>
      </c>
      <c r="D371" t="inlineStr">
        <is>
          <t>VÄSTERNORRLANDS LÄN</t>
        </is>
      </c>
      <c r="E371" t="inlineStr">
        <is>
          <t>SUNDSVALL</t>
        </is>
      </c>
      <c r="G371" t="n">
        <v>0.8</v>
      </c>
      <c r="H371" t="n">
        <v>0</v>
      </c>
      <c r="I371" t="n">
        <v>0</v>
      </c>
      <c r="J371" t="n">
        <v>0</v>
      </c>
      <c r="K371" t="n">
        <v>0</v>
      </c>
      <c r="L371" t="n">
        <v>0</v>
      </c>
      <c r="M371" t="n">
        <v>0</v>
      </c>
      <c r="N371" t="n">
        <v>0</v>
      </c>
      <c r="O371" t="n">
        <v>0</v>
      </c>
      <c r="P371" t="n">
        <v>0</v>
      </c>
      <c r="Q371" t="n">
        <v>0</v>
      </c>
      <c r="R371" s="2" t="inlineStr"/>
    </row>
    <row r="372" ht="15" customHeight="1">
      <c r="A372" t="inlineStr">
        <is>
          <t>A 47914-2021</t>
        </is>
      </c>
      <c r="B372" s="1" t="n">
        <v>44448.92056712963</v>
      </c>
      <c r="C372" s="1" t="n">
        <v>45881</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55161-2021</t>
        </is>
      </c>
      <c r="B373" s="1" t="n">
        <v>44474.92077546296</v>
      </c>
      <c r="C373" s="1" t="n">
        <v>45881</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34612-2021</t>
        </is>
      </c>
      <c r="B374" s="1" t="n">
        <v>44379</v>
      </c>
      <c r="C374" s="1" t="n">
        <v>45881</v>
      </c>
      <c r="D374" t="inlineStr">
        <is>
          <t>VÄSTERNORRLANDS LÄN</t>
        </is>
      </c>
      <c r="E374" t="inlineStr">
        <is>
          <t>SUNDSVALL</t>
        </is>
      </c>
      <c r="G374" t="n">
        <v>0.4</v>
      </c>
      <c r="H374" t="n">
        <v>0</v>
      </c>
      <c r="I374" t="n">
        <v>0</v>
      </c>
      <c r="J374" t="n">
        <v>0</v>
      </c>
      <c r="K374" t="n">
        <v>0</v>
      </c>
      <c r="L374" t="n">
        <v>0</v>
      </c>
      <c r="M374" t="n">
        <v>0</v>
      </c>
      <c r="N374" t="n">
        <v>0</v>
      </c>
      <c r="O374" t="n">
        <v>0</v>
      </c>
      <c r="P374" t="n">
        <v>0</v>
      </c>
      <c r="Q374" t="n">
        <v>0</v>
      </c>
      <c r="R374" s="2" t="inlineStr"/>
    </row>
    <row r="375" ht="15" customHeight="1">
      <c r="A375" t="inlineStr">
        <is>
          <t>A 34643-2021</t>
        </is>
      </c>
      <c r="B375" s="1" t="n">
        <v>44379</v>
      </c>
      <c r="C375" s="1" t="n">
        <v>45881</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15698-2022</t>
        </is>
      </c>
      <c r="B376" s="1" t="n">
        <v>44663</v>
      </c>
      <c r="C376" s="1" t="n">
        <v>45881</v>
      </c>
      <c r="D376" t="inlineStr">
        <is>
          <t>VÄSTERNORRLANDS LÄN</t>
        </is>
      </c>
      <c r="E376" t="inlineStr">
        <is>
          <t>SUNDSVALL</t>
        </is>
      </c>
      <c r="G376" t="n">
        <v>1.2</v>
      </c>
      <c r="H376" t="n">
        <v>0</v>
      </c>
      <c r="I376" t="n">
        <v>0</v>
      </c>
      <c r="J376" t="n">
        <v>0</v>
      </c>
      <c r="K376" t="n">
        <v>0</v>
      </c>
      <c r="L376" t="n">
        <v>0</v>
      </c>
      <c r="M376" t="n">
        <v>0</v>
      </c>
      <c r="N376" t="n">
        <v>0</v>
      </c>
      <c r="O376" t="n">
        <v>0</v>
      </c>
      <c r="P376" t="n">
        <v>0</v>
      </c>
      <c r="Q376" t="n">
        <v>0</v>
      </c>
      <c r="R376" s="2" t="inlineStr"/>
    </row>
    <row r="377" ht="15" customHeight="1">
      <c r="A377" t="inlineStr">
        <is>
          <t>A 15733-2022</t>
        </is>
      </c>
      <c r="B377" s="1" t="n">
        <v>44663.5059837963</v>
      </c>
      <c r="C377" s="1" t="n">
        <v>45881</v>
      </c>
      <c r="D377" t="inlineStr">
        <is>
          <t>VÄSTERNORRLANDS LÄN</t>
        </is>
      </c>
      <c r="E377" t="inlineStr">
        <is>
          <t>SUNDSVALL</t>
        </is>
      </c>
      <c r="G377" t="n">
        <v>6.8</v>
      </c>
      <c r="H377" t="n">
        <v>0</v>
      </c>
      <c r="I377" t="n">
        <v>0</v>
      </c>
      <c r="J377" t="n">
        <v>0</v>
      </c>
      <c r="K377" t="n">
        <v>0</v>
      </c>
      <c r="L377" t="n">
        <v>0</v>
      </c>
      <c r="M377" t="n">
        <v>0</v>
      </c>
      <c r="N377" t="n">
        <v>0</v>
      </c>
      <c r="O377" t="n">
        <v>0</v>
      </c>
      <c r="P377" t="n">
        <v>0</v>
      </c>
      <c r="Q377" t="n">
        <v>0</v>
      </c>
      <c r="R377" s="2" t="inlineStr"/>
    </row>
    <row r="378" ht="15" customHeight="1">
      <c r="A378" t="inlineStr">
        <is>
          <t>A 45704-2022</t>
        </is>
      </c>
      <c r="B378" s="1" t="n">
        <v>44845.95418981482</v>
      </c>
      <c r="C378" s="1" t="n">
        <v>45881</v>
      </c>
      <c r="D378" t="inlineStr">
        <is>
          <t>VÄSTERNORRLANDS LÄN</t>
        </is>
      </c>
      <c r="E378" t="inlineStr">
        <is>
          <t>SUNDSVALL</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70901-2021</t>
        </is>
      </c>
      <c r="B379" s="1" t="n">
        <v>44538</v>
      </c>
      <c r="C379" s="1" t="n">
        <v>45881</v>
      </c>
      <c r="D379" t="inlineStr">
        <is>
          <t>VÄSTERNORRLANDS LÄN</t>
        </is>
      </c>
      <c r="E379" t="inlineStr">
        <is>
          <t>SUNDSVALL</t>
        </is>
      </c>
      <c r="F379" t="inlineStr">
        <is>
          <t>Kommuner</t>
        </is>
      </c>
      <c r="G379" t="n">
        <v>2.4</v>
      </c>
      <c r="H379" t="n">
        <v>0</v>
      </c>
      <c r="I379" t="n">
        <v>0</v>
      </c>
      <c r="J379" t="n">
        <v>0</v>
      </c>
      <c r="K379" t="n">
        <v>0</v>
      </c>
      <c r="L379" t="n">
        <v>0</v>
      </c>
      <c r="M379" t="n">
        <v>0</v>
      </c>
      <c r="N379" t="n">
        <v>0</v>
      </c>
      <c r="O379" t="n">
        <v>0</v>
      </c>
      <c r="P379" t="n">
        <v>0</v>
      </c>
      <c r="Q379" t="n">
        <v>0</v>
      </c>
      <c r="R379" s="2" t="inlineStr"/>
    </row>
    <row r="380" ht="15" customHeight="1">
      <c r="A380" t="inlineStr">
        <is>
          <t>A 45700-2022</t>
        </is>
      </c>
      <c r="B380" s="1" t="n">
        <v>44845</v>
      </c>
      <c r="C380" s="1" t="n">
        <v>45881</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45852-2020</t>
        </is>
      </c>
      <c r="B381" s="1" t="n">
        <v>44090</v>
      </c>
      <c r="C381" s="1" t="n">
        <v>45881</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52554-2021</t>
        </is>
      </c>
      <c r="B382" s="1" t="n">
        <v>44466</v>
      </c>
      <c r="C382" s="1" t="n">
        <v>45881</v>
      </c>
      <c r="D382" t="inlineStr">
        <is>
          <t>VÄSTERNORRLANDS LÄN</t>
        </is>
      </c>
      <c r="E382" t="inlineStr">
        <is>
          <t>SUNDSVALL</t>
        </is>
      </c>
      <c r="G382" t="n">
        <v>0.4</v>
      </c>
      <c r="H382" t="n">
        <v>0</v>
      </c>
      <c r="I382" t="n">
        <v>0</v>
      </c>
      <c r="J382" t="n">
        <v>0</v>
      </c>
      <c r="K382" t="n">
        <v>0</v>
      </c>
      <c r="L382" t="n">
        <v>0</v>
      </c>
      <c r="M382" t="n">
        <v>0</v>
      </c>
      <c r="N382" t="n">
        <v>0</v>
      </c>
      <c r="O382" t="n">
        <v>0</v>
      </c>
      <c r="P382" t="n">
        <v>0</v>
      </c>
      <c r="Q382" t="n">
        <v>0</v>
      </c>
      <c r="R382" s="2" t="inlineStr"/>
    </row>
    <row r="383" ht="15" customHeight="1">
      <c r="A383" t="inlineStr">
        <is>
          <t>A 45716-2022</t>
        </is>
      </c>
      <c r="B383" s="1" t="n">
        <v>44845</v>
      </c>
      <c r="C383" s="1" t="n">
        <v>45881</v>
      </c>
      <c r="D383" t="inlineStr">
        <is>
          <t>VÄSTERNORRLANDS LÄN</t>
        </is>
      </c>
      <c r="E383" t="inlineStr">
        <is>
          <t>SUNDSVALL</t>
        </is>
      </c>
      <c r="F383" t="inlineStr">
        <is>
          <t>Naturvårdsverket</t>
        </is>
      </c>
      <c r="G383" t="n">
        <v>1.9</v>
      </c>
      <c r="H383" t="n">
        <v>0</v>
      </c>
      <c r="I383" t="n">
        <v>0</v>
      </c>
      <c r="J383" t="n">
        <v>0</v>
      </c>
      <c r="K383" t="n">
        <v>0</v>
      </c>
      <c r="L383" t="n">
        <v>0</v>
      </c>
      <c r="M383" t="n">
        <v>0</v>
      </c>
      <c r="N383" t="n">
        <v>0</v>
      </c>
      <c r="O383" t="n">
        <v>0</v>
      </c>
      <c r="P383" t="n">
        <v>0</v>
      </c>
      <c r="Q383" t="n">
        <v>0</v>
      </c>
      <c r="R383" s="2" t="inlineStr"/>
    </row>
    <row r="384" ht="15" customHeight="1">
      <c r="A384" t="inlineStr">
        <is>
          <t>A 59975-2021</t>
        </is>
      </c>
      <c r="B384" s="1" t="n">
        <v>44494.93675925926</v>
      </c>
      <c r="C384" s="1" t="n">
        <v>45881</v>
      </c>
      <c r="D384" t="inlineStr">
        <is>
          <t>VÄSTERNORRLANDS LÄN</t>
        </is>
      </c>
      <c r="E384" t="inlineStr">
        <is>
          <t>SUNDSVALL</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20947-2022</t>
        </is>
      </c>
      <c r="B385" s="1" t="n">
        <v>44701.93956018519</v>
      </c>
      <c r="C385" s="1" t="n">
        <v>45881</v>
      </c>
      <c r="D385" t="inlineStr">
        <is>
          <t>VÄSTERNORRLANDS LÄN</t>
        </is>
      </c>
      <c r="E385" t="inlineStr">
        <is>
          <t>SUNDSVALL</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56892-2021</t>
        </is>
      </c>
      <c r="B386" s="1" t="n">
        <v>44481</v>
      </c>
      <c r="C386" s="1" t="n">
        <v>45881</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13987-2021</t>
        </is>
      </c>
      <c r="B387" s="1" t="n">
        <v>44277</v>
      </c>
      <c r="C387" s="1" t="n">
        <v>45881</v>
      </c>
      <c r="D387" t="inlineStr">
        <is>
          <t>VÄSTERNORRLANDS LÄN</t>
        </is>
      </c>
      <c r="E387" t="inlineStr">
        <is>
          <t>SUNDSVALL</t>
        </is>
      </c>
      <c r="G387" t="n">
        <v>2</v>
      </c>
      <c r="H387" t="n">
        <v>0</v>
      </c>
      <c r="I387" t="n">
        <v>0</v>
      </c>
      <c r="J387" t="n">
        <v>0</v>
      </c>
      <c r="K387" t="n">
        <v>0</v>
      </c>
      <c r="L387" t="n">
        <v>0</v>
      </c>
      <c r="M387" t="n">
        <v>0</v>
      </c>
      <c r="N387" t="n">
        <v>0</v>
      </c>
      <c r="O387" t="n">
        <v>0</v>
      </c>
      <c r="P387" t="n">
        <v>0</v>
      </c>
      <c r="Q387" t="n">
        <v>0</v>
      </c>
      <c r="R387" s="2" t="inlineStr"/>
    </row>
    <row r="388" ht="15" customHeight="1">
      <c r="A388" t="inlineStr">
        <is>
          <t>A 55874-2022</t>
        </is>
      </c>
      <c r="B388" s="1" t="n">
        <v>44888.92855324074</v>
      </c>
      <c r="C388" s="1" t="n">
        <v>45881</v>
      </c>
      <c r="D388" t="inlineStr">
        <is>
          <t>VÄSTERNORRLANDS LÄN</t>
        </is>
      </c>
      <c r="E388" t="inlineStr">
        <is>
          <t>SUNDSVALL</t>
        </is>
      </c>
      <c r="G388" t="n">
        <v>0.4</v>
      </c>
      <c r="H388" t="n">
        <v>0</v>
      </c>
      <c r="I388" t="n">
        <v>0</v>
      </c>
      <c r="J388" t="n">
        <v>0</v>
      </c>
      <c r="K388" t="n">
        <v>0</v>
      </c>
      <c r="L388" t="n">
        <v>0</v>
      </c>
      <c r="M388" t="n">
        <v>0</v>
      </c>
      <c r="N388" t="n">
        <v>0</v>
      </c>
      <c r="O388" t="n">
        <v>0</v>
      </c>
      <c r="P388" t="n">
        <v>0</v>
      </c>
      <c r="Q388" t="n">
        <v>0</v>
      </c>
      <c r="R388" s="2" t="inlineStr"/>
    </row>
    <row r="389" ht="15" customHeight="1">
      <c r="A389" t="inlineStr">
        <is>
          <t>A 61562-2021</t>
        </is>
      </c>
      <c r="B389" s="1" t="n">
        <v>44501</v>
      </c>
      <c r="C389" s="1" t="n">
        <v>45881</v>
      </c>
      <c r="D389" t="inlineStr">
        <is>
          <t>VÄSTERNORRLANDS LÄN</t>
        </is>
      </c>
      <c r="E389" t="inlineStr">
        <is>
          <t>SUNDSVALL</t>
        </is>
      </c>
      <c r="G389" t="n">
        <v>6</v>
      </c>
      <c r="H389" t="n">
        <v>0</v>
      </c>
      <c r="I389" t="n">
        <v>0</v>
      </c>
      <c r="J389" t="n">
        <v>0</v>
      </c>
      <c r="K389" t="n">
        <v>0</v>
      </c>
      <c r="L389" t="n">
        <v>0</v>
      </c>
      <c r="M389" t="n">
        <v>0</v>
      </c>
      <c r="N389" t="n">
        <v>0</v>
      </c>
      <c r="O389" t="n">
        <v>0</v>
      </c>
      <c r="P389" t="n">
        <v>0</v>
      </c>
      <c r="Q389" t="n">
        <v>0</v>
      </c>
      <c r="R389" s="2" t="inlineStr"/>
    </row>
    <row r="390" ht="15" customHeight="1">
      <c r="A390" t="inlineStr">
        <is>
          <t>A 47512-2022</t>
        </is>
      </c>
      <c r="B390" s="1" t="n">
        <v>44852</v>
      </c>
      <c r="C390" s="1" t="n">
        <v>45881</v>
      </c>
      <c r="D390" t="inlineStr">
        <is>
          <t>VÄSTERNORRLANDS LÄN</t>
        </is>
      </c>
      <c r="E390" t="inlineStr">
        <is>
          <t>SUNDSVALL</t>
        </is>
      </c>
      <c r="G390" t="n">
        <v>3.1</v>
      </c>
      <c r="H390" t="n">
        <v>0</v>
      </c>
      <c r="I390" t="n">
        <v>0</v>
      </c>
      <c r="J390" t="n">
        <v>0</v>
      </c>
      <c r="K390" t="n">
        <v>0</v>
      </c>
      <c r="L390" t="n">
        <v>0</v>
      </c>
      <c r="M390" t="n">
        <v>0</v>
      </c>
      <c r="N390" t="n">
        <v>0</v>
      </c>
      <c r="O390" t="n">
        <v>0</v>
      </c>
      <c r="P390" t="n">
        <v>0</v>
      </c>
      <c r="Q390" t="n">
        <v>0</v>
      </c>
      <c r="R390" s="2" t="inlineStr"/>
    </row>
    <row r="391" ht="15" customHeight="1">
      <c r="A391" t="inlineStr">
        <is>
          <t>A 37238-2022</t>
        </is>
      </c>
      <c r="B391" s="1" t="n">
        <v>44806</v>
      </c>
      <c r="C391" s="1" t="n">
        <v>45881</v>
      </c>
      <c r="D391" t="inlineStr">
        <is>
          <t>VÄSTERNORRLANDS LÄN</t>
        </is>
      </c>
      <c r="E391" t="inlineStr">
        <is>
          <t>SUNDSVALL</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23052-2021</t>
        </is>
      </c>
      <c r="B392" s="1" t="n">
        <v>44329.57568287037</v>
      </c>
      <c r="C392" s="1" t="n">
        <v>45881</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32335-2021</t>
        </is>
      </c>
      <c r="B393" s="1" t="n">
        <v>44371</v>
      </c>
      <c r="C393" s="1" t="n">
        <v>45881</v>
      </c>
      <c r="D393" t="inlineStr">
        <is>
          <t>VÄSTERNORRLANDS LÄN</t>
        </is>
      </c>
      <c r="E393" t="inlineStr">
        <is>
          <t>SUNDSVALL</t>
        </is>
      </c>
      <c r="G393" t="n">
        <v>3.1</v>
      </c>
      <c r="H393" t="n">
        <v>0</v>
      </c>
      <c r="I393" t="n">
        <v>0</v>
      </c>
      <c r="J393" t="n">
        <v>0</v>
      </c>
      <c r="K393" t="n">
        <v>0</v>
      </c>
      <c r="L393" t="n">
        <v>0</v>
      </c>
      <c r="M393" t="n">
        <v>0</v>
      </c>
      <c r="N393" t="n">
        <v>0</v>
      </c>
      <c r="O393" t="n">
        <v>0</v>
      </c>
      <c r="P393" t="n">
        <v>0</v>
      </c>
      <c r="Q393" t="n">
        <v>0</v>
      </c>
      <c r="R393" s="2" t="inlineStr"/>
    </row>
    <row r="394" ht="15" customHeight="1">
      <c r="A394" t="inlineStr">
        <is>
          <t>A 19236-2021</t>
        </is>
      </c>
      <c r="B394" s="1" t="n">
        <v>44309</v>
      </c>
      <c r="C394" s="1" t="n">
        <v>45881</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223-2022</t>
        </is>
      </c>
      <c r="B395" s="1" t="n">
        <v>44564.9027662037</v>
      </c>
      <c r="C395" s="1" t="n">
        <v>45881</v>
      </c>
      <c r="D395" t="inlineStr">
        <is>
          <t>VÄSTERNORRLANDS LÄN</t>
        </is>
      </c>
      <c r="E395" t="inlineStr">
        <is>
          <t>SUNDSVALL</t>
        </is>
      </c>
      <c r="G395" t="n">
        <v>1.9</v>
      </c>
      <c r="H395" t="n">
        <v>0</v>
      </c>
      <c r="I395" t="n">
        <v>0</v>
      </c>
      <c r="J395" t="n">
        <v>0</v>
      </c>
      <c r="K395" t="n">
        <v>0</v>
      </c>
      <c r="L395" t="n">
        <v>0</v>
      </c>
      <c r="M395" t="n">
        <v>0</v>
      </c>
      <c r="N395" t="n">
        <v>0</v>
      </c>
      <c r="O395" t="n">
        <v>0</v>
      </c>
      <c r="P395" t="n">
        <v>0</v>
      </c>
      <c r="Q395" t="n">
        <v>0</v>
      </c>
      <c r="R395" s="2" t="inlineStr"/>
    </row>
    <row r="396" ht="15" customHeight="1">
      <c r="A396" t="inlineStr">
        <is>
          <t>A 44920-2021</t>
        </is>
      </c>
      <c r="B396" s="1" t="n">
        <v>44438</v>
      </c>
      <c r="C396" s="1" t="n">
        <v>45881</v>
      </c>
      <c r="D396" t="inlineStr">
        <is>
          <t>VÄSTERNORRLANDS LÄN</t>
        </is>
      </c>
      <c r="E396" t="inlineStr">
        <is>
          <t>SUNDSVALL</t>
        </is>
      </c>
      <c r="G396" t="n">
        <v>1.4</v>
      </c>
      <c r="H396" t="n">
        <v>0</v>
      </c>
      <c r="I396" t="n">
        <v>0</v>
      </c>
      <c r="J396" t="n">
        <v>0</v>
      </c>
      <c r="K396" t="n">
        <v>0</v>
      </c>
      <c r="L396" t="n">
        <v>0</v>
      </c>
      <c r="M396" t="n">
        <v>0</v>
      </c>
      <c r="N396" t="n">
        <v>0</v>
      </c>
      <c r="O396" t="n">
        <v>0</v>
      </c>
      <c r="P396" t="n">
        <v>0</v>
      </c>
      <c r="Q396" t="n">
        <v>0</v>
      </c>
      <c r="R396" s="2" t="inlineStr"/>
    </row>
    <row r="397" ht="15" customHeight="1">
      <c r="A397" t="inlineStr">
        <is>
          <t>A 50654-2022</t>
        </is>
      </c>
      <c r="B397" s="1" t="n">
        <v>44866</v>
      </c>
      <c r="C397" s="1" t="n">
        <v>45881</v>
      </c>
      <c r="D397" t="inlineStr">
        <is>
          <t>VÄSTERNORRLANDS LÄN</t>
        </is>
      </c>
      <c r="E397" t="inlineStr">
        <is>
          <t>SUNDSVALL</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32203-2021</t>
        </is>
      </c>
      <c r="B398" s="1" t="n">
        <v>44371</v>
      </c>
      <c r="C398" s="1" t="n">
        <v>45881</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45870-2022</t>
        </is>
      </c>
      <c r="B399" s="1" t="n">
        <v>44844</v>
      </c>
      <c r="C399" s="1" t="n">
        <v>45881</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15687-2022</t>
        </is>
      </c>
      <c r="B400" s="1" t="n">
        <v>44663.37660879629</v>
      </c>
      <c r="C400" s="1" t="n">
        <v>45881</v>
      </c>
      <c r="D400" t="inlineStr">
        <is>
          <t>VÄSTERNORRLANDS LÄN</t>
        </is>
      </c>
      <c r="E400" t="inlineStr">
        <is>
          <t>SUNDSVALL</t>
        </is>
      </c>
      <c r="G400" t="n">
        <v>0.8</v>
      </c>
      <c r="H400" t="n">
        <v>0</v>
      </c>
      <c r="I400" t="n">
        <v>0</v>
      </c>
      <c r="J400" t="n">
        <v>0</v>
      </c>
      <c r="K400" t="n">
        <v>0</v>
      </c>
      <c r="L400" t="n">
        <v>0</v>
      </c>
      <c r="M400" t="n">
        <v>0</v>
      </c>
      <c r="N400" t="n">
        <v>0</v>
      </c>
      <c r="O400" t="n">
        <v>0</v>
      </c>
      <c r="P400" t="n">
        <v>0</v>
      </c>
      <c r="Q400" t="n">
        <v>0</v>
      </c>
      <c r="R400" s="2" t="inlineStr"/>
    </row>
    <row r="401" ht="15" customHeight="1">
      <c r="A401" t="inlineStr">
        <is>
          <t>A 31956-2022</t>
        </is>
      </c>
      <c r="B401" s="1" t="n">
        <v>44777.92658564815</v>
      </c>
      <c r="C401" s="1" t="n">
        <v>45881</v>
      </c>
      <c r="D401" t="inlineStr">
        <is>
          <t>VÄSTERNORRLANDS LÄN</t>
        </is>
      </c>
      <c r="E401" t="inlineStr">
        <is>
          <t>SUNDSVALL</t>
        </is>
      </c>
      <c r="G401" t="n">
        <v>6.1</v>
      </c>
      <c r="H401" t="n">
        <v>0</v>
      </c>
      <c r="I401" t="n">
        <v>0</v>
      </c>
      <c r="J401" t="n">
        <v>0</v>
      </c>
      <c r="K401" t="n">
        <v>0</v>
      </c>
      <c r="L401" t="n">
        <v>0</v>
      </c>
      <c r="M401" t="n">
        <v>0</v>
      </c>
      <c r="N401" t="n">
        <v>0</v>
      </c>
      <c r="O401" t="n">
        <v>0</v>
      </c>
      <c r="P401" t="n">
        <v>0</v>
      </c>
      <c r="Q401" t="n">
        <v>0</v>
      </c>
      <c r="R401" s="2" t="inlineStr"/>
    </row>
    <row r="402" ht="15" customHeight="1">
      <c r="A402" t="inlineStr">
        <is>
          <t>A 49984-2022</t>
        </is>
      </c>
      <c r="B402" s="1" t="n">
        <v>44859</v>
      </c>
      <c r="C402" s="1" t="n">
        <v>45881</v>
      </c>
      <c r="D402" t="inlineStr">
        <is>
          <t>VÄSTERNORRLANDS LÄN</t>
        </is>
      </c>
      <c r="E402" t="inlineStr">
        <is>
          <t>SUNDSVALL</t>
        </is>
      </c>
      <c r="G402" t="n">
        <v>0.3</v>
      </c>
      <c r="H402" t="n">
        <v>0</v>
      </c>
      <c r="I402" t="n">
        <v>0</v>
      </c>
      <c r="J402" t="n">
        <v>0</v>
      </c>
      <c r="K402" t="n">
        <v>0</v>
      </c>
      <c r="L402" t="n">
        <v>0</v>
      </c>
      <c r="M402" t="n">
        <v>0</v>
      </c>
      <c r="N402" t="n">
        <v>0</v>
      </c>
      <c r="O402" t="n">
        <v>0</v>
      </c>
      <c r="P402" t="n">
        <v>0</v>
      </c>
      <c r="Q402" t="n">
        <v>0</v>
      </c>
      <c r="R402" s="2" t="inlineStr"/>
    </row>
    <row r="403" ht="15" customHeight="1">
      <c r="A403" t="inlineStr">
        <is>
          <t>A 55873-2022</t>
        </is>
      </c>
      <c r="B403" s="1" t="n">
        <v>44888.92850694444</v>
      </c>
      <c r="C403" s="1" t="n">
        <v>45881</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57212-2021</t>
        </is>
      </c>
      <c r="B404" s="1" t="n">
        <v>44482.9406712963</v>
      </c>
      <c r="C404" s="1" t="n">
        <v>45881</v>
      </c>
      <c r="D404" t="inlineStr">
        <is>
          <t>VÄSTERNORRLANDS LÄN</t>
        </is>
      </c>
      <c r="E404" t="inlineStr">
        <is>
          <t>SUNDSVALL</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57234-2021</t>
        </is>
      </c>
      <c r="B405" s="1" t="n">
        <v>44482</v>
      </c>
      <c r="C405" s="1" t="n">
        <v>45881</v>
      </c>
      <c r="D405" t="inlineStr">
        <is>
          <t>VÄSTERNORRLANDS LÄN</t>
        </is>
      </c>
      <c r="E405" t="inlineStr">
        <is>
          <t>SUNDSVALL</t>
        </is>
      </c>
      <c r="G405" t="n">
        <v>3</v>
      </c>
      <c r="H405" t="n">
        <v>0</v>
      </c>
      <c r="I405" t="n">
        <v>0</v>
      </c>
      <c r="J405" t="n">
        <v>0</v>
      </c>
      <c r="K405" t="n">
        <v>0</v>
      </c>
      <c r="L405" t="n">
        <v>0</v>
      </c>
      <c r="M405" t="n">
        <v>0</v>
      </c>
      <c r="N405" t="n">
        <v>0</v>
      </c>
      <c r="O405" t="n">
        <v>0</v>
      </c>
      <c r="P405" t="n">
        <v>0</v>
      </c>
      <c r="Q405" t="n">
        <v>0</v>
      </c>
      <c r="R405" s="2" t="inlineStr"/>
    </row>
    <row r="406" ht="15" customHeight="1">
      <c r="A406" t="inlineStr">
        <is>
          <t>A 44596-2022</t>
        </is>
      </c>
      <c r="B406" s="1" t="n">
        <v>44839</v>
      </c>
      <c r="C406" s="1" t="n">
        <v>45881</v>
      </c>
      <c r="D406" t="inlineStr">
        <is>
          <t>VÄSTERNORRLANDS LÄN</t>
        </is>
      </c>
      <c r="E406" t="inlineStr">
        <is>
          <t>SUNDSVALL</t>
        </is>
      </c>
      <c r="G406" t="n">
        <v>6.9</v>
      </c>
      <c r="H406" t="n">
        <v>0</v>
      </c>
      <c r="I406" t="n">
        <v>0</v>
      </c>
      <c r="J406" t="n">
        <v>0</v>
      </c>
      <c r="K406" t="n">
        <v>0</v>
      </c>
      <c r="L406" t="n">
        <v>0</v>
      </c>
      <c r="M406" t="n">
        <v>0</v>
      </c>
      <c r="N406" t="n">
        <v>0</v>
      </c>
      <c r="O406" t="n">
        <v>0</v>
      </c>
      <c r="P406" t="n">
        <v>0</v>
      </c>
      <c r="Q406" t="n">
        <v>0</v>
      </c>
      <c r="R406" s="2" t="inlineStr"/>
    </row>
    <row r="407" ht="15" customHeight="1">
      <c r="A407" t="inlineStr">
        <is>
          <t>A 44605-2022</t>
        </is>
      </c>
      <c r="B407" s="1" t="n">
        <v>44839</v>
      </c>
      <c r="C407" s="1" t="n">
        <v>45881</v>
      </c>
      <c r="D407" t="inlineStr">
        <is>
          <t>VÄSTERNORRLANDS LÄN</t>
        </is>
      </c>
      <c r="E407" t="inlineStr">
        <is>
          <t>SUNDSVALL</t>
        </is>
      </c>
      <c r="G407" t="n">
        <v>5.9</v>
      </c>
      <c r="H407" t="n">
        <v>0</v>
      </c>
      <c r="I407" t="n">
        <v>0</v>
      </c>
      <c r="J407" t="n">
        <v>0</v>
      </c>
      <c r="K407" t="n">
        <v>0</v>
      </c>
      <c r="L407" t="n">
        <v>0</v>
      </c>
      <c r="M407" t="n">
        <v>0</v>
      </c>
      <c r="N407" t="n">
        <v>0</v>
      </c>
      <c r="O407" t="n">
        <v>0</v>
      </c>
      <c r="P407" t="n">
        <v>0</v>
      </c>
      <c r="Q407" t="n">
        <v>0</v>
      </c>
      <c r="R407" s="2" t="inlineStr"/>
    </row>
    <row r="408" ht="15" customHeight="1">
      <c r="A408" t="inlineStr">
        <is>
          <t>A 68286-2020</t>
        </is>
      </c>
      <c r="B408" s="1" t="n">
        <v>44183</v>
      </c>
      <c r="C408" s="1" t="n">
        <v>45881</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26950-2021</t>
        </is>
      </c>
      <c r="B409" s="1" t="n">
        <v>44349</v>
      </c>
      <c r="C409" s="1" t="n">
        <v>45881</v>
      </c>
      <c r="D409" t="inlineStr">
        <is>
          <t>VÄSTERNORRLANDS LÄN</t>
        </is>
      </c>
      <c r="E409" t="inlineStr">
        <is>
          <t>SUNDSVALL</t>
        </is>
      </c>
      <c r="G409" t="n">
        <v>2.5</v>
      </c>
      <c r="H409" t="n">
        <v>0</v>
      </c>
      <c r="I409" t="n">
        <v>0</v>
      </c>
      <c r="J409" t="n">
        <v>0</v>
      </c>
      <c r="K409" t="n">
        <v>0</v>
      </c>
      <c r="L409" t="n">
        <v>0</v>
      </c>
      <c r="M409" t="n">
        <v>0</v>
      </c>
      <c r="N409" t="n">
        <v>0</v>
      </c>
      <c r="O409" t="n">
        <v>0</v>
      </c>
      <c r="P409" t="n">
        <v>0</v>
      </c>
      <c r="Q409" t="n">
        <v>0</v>
      </c>
      <c r="R409" s="2" t="inlineStr"/>
    </row>
    <row r="410" ht="15" customHeight="1">
      <c r="A410" t="inlineStr">
        <is>
          <t>A 31439-2022</t>
        </is>
      </c>
      <c r="B410" s="1" t="n">
        <v>44774</v>
      </c>
      <c r="C410" s="1" t="n">
        <v>45881</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30450-2021</t>
        </is>
      </c>
      <c r="B411" s="1" t="n">
        <v>44364</v>
      </c>
      <c r="C411" s="1" t="n">
        <v>45881</v>
      </c>
      <c r="D411" t="inlineStr">
        <is>
          <t>VÄSTERNORRLANDS LÄN</t>
        </is>
      </c>
      <c r="E411" t="inlineStr">
        <is>
          <t>SUNDSVALL</t>
        </is>
      </c>
      <c r="G411" t="n">
        <v>6.3</v>
      </c>
      <c r="H411" t="n">
        <v>0</v>
      </c>
      <c r="I411" t="n">
        <v>0</v>
      </c>
      <c r="J411" t="n">
        <v>0</v>
      </c>
      <c r="K411" t="n">
        <v>0</v>
      </c>
      <c r="L411" t="n">
        <v>0</v>
      </c>
      <c r="M411" t="n">
        <v>0</v>
      </c>
      <c r="N411" t="n">
        <v>0</v>
      </c>
      <c r="O411" t="n">
        <v>0</v>
      </c>
      <c r="P411" t="n">
        <v>0</v>
      </c>
      <c r="Q411" t="n">
        <v>0</v>
      </c>
      <c r="R411" s="2" t="inlineStr"/>
    </row>
    <row r="412" ht="15" customHeight="1">
      <c r="A412" t="inlineStr">
        <is>
          <t>A 13293-2022</t>
        </is>
      </c>
      <c r="B412" s="1" t="n">
        <v>44644</v>
      </c>
      <c r="C412" s="1" t="n">
        <v>45881</v>
      </c>
      <c r="D412" t="inlineStr">
        <is>
          <t>VÄSTERNORRLANDS LÄN</t>
        </is>
      </c>
      <c r="E412" t="inlineStr">
        <is>
          <t>SUNDSVALL</t>
        </is>
      </c>
      <c r="G412" t="n">
        <v>18.5</v>
      </c>
      <c r="H412" t="n">
        <v>0</v>
      </c>
      <c r="I412" t="n">
        <v>0</v>
      </c>
      <c r="J412" t="n">
        <v>0</v>
      </c>
      <c r="K412" t="n">
        <v>0</v>
      </c>
      <c r="L412" t="n">
        <v>0</v>
      </c>
      <c r="M412" t="n">
        <v>0</v>
      </c>
      <c r="N412" t="n">
        <v>0</v>
      </c>
      <c r="O412" t="n">
        <v>0</v>
      </c>
      <c r="P412" t="n">
        <v>0</v>
      </c>
      <c r="Q412" t="n">
        <v>0</v>
      </c>
      <c r="R412" s="2" t="inlineStr"/>
    </row>
    <row r="413" ht="15" customHeight="1">
      <c r="A413" t="inlineStr">
        <is>
          <t>A 45233-2020</t>
        </is>
      </c>
      <c r="B413" s="1" t="n">
        <v>44088</v>
      </c>
      <c r="C413" s="1" t="n">
        <v>45881</v>
      </c>
      <c r="D413" t="inlineStr">
        <is>
          <t>VÄSTERNORRLANDS LÄN</t>
        </is>
      </c>
      <c r="E413" t="inlineStr">
        <is>
          <t>SUNDSVALL</t>
        </is>
      </c>
      <c r="F413" t="inlineStr">
        <is>
          <t>Naturvårdsverket</t>
        </is>
      </c>
      <c r="G413" t="n">
        <v>2.3</v>
      </c>
      <c r="H413" t="n">
        <v>0</v>
      </c>
      <c r="I413" t="n">
        <v>0</v>
      </c>
      <c r="J413" t="n">
        <v>0</v>
      </c>
      <c r="K413" t="n">
        <v>0</v>
      </c>
      <c r="L413" t="n">
        <v>0</v>
      </c>
      <c r="M413" t="n">
        <v>0</v>
      </c>
      <c r="N413" t="n">
        <v>0</v>
      </c>
      <c r="O413" t="n">
        <v>0</v>
      </c>
      <c r="P413" t="n">
        <v>0</v>
      </c>
      <c r="Q413" t="n">
        <v>0</v>
      </c>
      <c r="R413" s="2" t="inlineStr"/>
    </row>
    <row r="414" ht="15" customHeight="1">
      <c r="A414" t="inlineStr">
        <is>
          <t>A 55897-2022</t>
        </is>
      </c>
      <c r="B414" s="1" t="n">
        <v>44888.95325231482</v>
      </c>
      <c r="C414" s="1" t="n">
        <v>45881</v>
      </c>
      <c r="D414" t="inlineStr">
        <is>
          <t>VÄSTERNORRLANDS LÄN</t>
        </is>
      </c>
      <c r="E414" t="inlineStr">
        <is>
          <t>SUNDSVALL</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25964-2022</t>
        </is>
      </c>
      <c r="B415" s="1" t="n">
        <v>44734</v>
      </c>
      <c r="C415" s="1" t="n">
        <v>45881</v>
      </c>
      <c r="D415" t="inlineStr">
        <is>
          <t>VÄSTERNORRLANDS LÄN</t>
        </is>
      </c>
      <c r="E415" t="inlineStr">
        <is>
          <t>SUNDSVALL</t>
        </is>
      </c>
      <c r="G415" t="n">
        <v>2.4</v>
      </c>
      <c r="H415" t="n">
        <v>0</v>
      </c>
      <c r="I415" t="n">
        <v>0</v>
      </c>
      <c r="J415" t="n">
        <v>0</v>
      </c>
      <c r="K415" t="n">
        <v>0</v>
      </c>
      <c r="L415" t="n">
        <v>0</v>
      </c>
      <c r="M415" t="n">
        <v>0</v>
      </c>
      <c r="N415" t="n">
        <v>0</v>
      </c>
      <c r="O415" t="n">
        <v>0</v>
      </c>
      <c r="P415" t="n">
        <v>0</v>
      </c>
      <c r="Q415" t="n">
        <v>0</v>
      </c>
      <c r="R415" s="2" t="inlineStr"/>
    </row>
    <row r="416" ht="15" customHeight="1">
      <c r="A416" t="inlineStr">
        <is>
          <t>A 60891-2021</t>
        </is>
      </c>
      <c r="B416" s="1" t="n">
        <v>44497</v>
      </c>
      <c r="C416" s="1" t="n">
        <v>45881</v>
      </c>
      <c r="D416" t="inlineStr">
        <is>
          <t>VÄSTERNORRLANDS LÄN</t>
        </is>
      </c>
      <c r="E416" t="inlineStr">
        <is>
          <t>SUNDSVALL</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61407-2021</t>
        </is>
      </c>
      <c r="B417" s="1" t="n">
        <v>44500</v>
      </c>
      <c r="C417" s="1" t="n">
        <v>45881</v>
      </c>
      <c r="D417" t="inlineStr">
        <is>
          <t>VÄSTERNORRLANDS LÄN</t>
        </is>
      </c>
      <c r="E417" t="inlineStr">
        <is>
          <t>SUNDSVALL</t>
        </is>
      </c>
      <c r="G417" t="n">
        <v>1.8</v>
      </c>
      <c r="H417" t="n">
        <v>0</v>
      </c>
      <c r="I417" t="n">
        <v>0</v>
      </c>
      <c r="J417" t="n">
        <v>0</v>
      </c>
      <c r="K417" t="n">
        <v>0</v>
      </c>
      <c r="L417" t="n">
        <v>0</v>
      </c>
      <c r="M417" t="n">
        <v>0</v>
      </c>
      <c r="N417" t="n">
        <v>0</v>
      </c>
      <c r="O417" t="n">
        <v>0</v>
      </c>
      <c r="P417" t="n">
        <v>0</v>
      </c>
      <c r="Q417" t="n">
        <v>0</v>
      </c>
      <c r="R417" s="2" t="inlineStr"/>
    </row>
    <row r="418" ht="15" customHeight="1">
      <c r="A418" t="inlineStr">
        <is>
          <t>A 70690-2021</t>
        </is>
      </c>
      <c r="B418" s="1" t="n">
        <v>44537</v>
      </c>
      <c r="C418" s="1" t="n">
        <v>45881</v>
      </c>
      <c r="D418" t="inlineStr">
        <is>
          <t>VÄSTERNORRLANDS LÄN</t>
        </is>
      </c>
      <c r="E418" t="inlineStr">
        <is>
          <t>SUNDSVALL</t>
        </is>
      </c>
      <c r="G418" t="n">
        <v>8.1</v>
      </c>
      <c r="H418" t="n">
        <v>0</v>
      </c>
      <c r="I418" t="n">
        <v>0</v>
      </c>
      <c r="J418" t="n">
        <v>0</v>
      </c>
      <c r="K418" t="n">
        <v>0</v>
      </c>
      <c r="L418" t="n">
        <v>0</v>
      </c>
      <c r="M418" t="n">
        <v>0</v>
      </c>
      <c r="N418" t="n">
        <v>0</v>
      </c>
      <c r="O418" t="n">
        <v>0</v>
      </c>
      <c r="P418" t="n">
        <v>0</v>
      </c>
      <c r="Q418" t="n">
        <v>0</v>
      </c>
      <c r="R418" s="2" t="inlineStr"/>
    </row>
    <row r="419" ht="15" customHeight="1">
      <c r="A419" t="inlineStr">
        <is>
          <t>A 56894-2021</t>
        </is>
      </c>
      <c r="B419" s="1" t="n">
        <v>44481</v>
      </c>
      <c r="C419" s="1" t="n">
        <v>45881</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32275-2021</t>
        </is>
      </c>
      <c r="B420" s="1" t="n">
        <v>44371</v>
      </c>
      <c r="C420" s="1" t="n">
        <v>45881</v>
      </c>
      <c r="D420" t="inlineStr">
        <is>
          <t>VÄSTERNORRLANDS LÄN</t>
        </is>
      </c>
      <c r="E420" t="inlineStr">
        <is>
          <t>SUNDSVALL</t>
        </is>
      </c>
      <c r="G420" t="n">
        <v>3.9</v>
      </c>
      <c r="H420" t="n">
        <v>0</v>
      </c>
      <c r="I420" t="n">
        <v>0</v>
      </c>
      <c r="J420" t="n">
        <v>0</v>
      </c>
      <c r="K420" t="n">
        <v>0</v>
      </c>
      <c r="L420" t="n">
        <v>0</v>
      </c>
      <c r="M420" t="n">
        <v>0</v>
      </c>
      <c r="N420" t="n">
        <v>0</v>
      </c>
      <c r="O420" t="n">
        <v>0</v>
      </c>
      <c r="P420" t="n">
        <v>0</v>
      </c>
      <c r="Q420" t="n">
        <v>0</v>
      </c>
      <c r="R420" s="2" t="inlineStr"/>
    </row>
    <row r="421" ht="15" customHeight="1">
      <c r="A421" t="inlineStr">
        <is>
          <t>A 52029-2022</t>
        </is>
      </c>
      <c r="B421" s="1" t="n">
        <v>44872.95721064815</v>
      </c>
      <c r="C421" s="1" t="n">
        <v>45881</v>
      </c>
      <c r="D421" t="inlineStr">
        <is>
          <t>VÄSTERNORRLANDS LÄN</t>
        </is>
      </c>
      <c r="E421" t="inlineStr">
        <is>
          <t>SUNDSVALL</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23840-2022</t>
        </is>
      </c>
      <c r="B422" s="1" t="n">
        <v>44722</v>
      </c>
      <c r="C422" s="1" t="n">
        <v>45881</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20509-2022</t>
        </is>
      </c>
      <c r="B423" s="1" t="n">
        <v>44699.92497685185</v>
      </c>
      <c r="C423" s="1" t="n">
        <v>45881</v>
      </c>
      <c r="D423" t="inlineStr">
        <is>
          <t>VÄSTERNORRLANDS LÄN</t>
        </is>
      </c>
      <c r="E423" t="inlineStr">
        <is>
          <t>SUNDSVALL</t>
        </is>
      </c>
      <c r="G423" t="n">
        <v>1.7</v>
      </c>
      <c r="H423" t="n">
        <v>0</v>
      </c>
      <c r="I423" t="n">
        <v>0</v>
      </c>
      <c r="J423" t="n">
        <v>0</v>
      </c>
      <c r="K423" t="n">
        <v>0</v>
      </c>
      <c r="L423" t="n">
        <v>0</v>
      </c>
      <c r="M423" t="n">
        <v>0</v>
      </c>
      <c r="N423" t="n">
        <v>0</v>
      </c>
      <c r="O423" t="n">
        <v>0</v>
      </c>
      <c r="P423" t="n">
        <v>0</v>
      </c>
      <c r="Q423" t="n">
        <v>0</v>
      </c>
      <c r="R423" s="2" t="inlineStr"/>
    </row>
    <row r="424" ht="15" customHeight="1">
      <c r="A424" t="inlineStr">
        <is>
          <t>A 59146-2021</t>
        </is>
      </c>
      <c r="B424" s="1" t="n">
        <v>44490</v>
      </c>
      <c r="C424" s="1" t="n">
        <v>45881</v>
      </c>
      <c r="D424" t="inlineStr">
        <is>
          <t>VÄSTERNORRLANDS LÄN</t>
        </is>
      </c>
      <c r="E424" t="inlineStr">
        <is>
          <t>SUNDSVALL</t>
        </is>
      </c>
      <c r="G424" t="n">
        <v>4</v>
      </c>
      <c r="H424" t="n">
        <v>0</v>
      </c>
      <c r="I424" t="n">
        <v>0</v>
      </c>
      <c r="J424" t="n">
        <v>0</v>
      </c>
      <c r="K424" t="n">
        <v>0</v>
      </c>
      <c r="L424" t="n">
        <v>0</v>
      </c>
      <c r="M424" t="n">
        <v>0</v>
      </c>
      <c r="N424" t="n">
        <v>0</v>
      </c>
      <c r="O424" t="n">
        <v>0</v>
      </c>
      <c r="P424" t="n">
        <v>0</v>
      </c>
      <c r="Q424" t="n">
        <v>0</v>
      </c>
      <c r="R424" s="2" t="inlineStr"/>
    </row>
    <row r="425" ht="15" customHeight="1">
      <c r="A425" t="inlineStr">
        <is>
          <t>A 17060-2022</t>
        </is>
      </c>
      <c r="B425" s="1" t="n">
        <v>44676.94297453704</v>
      </c>
      <c r="C425" s="1" t="n">
        <v>45881</v>
      </c>
      <c r="D425" t="inlineStr">
        <is>
          <t>VÄSTERNORRLANDS LÄN</t>
        </is>
      </c>
      <c r="E425" t="inlineStr">
        <is>
          <t>SUNDSVALL</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39933-2021</t>
        </is>
      </c>
      <c r="B426" s="1" t="n">
        <v>44417</v>
      </c>
      <c r="C426" s="1" t="n">
        <v>45881</v>
      </c>
      <c r="D426" t="inlineStr">
        <is>
          <t>VÄSTERNORRLANDS LÄN</t>
        </is>
      </c>
      <c r="E426" t="inlineStr">
        <is>
          <t>SUNDSVALL</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40141-2021</t>
        </is>
      </c>
      <c r="B427" s="1" t="n">
        <v>44418.63759259259</v>
      </c>
      <c r="C427" s="1" t="n">
        <v>45881</v>
      </c>
      <c r="D427" t="inlineStr">
        <is>
          <t>VÄSTERNORRLANDS LÄN</t>
        </is>
      </c>
      <c r="E427" t="inlineStr">
        <is>
          <t>SUNDSVALL</t>
        </is>
      </c>
      <c r="G427" t="n">
        <v>5.3</v>
      </c>
      <c r="H427" t="n">
        <v>0</v>
      </c>
      <c r="I427" t="n">
        <v>0</v>
      </c>
      <c r="J427" t="n">
        <v>0</v>
      </c>
      <c r="K427" t="n">
        <v>0</v>
      </c>
      <c r="L427" t="n">
        <v>0</v>
      </c>
      <c r="M427" t="n">
        <v>0</v>
      </c>
      <c r="N427" t="n">
        <v>0</v>
      </c>
      <c r="O427" t="n">
        <v>0</v>
      </c>
      <c r="P427" t="n">
        <v>0</v>
      </c>
      <c r="Q427" t="n">
        <v>0</v>
      </c>
      <c r="R427" s="2" t="inlineStr"/>
    </row>
    <row r="428" ht="15" customHeight="1">
      <c r="A428" t="inlineStr">
        <is>
          <t>A 29298-2022</t>
        </is>
      </c>
      <c r="B428" s="1" t="n">
        <v>44750.94349537037</v>
      </c>
      <c r="C428" s="1" t="n">
        <v>45881</v>
      </c>
      <c r="D428" t="inlineStr">
        <is>
          <t>VÄSTERNORRLANDS LÄN</t>
        </is>
      </c>
      <c r="E428" t="inlineStr">
        <is>
          <t>SUNDSVALL</t>
        </is>
      </c>
      <c r="F428" t="inlineStr">
        <is>
          <t>Naturvårdsverket</t>
        </is>
      </c>
      <c r="G428" t="n">
        <v>0.5</v>
      </c>
      <c r="H428" t="n">
        <v>0</v>
      </c>
      <c r="I428" t="n">
        <v>0</v>
      </c>
      <c r="J428" t="n">
        <v>0</v>
      </c>
      <c r="K428" t="n">
        <v>0</v>
      </c>
      <c r="L428" t="n">
        <v>0</v>
      </c>
      <c r="M428" t="n">
        <v>0</v>
      </c>
      <c r="N428" t="n">
        <v>0</v>
      </c>
      <c r="O428" t="n">
        <v>0</v>
      </c>
      <c r="P428" t="n">
        <v>0</v>
      </c>
      <c r="Q428" t="n">
        <v>0</v>
      </c>
      <c r="R428" s="2" t="inlineStr"/>
    </row>
    <row r="429" ht="15" customHeight="1">
      <c r="A429" t="inlineStr">
        <is>
          <t>A 29297-2022</t>
        </is>
      </c>
      <c r="B429" s="1" t="n">
        <v>44750.94342592593</v>
      </c>
      <c r="C429" s="1" t="n">
        <v>45881</v>
      </c>
      <c r="D429" t="inlineStr">
        <is>
          <t>VÄSTERNORRLANDS LÄN</t>
        </is>
      </c>
      <c r="E429" t="inlineStr">
        <is>
          <t>SUNDSVALL</t>
        </is>
      </c>
      <c r="F429" t="inlineStr">
        <is>
          <t>Naturvårdsverket</t>
        </is>
      </c>
      <c r="G429" t="n">
        <v>0.9</v>
      </c>
      <c r="H429" t="n">
        <v>0</v>
      </c>
      <c r="I429" t="n">
        <v>0</v>
      </c>
      <c r="J429" t="n">
        <v>0</v>
      </c>
      <c r="K429" t="n">
        <v>0</v>
      </c>
      <c r="L429" t="n">
        <v>0</v>
      </c>
      <c r="M429" t="n">
        <v>0</v>
      </c>
      <c r="N429" t="n">
        <v>0</v>
      </c>
      <c r="O429" t="n">
        <v>0</v>
      </c>
      <c r="P429" t="n">
        <v>0</v>
      </c>
      <c r="Q429" t="n">
        <v>0</v>
      </c>
      <c r="R429" s="2" t="inlineStr"/>
    </row>
    <row r="430" ht="15" customHeight="1">
      <c r="A430" t="inlineStr">
        <is>
          <t>A 25748-2021</t>
        </is>
      </c>
      <c r="B430" s="1" t="n">
        <v>44343</v>
      </c>
      <c r="C430" s="1" t="n">
        <v>45881</v>
      </c>
      <c r="D430" t="inlineStr">
        <is>
          <t>VÄSTERNORRLANDS LÄN</t>
        </is>
      </c>
      <c r="E430" t="inlineStr">
        <is>
          <t>SUNDSVALL</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30019-2021</t>
        </is>
      </c>
      <c r="B431" s="1" t="n">
        <v>44363.42795138889</v>
      </c>
      <c r="C431" s="1" t="n">
        <v>45881</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7436-2022</t>
        </is>
      </c>
      <c r="B432" s="1" t="n">
        <v>44606</v>
      </c>
      <c r="C432" s="1" t="n">
        <v>45881</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62073-2021</t>
        </is>
      </c>
      <c r="B433" s="1" t="n">
        <v>44502.59737268519</v>
      </c>
      <c r="C433" s="1" t="n">
        <v>45881</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45881</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67098-2021</t>
        </is>
      </c>
      <c r="B435" s="1" t="n">
        <v>44522.94567129629</v>
      </c>
      <c r="C435" s="1" t="n">
        <v>45881</v>
      </c>
      <c r="D435" t="inlineStr">
        <is>
          <t>VÄSTERNORRLANDS LÄN</t>
        </is>
      </c>
      <c r="E435" t="inlineStr">
        <is>
          <t>SUNDSVALL</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28708-2022</t>
        </is>
      </c>
      <c r="B436" s="1" t="n">
        <v>44748</v>
      </c>
      <c r="C436" s="1" t="n">
        <v>45881</v>
      </c>
      <c r="D436" t="inlineStr">
        <is>
          <t>VÄSTERNORRLANDS LÄN</t>
        </is>
      </c>
      <c r="E436" t="inlineStr">
        <is>
          <t>SUNDSVALL</t>
        </is>
      </c>
      <c r="G436" t="n">
        <v>4.4</v>
      </c>
      <c r="H436" t="n">
        <v>0</v>
      </c>
      <c r="I436" t="n">
        <v>0</v>
      </c>
      <c r="J436" t="n">
        <v>0</v>
      </c>
      <c r="K436" t="n">
        <v>0</v>
      </c>
      <c r="L436" t="n">
        <v>0</v>
      </c>
      <c r="M436" t="n">
        <v>0</v>
      </c>
      <c r="N436" t="n">
        <v>0</v>
      </c>
      <c r="O436" t="n">
        <v>0</v>
      </c>
      <c r="P436" t="n">
        <v>0</v>
      </c>
      <c r="Q436" t="n">
        <v>0</v>
      </c>
      <c r="R436" s="2" t="inlineStr"/>
    </row>
    <row r="437" ht="15" customHeight="1">
      <c r="A437" t="inlineStr">
        <is>
          <t>A 33498-2022</t>
        </is>
      </c>
      <c r="B437" s="1" t="n">
        <v>44788.9269212963</v>
      </c>
      <c r="C437" s="1" t="n">
        <v>45881</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26089-2021</t>
        </is>
      </c>
      <c r="B438" s="1" t="n">
        <v>44344</v>
      </c>
      <c r="C438" s="1" t="n">
        <v>45881</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66016-2020</t>
        </is>
      </c>
      <c r="B439" s="1" t="n">
        <v>44175</v>
      </c>
      <c r="C439" s="1" t="n">
        <v>45881</v>
      </c>
      <c r="D439" t="inlineStr">
        <is>
          <t>VÄSTERNORRLANDS LÄN</t>
        </is>
      </c>
      <c r="E439" t="inlineStr">
        <is>
          <t>SUNDSVALL</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16147-2022</t>
        </is>
      </c>
      <c r="B440" s="1" t="n">
        <v>44665</v>
      </c>
      <c r="C440" s="1" t="n">
        <v>45881</v>
      </c>
      <c r="D440" t="inlineStr">
        <is>
          <t>VÄSTERNORRLANDS LÄN</t>
        </is>
      </c>
      <c r="E440" t="inlineStr">
        <is>
          <t>SUNDSVALL</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31957-2022</t>
        </is>
      </c>
      <c r="B441" s="1" t="n">
        <v>44777</v>
      </c>
      <c r="C441" s="1" t="n">
        <v>45881</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72499-2021</t>
        </is>
      </c>
      <c r="B442" s="1" t="n">
        <v>44545.94166666667</v>
      </c>
      <c r="C442" s="1" t="n">
        <v>45881</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3351-2021</t>
        </is>
      </c>
      <c r="B443" s="1" t="n">
        <v>44217</v>
      </c>
      <c r="C443" s="1" t="n">
        <v>45881</v>
      </c>
      <c r="D443" t="inlineStr">
        <is>
          <t>VÄSTERNORRLANDS LÄN</t>
        </is>
      </c>
      <c r="E443" t="inlineStr">
        <is>
          <t>SUNDSVALL</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23556-2022</t>
        </is>
      </c>
      <c r="B444" s="1" t="n">
        <v>44721</v>
      </c>
      <c r="C444" s="1" t="n">
        <v>45881</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27015-2021</t>
        </is>
      </c>
      <c r="B445" s="1" t="n">
        <v>44349</v>
      </c>
      <c r="C445" s="1" t="n">
        <v>45881</v>
      </c>
      <c r="D445" t="inlineStr">
        <is>
          <t>VÄSTERNORRLANDS LÄN</t>
        </is>
      </c>
      <c r="E445" t="inlineStr">
        <is>
          <t>SUNDSVALL</t>
        </is>
      </c>
      <c r="G445" t="n">
        <v>1.7</v>
      </c>
      <c r="H445" t="n">
        <v>0</v>
      </c>
      <c r="I445" t="n">
        <v>0</v>
      </c>
      <c r="J445" t="n">
        <v>0</v>
      </c>
      <c r="K445" t="n">
        <v>0</v>
      </c>
      <c r="L445" t="n">
        <v>0</v>
      </c>
      <c r="M445" t="n">
        <v>0</v>
      </c>
      <c r="N445" t="n">
        <v>0</v>
      </c>
      <c r="O445" t="n">
        <v>0</v>
      </c>
      <c r="P445" t="n">
        <v>0</v>
      </c>
      <c r="Q445" t="n">
        <v>0</v>
      </c>
      <c r="R445" s="2" t="inlineStr"/>
    </row>
    <row r="446" ht="15" customHeight="1">
      <c r="A446" t="inlineStr">
        <is>
          <t>A 6644-2022</t>
        </is>
      </c>
      <c r="B446" s="1" t="n">
        <v>44601.93631944444</v>
      </c>
      <c r="C446" s="1" t="n">
        <v>45881</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10482-2021</t>
        </is>
      </c>
      <c r="B447" s="1" t="n">
        <v>44257</v>
      </c>
      <c r="C447" s="1" t="n">
        <v>45881</v>
      </c>
      <c r="D447" t="inlineStr">
        <is>
          <t>VÄSTERNORRLANDS LÄN</t>
        </is>
      </c>
      <c r="E447" t="inlineStr">
        <is>
          <t>SUNDSVALL</t>
        </is>
      </c>
      <c r="G447" t="n">
        <v>5.7</v>
      </c>
      <c r="H447" t="n">
        <v>0</v>
      </c>
      <c r="I447" t="n">
        <v>0</v>
      </c>
      <c r="J447" t="n">
        <v>0</v>
      </c>
      <c r="K447" t="n">
        <v>0</v>
      </c>
      <c r="L447" t="n">
        <v>0</v>
      </c>
      <c r="M447" t="n">
        <v>0</v>
      </c>
      <c r="N447" t="n">
        <v>0</v>
      </c>
      <c r="O447" t="n">
        <v>0</v>
      </c>
      <c r="P447" t="n">
        <v>0</v>
      </c>
      <c r="Q447" t="n">
        <v>0</v>
      </c>
      <c r="R447" s="2" t="inlineStr"/>
    </row>
    <row r="448" ht="15" customHeight="1">
      <c r="A448" t="inlineStr">
        <is>
          <t>A 42878-2022</t>
        </is>
      </c>
      <c r="B448" s="1" t="n">
        <v>44832.92944444445</v>
      </c>
      <c r="C448" s="1" t="n">
        <v>45881</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40827-2022</t>
        </is>
      </c>
      <c r="B449" s="1" t="n">
        <v>44824</v>
      </c>
      <c r="C449" s="1" t="n">
        <v>45881</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64479-2020</t>
        </is>
      </c>
      <c r="B450" s="1" t="n">
        <v>44168</v>
      </c>
      <c r="C450" s="1" t="n">
        <v>45881</v>
      </c>
      <c r="D450" t="inlineStr">
        <is>
          <t>VÄSTERNORRLANDS LÄN</t>
        </is>
      </c>
      <c r="E450" t="inlineStr">
        <is>
          <t>SUNDSVALL</t>
        </is>
      </c>
      <c r="G450" t="n">
        <v>0.8</v>
      </c>
      <c r="H450" t="n">
        <v>0</v>
      </c>
      <c r="I450" t="n">
        <v>0</v>
      </c>
      <c r="J450" t="n">
        <v>0</v>
      </c>
      <c r="K450" t="n">
        <v>0</v>
      </c>
      <c r="L450" t="n">
        <v>0</v>
      </c>
      <c r="M450" t="n">
        <v>0</v>
      </c>
      <c r="N450" t="n">
        <v>0</v>
      </c>
      <c r="O450" t="n">
        <v>0</v>
      </c>
      <c r="P450" t="n">
        <v>0</v>
      </c>
      <c r="Q450" t="n">
        <v>0</v>
      </c>
      <c r="R450" s="2" t="inlineStr"/>
    </row>
    <row r="451" ht="15" customHeight="1">
      <c r="A451" t="inlineStr">
        <is>
          <t>A 5654-2022</t>
        </is>
      </c>
      <c r="B451" s="1" t="n">
        <v>44595</v>
      </c>
      <c r="C451" s="1" t="n">
        <v>45881</v>
      </c>
      <c r="D451" t="inlineStr">
        <is>
          <t>VÄSTERNORRLANDS LÄN</t>
        </is>
      </c>
      <c r="E451" t="inlineStr">
        <is>
          <t>SUNDSVALL</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51754-2020</t>
        </is>
      </c>
      <c r="B452" s="1" t="n">
        <v>44114</v>
      </c>
      <c r="C452" s="1" t="n">
        <v>45881</v>
      </c>
      <c r="D452" t="inlineStr">
        <is>
          <t>VÄSTERNORRLANDS LÄN</t>
        </is>
      </c>
      <c r="E452" t="inlineStr">
        <is>
          <t>SUNDSVALL</t>
        </is>
      </c>
      <c r="G452" t="n">
        <v>6.8</v>
      </c>
      <c r="H452" t="n">
        <v>0</v>
      </c>
      <c r="I452" t="n">
        <v>0</v>
      </c>
      <c r="J452" t="n">
        <v>0</v>
      </c>
      <c r="K452" t="n">
        <v>0</v>
      </c>
      <c r="L452" t="n">
        <v>0</v>
      </c>
      <c r="M452" t="n">
        <v>0</v>
      </c>
      <c r="N452" t="n">
        <v>0</v>
      </c>
      <c r="O452" t="n">
        <v>0</v>
      </c>
      <c r="P452" t="n">
        <v>0</v>
      </c>
      <c r="Q452" t="n">
        <v>0</v>
      </c>
      <c r="R452" s="2" t="inlineStr"/>
    </row>
    <row r="453" ht="15" customHeight="1">
      <c r="A453" t="inlineStr">
        <is>
          <t>A 44406-2022</t>
        </is>
      </c>
      <c r="B453" s="1" t="n">
        <v>44838</v>
      </c>
      <c r="C453" s="1" t="n">
        <v>45881</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44415-2022</t>
        </is>
      </c>
      <c r="B454" s="1" t="n">
        <v>44839</v>
      </c>
      <c r="C454" s="1" t="n">
        <v>45881</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44416-2022</t>
        </is>
      </c>
      <c r="B455" s="1" t="n">
        <v>44839</v>
      </c>
      <c r="C455" s="1" t="n">
        <v>45881</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41335-2020</t>
        </is>
      </c>
      <c r="B456" s="1" t="n">
        <v>44071</v>
      </c>
      <c r="C456" s="1" t="n">
        <v>45881</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45881</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53214-2020</t>
        </is>
      </c>
      <c r="B458" s="1" t="n">
        <v>44122</v>
      </c>
      <c r="C458" s="1" t="n">
        <v>45881</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62077-2021</t>
        </is>
      </c>
      <c r="B459" s="1" t="n">
        <v>44502</v>
      </c>
      <c r="C459" s="1" t="n">
        <v>45881</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45881</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45881</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45829-2020</t>
        </is>
      </c>
      <c r="B462" s="1" t="n">
        <v>44090</v>
      </c>
      <c r="C462" s="1" t="n">
        <v>45881</v>
      </c>
      <c r="D462" t="inlineStr">
        <is>
          <t>VÄSTERNORRLANDS LÄN</t>
        </is>
      </c>
      <c r="E462" t="inlineStr">
        <is>
          <t>SUNDSVALL</t>
        </is>
      </c>
      <c r="F462" t="inlineStr">
        <is>
          <t>Naturvårdsverket</t>
        </is>
      </c>
      <c r="G462" t="n">
        <v>5.3</v>
      </c>
      <c r="H462" t="n">
        <v>0</v>
      </c>
      <c r="I462" t="n">
        <v>0</v>
      </c>
      <c r="J462" t="n">
        <v>0</v>
      </c>
      <c r="K462" t="n">
        <v>0</v>
      </c>
      <c r="L462" t="n">
        <v>0</v>
      </c>
      <c r="M462" t="n">
        <v>0</v>
      </c>
      <c r="N462" t="n">
        <v>0</v>
      </c>
      <c r="O462" t="n">
        <v>0</v>
      </c>
      <c r="P462" t="n">
        <v>0</v>
      </c>
      <c r="Q462" t="n">
        <v>0</v>
      </c>
      <c r="R462" s="2" t="inlineStr"/>
    </row>
    <row r="463" ht="15" customHeight="1">
      <c r="A463" t="inlineStr">
        <is>
          <t>A 39676-2021</t>
        </is>
      </c>
      <c r="B463" s="1" t="n">
        <v>44414</v>
      </c>
      <c r="C463" s="1" t="n">
        <v>45881</v>
      </c>
      <c r="D463" t="inlineStr">
        <is>
          <t>VÄSTERNORRLANDS LÄN</t>
        </is>
      </c>
      <c r="E463" t="inlineStr">
        <is>
          <t>SUNDSVALL</t>
        </is>
      </c>
      <c r="G463" t="n">
        <v>2.8</v>
      </c>
      <c r="H463" t="n">
        <v>0</v>
      </c>
      <c r="I463" t="n">
        <v>0</v>
      </c>
      <c r="J463" t="n">
        <v>0</v>
      </c>
      <c r="K463" t="n">
        <v>0</v>
      </c>
      <c r="L463" t="n">
        <v>0</v>
      </c>
      <c r="M463" t="n">
        <v>0</v>
      </c>
      <c r="N463" t="n">
        <v>0</v>
      </c>
      <c r="O463" t="n">
        <v>0</v>
      </c>
      <c r="P463" t="n">
        <v>0</v>
      </c>
      <c r="Q463" t="n">
        <v>0</v>
      </c>
      <c r="R463" s="2" t="inlineStr"/>
    </row>
    <row r="464" ht="15" customHeight="1">
      <c r="A464" t="inlineStr">
        <is>
          <t>A 29577-2021</t>
        </is>
      </c>
      <c r="B464" s="1" t="n">
        <v>44361</v>
      </c>
      <c r="C464" s="1" t="n">
        <v>45881</v>
      </c>
      <c r="D464" t="inlineStr">
        <is>
          <t>VÄSTERNORRLANDS LÄN</t>
        </is>
      </c>
      <c r="E464" t="inlineStr">
        <is>
          <t>SUNDSVALL</t>
        </is>
      </c>
      <c r="G464" t="n">
        <v>2.3</v>
      </c>
      <c r="H464" t="n">
        <v>0</v>
      </c>
      <c r="I464" t="n">
        <v>0</v>
      </c>
      <c r="J464" t="n">
        <v>0</v>
      </c>
      <c r="K464" t="n">
        <v>0</v>
      </c>
      <c r="L464" t="n">
        <v>0</v>
      </c>
      <c r="M464" t="n">
        <v>0</v>
      </c>
      <c r="N464" t="n">
        <v>0</v>
      </c>
      <c r="O464" t="n">
        <v>0</v>
      </c>
      <c r="P464" t="n">
        <v>0</v>
      </c>
      <c r="Q464" t="n">
        <v>0</v>
      </c>
      <c r="R464" s="2" t="inlineStr"/>
    </row>
    <row r="465" ht="15" customHeight="1">
      <c r="A465" t="inlineStr">
        <is>
          <t>A 7434-2022</t>
        </is>
      </c>
      <c r="B465" s="1" t="n">
        <v>44606.93344907407</v>
      </c>
      <c r="C465" s="1" t="n">
        <v>45881</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45337-2020</t>
        </is>
      </c>
      <c r="B466" s="1" t="n">
        <v>44085</v>
      </c>
      <c r="C466" s="1" t="n">
        <v>45881</v>
      </c>
      <c r="D466" t="inlineStr">
        <is>
          <t>VÄSTERNORRLANDS LÄN</t>
        </is>
      </c>
      <c r="E466" t="inlineStr">
        <is>
          <t>SUNDSVALL</t>
        </is>
      </c>
      <c r="G466" t="n">
        <v>0.9</v>
      </c>
      <c r="H466" t="n">
        <v>0</v>
      </c>
      <c r="I466" t="n">
        <v>0</v>
      </c>
      <c r="J466" t="n">
        <v>0</v>
      </c>
      <c r="K466" t="n">
        <v>0</v>
      </c>
      <c r="L466" t="n">
        <v>0</v>
      </c>
      <c r="M466" t="n">
        <v>0</v>
      </c>
      <c r="N466" t="n">
        <v>0</v>
      </c>
      <c r="O466" t="n">
        <v>0</v>
      </c>
      <c r="P466" t="n">
        <v>0</v>
      </c>
      <c r="Q466" t="n">
        <v>0</v>
      </c>
      <c r="R466" s="2" t="inlineStr"/>
    </row>
    <row r="467" ht="15" customHeight="1">
      <c r="A467" t="inlineStr">
        <is>
          <t>A 17586-2022</t>
        </is>
      </c>
      <c r="B467" s="1" t="n">
        <v>44679.94385416667</v>
      </c>
      <c r="C467" s="1" t="n">
        <v>45881</v>
      </c>
      <c r="D467" t="inlineStr">
        <is>
          <t>VÄSTERNORRLANDS LÄN</t>
        </is>
      </c>
      <c r="E467" t="inlineStr">
        <is>
          <t>SUNDSVALL</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2233-2021</t>
        </is>
      </c>
      <c r="B468" s="1" t="n">
        <v>44211</v>
      </c>
      <c r="C468" s="1" t="n">
        <v>45881</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55896-2022</t>
        </is>
      </c>
      <c r="B469" s="1" t="n">
        <v>44888.95318287037</v>
      </c>
      <c r="C469" s="1" t="n">
        <v>45881</v>
      </c>
      <c r="D469" t="inlineStr">
        <is>
          <t>VÄSTERNORRLANDS LÄN</t>
        </is>
      </c>
      <c r="E469" t="inlineStr">
        <is>
          <t>SUNDSVALL</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59326-2021</t>
        </is>
      </c>
      <c r="B470" s="1" t="n">
        <v>44490.94144675926</v>
      </c>
      <c r="C470" s="1" t="n">
        <v>45881</v>
      </c>
      <c r="D470" t="inlineStr">
        <is>
          <t>VÄSTERNORRLANDS LÄN</t>
        </is>
      </c>
      <c r="E470" t="inlineStr">
        <is>
          <t>SUNDSVALL</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45000-2021</t>
        </is>
      </c>
      <c r="B471" s="1" t="n">
        <v>44438.91943287037</v>
      </c>
      <c r="C471" s="1" t="n">
        <v>45881</v>
      </c>
      <c r="D471" t="inlineStr">
        <is>
          <t>VÄSTERNORRLANDS LÄN</t>
        </is>
      </c>
      <c r="E471" t="inlineStr">
        <is>
          <t>SUNDSVALL</t>
        </is>
      </c>
      <c r="G471" t="n">
        <v>4.8</v>
      </c>
      <c r="H471" t="n">
        <v>0</v>
      </c>
      <c r="I471" t="n">
        <v>0</v>
      </c>
      <c r="J471" t="n">
        <v>0</v>
      </c>
      <c r="K471" t="n">
        <v>0</v>
      </c>
      <c r="L471" t="n">
        <v>0</v>
      </c>
      <c r="M471" t="n">
        <v>0</v>
      </c>
      <c r="N471" t="n">
        <v>0</v>
      </c>
      <c r="O471" t="n">
        <v>0</v>
      </c>
      <c r="P471" t="n">
        <v>0</v>
      </c>
      <c r="Q471" t="n">
        <v>0</v>
      </c>
      <c r="R471" s="2" t="inlineStr"/>
    </row>
    <row r="472" ht="15" customHeight="1">
      <c r="A472" t="inlineStr">
        <is>
          <t>A 41222-2022</t>
        </is>
      </c>
      <c r="B472" s="1" t="n">
        <v>44825</v>
      </c>
      <c r="C472" s="1" t="n">
        <v>45881</v>
      </c>
      <c r="D472" t="inlineStr">
        <is>
          <t>VÄSTERNORRLANDS LÄN</t>
        </is>
      </c>
      <c r="E472" t="inlineStr">
        <is>
          <t>SUNDSVALL</t>
        </is>
      </c>
      <c r="G472" t="n">
        <v>1.8</v>
      </c>
      <c r="H472" t="n">
        <v>0</v>
      </c>
      <c r="I472" t="n">
        <v>0</v>
      </c>
      <c r="J472" t="n">
        <v>0</v>
      </c>
      <c r="K472" t="n">
        <v>0</v>
      </c>
      <c r="L472" t="n">
        <v>0</v>
      </c>
      <c r="M472" t="n">
        <v>0</v>
      </c>
      <c r="N472" t="n">
        <v>0</v>
      </c>
      <c r="O472" t="n">
        <v>0</v>
      </c>
      <c r="P472" t="n">
        <v>0</v>
      </c>
      <c r="Q472" t="n">
        <v>0</v>
      </c>
      <c r="R472" s="2" t="inlineStr"/>
    </row>
    <row r="473" ht="15" customHeight="1">
      <c r="A473" t="inlineStr">
        <is>
          <t>A 10242-2025</t>
        </is>
      </c>
      <c r="B473" s="1" t="n">
        <v>45720.34821759259</v>
      </c>
      <c r="C473" s="1" t="n">
        <v>45881</v>
      </c>
      <c r="D473" t="inlineStr">
        <is>
          <t>VÄSTERNORRLANDS LÄN</t>
        </is>
      </c>
      <c r="E473" t="inlineStr">
        <is>
          <t>SUNDSVALL</t>
        </is>
      </c>
      <c r="G473" t="n">
        <v>4.5</v>
      </c>
      <c r="H473" t="n">
        <v>0</v>
      </c>
      <c r="I473" t="n">
        <v>0</v>
      </c>
      <c r="J473" t="n">
        <v>0</v>
      </c>
      <c r="K473" t="n">
        <v>0</v>
      </c>
      <c r="L473" t="n">
        <v>0</v>
      </c>
      <c r="M473" t="n">
        <v>0</v>
      </c>
      <c r="N473" t="n">
        <v>0</v>
      </c>
      <c r="O473" t="n">
        <v>0</v>
      </c>
      <c r="P473" t="n">
        <v>0</v>
      </c>
      <c r="Q473" t="n">
        <v>0</v>
      </c>
      <c r="R473" s="2" t="inlineStr"/>
    </row>
    <row r="474" ht="15" customHeight="1">
      <c r="A474" t="inlineStr">
        <is>
          <t>A 64394-2020</t>
        </is>
      </c>
      <c r="B474" s="1" t="n">
        <v>44168</v>
      </c>
      <c r="C474" s="1" t="n">
        <v>45881</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42195-2021</t>
        </is>
      </c>
      <c r="B475" s="1" t="n">
        <v>44426.69466435185</v>
      </c>
      <c r="C475" s="1" t="n">
        <v>45881</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7463-2025</t>
        </is>
      </c>
      <c r="B476" s="1" t="n">
        <v>45705.44458333333</v>
      </c>
      <c r="C476" s="1" t="n">
        <v>45881</v>
      </c>
      <c r="D476" t="inlineStr">
        <is>
          <t>VÄSTERNORRLANDS LÄN</t>
        </is>
      </c>
      <c r="E476" t="inlineStr">
        <is>
          <t>SUNDSVALL</t>
        </is>
      </c>
      <c r="G476" t="n">
        <v>3.4</v>
      </c>
      <c r="H476" t="n">
        <v>0</v>
      </c>
      <c r="I476" t="n">
        <v>0</v>
      </c>
      <c r="J476" t="n">
        <v>0</v>
      </c>
      <c r="K476" t="n">
        <v>0</v>
      </c>
      <c r="L476" t="n">
        <v>0</v>
      </c>
      <c r="M476" t="n">
        <v>0</v>
      </c>
      <c r="N476" t="n">
        <v>0</v>
      </c>
      <c r="O476" t="n">
        <v>0</v>
      </c>
      <c r="P476" t="n">
        <v>0</v>
      </c>
      <c r="Q476" t="n">
        <v>0</v>
      </c>
      <c r="R476" s="2" t="inlineStr"/>
    </row>
    <row r="477" ht="15" customHeight="1">
      <c r="A477" t="inlineStr">
        <is>
          <t>A 8440-2025</t>
        </is>
      </c>
      <c r="B477" s="1" t="n">
        <v>45709.44836805556</v>
      </c>
      <c r="C477" s="1" t="n">
        <v>45881</v>
      </c>
      <c r="D477" t="inlineStr">
        <is>
          <t>VÄSTERNORRLANDS LÄN</t>
        </is>
      </c>
      <c r="E477" t="inlineStr">
        <is>
          <t>SUNDSVALL</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10602-2021</t>
        </is>
      </c>
      <c r="B478" s="1" t="n">
        <v>44258</v>
      </c>
      <c r="C478" s="1" t="n">
        <v>45881</v>
      </c>
      <c r="D478" t="inlineStr">
        <is>
          <t>VÄSTERNORRLANDS LÄN</t>
        </is>
      </c>
      <c r="E478" t="inlineStr">
        <is>
          <t>SUNDSVALL</t>
        </is>
      </c>
      <c r="G478" t="n">
        <v>1.6</v>
      </c>
      <c r="H478" t="n">
        <v>0</v>
      </c>
      <c r="I478" t="n">
        <v>0</v>
      </c>
      <c r="J478" t="n">
        <v>0</v>
      </c>
      <c r="K478" t="n">
        <v>0</v>
      </c>
      <c r="L478" t="n">
        <v>0</v>
      </c>
      <c r="M478" t="n">
        <v>0</v>
      </c>
      <c r="N478" t="n">
        <v>0</v>
      </c>
      <c r="O478" t="n">
        <v>0</v>
      </c>
      <c r="P478" t="n">
        <v>0</v>
      </c>
      <c r="Q478" t="n">
        <v>0</v>
      </c>
      <c r="R478" s="2" t="inlineStr"/>
    </row>
    <row r="479" ht="15" customHeight="1">
      <c r="A479" t="inlineStr">
        <is>
          <t>A 44688-2023</t>
        </is>
      </c>
      <c r="B479" s="1" t="n">
        <v>45189.92204861111</v>
      </c>
      <c r="C479" s="1" t="n">
        <v>45881</v>
      </c>
      <c r="D479" t="inlineStr">
        <is>
          <t>VÄSTERNORRLANDS LÄN</t>
        </is>
      </c>
      <c r="E479" t="inlineStr">
        <is>
          <t>SUNDSVALL</t>
        </is>
      </c>
      <c r="G479" t="n">
        <v>3</v>
      </c>
      <c r="H479" t="n">
        <v>0</v>
      </c>
      <c r="I479" t="n">
        <v>0</v>
      </c>
      <c r="J479" t="n">
        <v>0</v>
      </c>
      <c r="K479" t="n">
        <v>0</v>
      </c>
      <c r="L479" t="n">
        <v>0</v>
      </c>
      <c r="M479" t="n">
        <v>0</v>
      </c>
      <c r="N479" t="n">
        <v>0</v>
      </c>
      <c r="O479" t="n">
        <v>0</v>
      </c>
      <c r="P479" t="n">
        <v>0</v>
      </c>
      <c r="Q479" t="n">
        <v>0</v>
      </c>
      <c r="R479" s="2" t="inlineStr"/>
    </row>
    <row r="480" ht="15" customHeight="1">
      <c r="A480" t="inlineStr">
        <is>
          <t>A 14468-2022</t>
        </is>
      </c>
      <c r="B480" s="1" t="n">
        <v>44654.67935185185</v>
      </c>
      <c r="C480" s="1" t="n">
        <v>45881</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9149-2025</t>
        </is>
      </c>
      <c r="B481" s="1" t="n">
        <v>45714</v>
      </c>
      <c r="C481" s="1" t="n">
        <v>45881</v>
      </c>
      <c r="D481" t="inlineStr">
        <is>
          <t>VÄSTERNORRLANDS LÄN</t>
        </is>
      </c>
      <c r="E481" t="inlineStr">
        <is>
          <t>SUNDSVALL</t>
        </is>
      </c>
      <c r="F481" t="inlineStr">
        <is>
          <t>SCA</t>
        </is>
      </c>
      <c r="G481" t="n">
        <v>15.5</v>
      </c>
      <c r="H481" t="n">
        <v>0</v>
      </c>
      <c r="I481" t="n">
        <v>0</v>
      </c>
      <c r="J481" t="n">
        <v>0</v>
      </c>
      <c r="K481" t="n">
        <v>0</v>
      </c>
      <c r="L481" t="n">
        <v>0</v>
      </c>
      <c r="M481" t="n">
        <v>0</v>
      </c>
      <c r="N481" t="n">
        <v>0</v>
      </c>
      <c r="O481" t="n">
        <v>0</v>
      </c>
      <c r="P481" t="n">
        <v>0</v>
      </c>
      <c r="Q481" t="n">
        <v>0</v>
      </c>
      <c r="R481" s="2" t="inlineStr"/>
    </row>
    <row r="482" ht="15" customHeight="1">
      <c r="A482" t="inlineStr">
        <is>
          <t>A 55988-2020</t>
        </is>
      </c>
      <c r="B482" s="1" t="n">
        <v>44132</v>
      </c>
      <c r="C482" s="1" t="n">
        <v>45881</v>
      </c>
      <c r="D482" t="inlineStr">
        <is>
          <t>VÄSTERNORRLANDS LÄN</t>
        </is>
      </c>
      <c r="E482" t="inlineStr">
        <is>
          <t>SUNDSVALL</t>
        </is>
      </c>
      <c r="G482" t="n">
        <v>1.1</v>
      </c>
      <c r="H482" t="n">
        <v>0</v>
      </c>
      <c r="I482" t="n">
        <v>0</v>
      </c>
      <c r="J482" t="n">
        <v>0</v>
      </c>
      <c r="K482" t="n">
        <v>0</v>
      </c>
      <c r="L482" t="n">
        <v>0</v>
      </c>
      <c r="M482" t="n">
        <v>0</v>
      </c>
      <c r="N482" t="n">
        <v>0</v>
      </c>
      <c r="O482" t="n">
        <v>0</v>
      </c>
      <c r="P482" t="n">
        <v>0</v>
      </c>
      <c r="Q482" t="n">
        <v>0</v>
      </c>
      <c r="R482" s="2" t="inlineStr"/>
    </row>
    <row r="483" ht="15" customHeight="1">
      <c r="A483" t="inlineStr">
        <is>
          <t>A 62283-2023</t>
        </is>
      </c>
      <c r="B483" s="1" t="n">
        <v>45266</v>
      </c>
      <c r="C483" s="1" t="n">
        <v>45881</v>
      </c>
      <c r="D483" t="inlineStr">
        <is>
          <t>VÄSTERNORRLANDS LÄN</t>
        </is>
      </c>
      <c r="E483" t="inlineStr">
        <is>
          <t>SUNDSVALL</t>
        </is>
      </c>
      <c r="G483" t="n">
        <v>6.4</v>
      </c>
      <c r="H483" t="n">
        <v>0</v>
      </c>
      <c r="I483" t="n">
        <v>0</v>
      </c>
      <c r="J483" t="n">
        <v>0</v>
      </c>
      <c r="K483" t="n">
        <v>0</v>
      </c>
      <c r="L483" t="n">
        <v>0</v>
      </c>
      <c r="M483" t="n">
        <v>0</v>
      </c>
      <c r="N483" t="n">
        <v>0</v>
      </c>
      <c r="O483" t="n">
        <v>0</v>
      </c>
      <c r="P483" t="n">
        <v>0</v>
      </c>
      <c r="Q483" t="n">
        <v>0</v>
      </c>
      <c r="R483" s="2" t="inlineStr"/>
    </row>
    <row r="484" ht="15" customHeight="1">
      <c r="A484" t="inlineStr">
        <is>
          <t>A 53450-2023</t>
        </is>
      </c>
      <c r="B484" s="1" t="n">
        <v>45229.96534722222</v>
      </c>
      <c r="C484" s="1" t="n">
        <v>45881</v>
      </c>
      <c r="D484" t="inlineStr">
        <is>
          <t>VÄSTERNORRLANDS LÄN</t>
        </is>
      </c>
      <c r="E484" t="inlineStr">
        <is>
          <t>SUNDSVALL</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29926-2021</t>
        </is>
      </c>
      <c r="B485" s="1" t="n">
        <v>44362.93724537037</v>
      </c>
      <c r="C485" s="1" t="n">
        <v>45881</v>
      </c>
      <c r="D485" t="inlineStr">
        <is>
          <t>VÄSTERNORRLANDS LÄN</t>
        </is>
      </c>
      <c r="E485" t="inlineStr">
        <is>
          <t>SUNDSVALL</t>
        </is>
      </c>
      <c r="G485" t="n">
        <v>3.3</v>
      </c>
      <c r="H485" t="n">
        <v>0</v>
      </c>
      <c r="I485" t="n">
        <v>0</v>
      </c>
      <c r="J485" t="n">
        <v>0</v>
      </c>
      <c r="K485" t="n">
        <v>0</v>
      </c>
      <c r="L485" t="n">
        <v>0</v>
      </c>
      <c r="M485" t="n">
        <v>0</v>
      </c>
      <c r="N485" t="n">
        <v>0</v>
      </c>
      <c r="O485" t="n">
        <v>0</v>
      </c>
      <c r="P485" t="n">
        <v>0</v>
      </c>
      <c r="Q485" t="n">
        <v>0</v>
      </c>
      <c r="R485" s="2" t="inlineStr"/>
    </row>
    <row r="486" ht="15" customHeight="1">
      <c r="A486" t="inlineStr">
        <is>
          <t>A 4045-2024</t>
        </is>
      </c>
      <c r="B486" s="1" t="n">
        <v>45323.46451388889</v>
      </c>
      <c r="C486" s="1" t="n">
        <v>45881</v>
      </c>
      <c r="D486" t="inlineStr">
        <is>
          <t>VÄSTERNORRLANDS LÄN</t>
        </is>
      </c>
      <c r="E486" t="inlineStr">
        <is>
          <t>SUNDSVALL</t>
        </is>
      </c>
      <c r="F486" t="inlineStr">
        <is>
          <t>Kommuner</t>
        </is>
      </c>
      <c r="G486" t="n">
        <v>6.9</v>
      </c>
      <c r="H486" t="n">
        <v>0</v>
      </c>
      <c r="I486" t="n">
        <v>0</v>
      </c>
      <c r="J486" t="n">
        <v>0</v>
      </c>
      <c r="K486" t="n">
        <v>0</v>
      </c>
      <c r="L486" t="n">
        <v>0</v>
      </c>
      <c r="M486" t="n">
        <v>0</v>
      </c>
      <c r="N486" t="n">
        <v>0</v>
      </c>
      <c r="O486" t="n">
        <v>0</v>
      </c>
      <c r="P486" t="n">
        <v>0</v>
      </c>
      <c r="Q486" t="n">
        <v>0</v>
      </c>
      <c r="R486" s="2" t="inlineStr"/>
    </row>
    <row r="487" ht="15" customHeight="1">
      <c r="A487" t="inlineStr">
        <is>
          <t>A 63651-2021</t>
        </is>
      </c>
      <c r="B487" s="1" t="n">
        <v>44508</v>
      </c>
      <c r="C487" s="1" t="n">
        <v>45881</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8850-2025</t>
        </is>
      </c>
      <c r="B488" s="1" t="n">
        <v>45713</v>
      </c>
      <c r="C488" s="1" t="n">
        <v>45881</v>
      </c>
      <c r="D488" t="inlineStr">
        <is>
          <t>VÄSTERNORRLANDS LÄN</t>
        </is>
      </c>
      <c r="E488" t="inlineStr">
        <is>
          <t>SUNDSVALL</t>
        </is>
      </c>
      <c r="G488" t="n">
        <v>4.1</v>
      </c>
      <c r="H488" t="n">
        <v>0</v>
      </c>
      <c r="I488" t="n">
        <v>0</v>
      </c>
      <c r="J488" t="n">
        <v>0</v>
      </c>
      <c r="K488" t="n">
        <v>0</v>
      </c>
      <c r="L488" t="n">
        <v>0</v>
      </c>
      <c r="M488" t="n">
        <v>0</v>
      </c>
      <c r="N488" t="n">
        <v>0</v>
      </c>
      <c r="O488" t="n">
        <v>0</v>
      </c>
      <c r="P488" t="n">
        <v>0</v>
      </c>
      <c r="Q488" t="n">
        <v>0</v>
      </c>
      <c r="R488" s="2" t="inlineStr"/>
    </row>
    <row r="489" ht="15" customHeight="1">
      <c r="A489" t="inlineStr">
        <is>
          <t>A 53934-2022</t>
        </is>
      </c>
      <c r="B489" s="1" t="n">
        <v>44880.95587962963</v>
      </c>
      <c r="C489" s="1" t="n">
        <v>45881</v>
      </c>
      <c r="D489" t="inlineStr">
        <is>
          <t>VÄSTERNORRLANDS LÄN</t>
        </is>
      </c>
      <c r="E489" t="inlineStr">
        <is>
          <t>SUNDSVALL</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12044-2025</t>
        </is>
      </c>
      <c r="B490" s="1" t="n">
        <v>45728</v>
      </c>
      <c r="C490" s="1" t="n">
        <v>45881</v>
      </c>
      <c r="D490" t="inlineStr">
        <is>
          <t>VÄSTERNORRLANDS LÄN</t>
        </is>
      </c>
      <c r="E490" t="inlineStr">
        <is>
          <t>SUNDSVALL</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23081-2022</t>
        </is>
      </c>
      <c r="B491" s="1" t="n">
        <v>44719.46951388889</v>
      </c>
      <c r="C491" s="1" t="n">
        <v>45881</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49319-2023</t>
        </is>
      </c>
      <c r="B492" s="1" t="n">
        <v>45210.94841435185</v>
      </c>
      <c r="C492" s="1" t="n">
        <v>45881</v>
      </c>
      <c r="D492" t="inlineStr">
        <is>
          <t>VÄSTERNORRLANDS LÄN</t>
        </is>
      </c>
      <c r="E492" t="inlineStr">
        <is>
          <t>SUNDSVALL</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29301-2021</t>
        </is>
      </c>
      <c r="B493" s="1" t="n">
        <v>44361.40407407407</v>
      </c>
      <c r="C493" s="1" t="n">
        <v>45881</v>
      </c>
      <c r="D493" t="inlineStr">
        <is>
          <t>VÄSTERNORRLANDS LÄN</t>
        </is>
      </c>
      <c r="E493" t="inlineStr">
        <is>
          <t>SUNDSVALL</t>
        </is>
      </c>
      <c r="G493" t="n">
        <v>3.8</v>
      </c>
      <c r="H493" t="n">
        <v>0</v>
      </c>
      <c r="I493" t="n">
        <v>0</v>
      </c>
      <c r="J493" t="n">
        <v>0</v>
      </c>
      <c r="K493" t="n">
        <v>0</v>
      </c>
      <c r="L493" t="n">
        <v>0</v>
      </c>
      <c r="M493" t="n">
        <v>0</v>
      </c>
      <c r="N493" t="n">
        <v>0</v>
      </c>
      <c r="O493" t="n">
        <v>0</v>
      </c>
      <c r="P493" t="n">
        <v>0</v>
      </c>
      <c r="Q493" t="n">
        <v>0</v>
      </c>
      <c r="R493" s="2" t="inlineStr"/>
    </row>
    <row r="494" ht="15" customHeight="1">
      <c r="A494" t="inlineStr">
        <is>
          <t>A 17690-2021</t>
        </is>
      </c>
      <c r="B494" s="1" t="n">
        <v>44300</v>
      </c>
      <c r="C494" s="1" t="n">
        <v>45881</v>
      </c>
      <c r="D494" t="inlineStr">
        <is>
          <t>VÄSTERNORRLANDS LÄN</t>
        </is>
      </c>
      <c r="E494" t="inlineStr">
        <is>
          <t>SUNDSVALL</t>
        </is>
      </c>
      <c r="G494" t="n">
        <v>0.5</v>
      </c>
      <c r="H494" t="n">
        <v>0</v>
      </c>
      <c r="I494" t="n">
        <v>0</v>
      </c>
      <c r="J494" t="n">
        <v>0</v>
      </c>
      <c r="K494" t="n">
        <v>0</v>
      </c>
      <c r="L494" t="n">
        <v>0</v>
      </c>
      <c r="M494" t="n">
        <v>0</v>
      </c>
      <c r="N494" t="n">
        <v>0</v>
      </c>
      <c r="O494" t="n">
        <v>0</v>
      </c>
      <c r="P494" t="n">
        <v>0</v>
      </c>
      <c r="Q494" t="n">
        <v>0</v>
      </c>
      <c r="R494" s="2" t="inlineStr"/>
    </row>
    <row r="495" ht="15" customHeight="1">
      <c r="A495" t="inlineStr">
        <is>
          <t>A 57082-2021</t>
        </is>
      </c>
      <c r="B495" s="1" t="n">
        <v>44482</v>
      </c>
      <c r="C495" s="1" t="n">
        <v>45881</v>
      </c>
      <c r="D495" t="inlineStr">
        <is>
          <t>VÄSTERNORRLANDS LÄN</t>
        </is>
      </c>
      <c r="E495" t="inlineStr">
        <is>
          <t>SUNDSVALL</t>
        </is>
      </c>
      <c r="G495" t="n">
        <v>0.3</v>
      </c>
      <c r="H495" t="n">
        <v>0</v>
      </c>
      <c r="I495" t="n">
        <v>0</v>
      </c>
      <c r="J495" t="n">
        <v>0</v>
      </c>
      <c r="K495" t="n">
        <v>0</v>
      </c>
      <c r="L495" t="n">
        <v>0</v>
      </c>
      <c r="M495" t="n">
        <v>0</v>
      </c>
      <c r="N495" t="n">
        <v>0</v>
      </c>
      <c r="O495" t="n">
        <v>0</v>
      </c>
      <c r="P495" t="n">
        <v>0</v>
      </c>
      <c r="Q495" t="n">
        <v>0</v>
      </c>
      <c r="R495" s="2" t="inlineStr"/>
    </row>
    <row r="496" ht="15" customHeight="1">
      <c r="A496" t="inlineStr">
        <is>
          <t>A 57784-2023</t>
        </is>
      </c>
      <c r="B496" s="1" t="n">
        <v>45246</v>
      </c>
      <c r="C496" s="1" t="n">
        <v>45881</v>
      </c>
      <c r="D496" t="inlineStr">
        <is>
          <t>VÄSTERNORRLANDS LÄN</t>
        </is>
      </c>
      <c r="E496" t="inlineStr">
        <is>
          <t>SUNDSVALL</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44350-2022</t>
        </is>
      </c>
      <c r="B497" s="1" t="n">
        <v>44839.68814814815</v>
      </c>
      <c r="C497" s="1" t="n">
        <v>45881</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29662-2024</t>
        </is>
      </c>
      <c r="B498" s="1" t="n">
        <v>45484.93993055556</v>
      </c>
      <c r="C498" s="1" t="n">
        <v>45881</v>
      </c>
      <c r="D498" t="inlineStr">
        <is>
          <t>VÄSTERNORRLANDS LÄN</t>
        </is>
      </c>
      <c r="E498" t="inlineStr">
        <is>
          <t>SUNDSVALL</t>
        </is>
      </c>
      <c r="F498" t="inlineStr">
        <is>
          <t>SCA</t>
        </is>
      </c>
      <c r="G498" t="n">
        <v>27.8</v>
      </c>
      <c r="H498" t="n">
        <v>0</v>
      </c>
      <c r="I498" t="n">
        <v>0</v>
      </c>
      <c r="J498" t="n">
        <v>0</v>
      </c>
      <c r="K498" t="n">
        <v>0</v>
      </c>
      <c r="L498" t="n">
        <v>0</v>
      </c>
      <c r="M498" t="n">
        <v>0</v>
      </c>
      <c r="N498" t="n">
        <v>0</v>
      </c>
      <c r="O498" t="n">
        <v>0</v>
      </c>
      <c r="P498" t="n">
        <v>0</v>
      </c>
      <c r="Q498" t="n">
        <v>0</v>
      </c>
      <c r="R498" s="2" t="inlineStr"/>
    </row>
    <row r="499" ht="15" customHeight="1">
      <c r="A499" t="inlineStr">
        <is>
          <t>A 57455-2023</t>
        </is>
      </c>
      <c r="B499" s="1" t="n">
        <v>45246</v>
      </c>
      <c r="C499" s="1" t="n">
        <v>45881</v>
      </c>
      <c r="D499" t="inlineStr">
        <is>
          <t>VÄSTERNORRLANDS LÄN</t>
        </is>
      </c>
      <c r="E499" t="inlineStr">
        <is>
          <t>SUNDSVALL</t>
        </is>
      </c>
      <c r="G499" t="n">
        <v>0.3</v>
      </c>
      <c r="H499" t="n">
        <v>0</v>
      </c>
      <c r="I499" t="n">
        <v>0</v>
      </c>
      <c r="J499" t="n">
        <v>0</v>
      </c>
      <c r="K499" t="n">
        <v>0</v>
      </c>
      <c r="L499" t="n">
        <v>0</v>
      </c>
      <c r="M499" t="n">
        <v>0</v>
      </c>
      <c r="N499" t="n">
        <v>0</v>
      </c>
      <c r="O499" t="n">
        <v>0</v>
      </c>
      <c r="P499" t="n">
        <v>0</v>
      </c>
      <c r="Q499" t="n">
        <v>0</v>
      </c>
      <c r="R499" s="2" t="inlineStr"/>
    </row>
    <row r="500" ht="15" customHeight="1">
      <c r="A500" t="inlineStr">
        <is>
          <t>A 20510-2022</t>
        </is>
      </c>
      <c r="B500" s="1" t="n">
        <v>44699.92501157407</v>
      </c>
      <c r="C500" s="1" t="n">
        <v>45881</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20516-2022</t>
        </is>
      </c>
      <c r="B501" s="1" t="n">
        <v>44699.92626157407</v>
      </c>
      <c r="C501" s="1" t="n">
        <v>45881</v>
      </c>
      <c r="D501" t="inlineStr">
        <is>
          <t>VÄSTERNORRLANDS LÄN</t>
        </is>
      </c>
      <c r="E501" t="inlineStr">
        <is>
          <t>SUNDSVALL</t>
        </is>
      </c>
      <c r="G501" t="n">
        <v>2.6</v>
      </c>
      <c r="H501" t="n">
        <v>0</v>
      </c>
      <c r="I501" t="n">
        <v>0</v>
      </c>
      <c r="J501" t="n">
        <v>0</v>
      </c>
      <c r="K501" t="n">
        <v>0</v>
      </c>
      <c r="L501" t="n">
        <v>0</v>
      </c>
      <c r="M501" t="n">
        <v>0</v>
      </c>
      <c r="N501" t="n">
        <v>0</v>
      </c>
      <c r="O501" t="n">
        <v>0</v>
      </c>
      <c r="P501" t="n">
        <v>0</v>
      </c>
      <c r="Q501" t="n">
        <v>0</v>
      </c>
      <c r="R501" s="2" t="inlineStr"/>
    </row>
    <row r="502" ht="15" customHeight="1">
      <c r="A502" t="inlineStr">
        <is>
          <t>A 6270-2024</t>
        </is>
      </c>
      <c r="B502" s="1" t="n">
        <v>45337</v>
      </c>
      <c r="C502" s="1" t="n">
        <v>45881</v>
      </c>
      <c r="D502" t="inlineStr">
        <is>
          <t>VÄSTERNORRLANDS LÄN</t>
        </is>
      </c>
      <c r="E502" t="inlineStr">
        <is>
          <t>SUNDSVALL</t>
        </is>
      </c>
      <c r="G502" t="n">
        <v>9.5</v>
      </c>
      <c r="H502" t="n">
        <v>0</v>
      </c>
      <c r="I502" t="n">
        <v>0</v>
      </c>
      <c r="J502" t="n">
        <v>0</v>
      </c>
      <c r="K502" t="n">
        <v>0</v>
      </c>
      <c r="L502" t="n">
        <v>0</v>
      </c>
      <c r="M502" t="n">
        <v>0</v>
      </c>
      <c r="N502" t="n">
        <v>0</v>
      </c>
      <c r="O502" t="n">
        <v>0</v>
      </c>
      <c r="P502" t="n">
        <v>0</v>
      </c>
      <c r="Q502" t="n">
        <v>0</v>
      </c>
      <c r="R502" s="2" t="inlineStr"/>
    </row>
    <row r="503" ht="15" customHeight="1">
      <c r="A503" t="inlineStr">
        <is>
          <t>A 25937-2022</t>
        </is>
      </c>
      <c r="B503" s="1" t="n">
        <v>44734.39086805555</v>
      </c>
      <c r="C503" s="1" t="n">
        <v>45881</v>
      </c>
      <c r="D503" t="inlineStr">
        <is>
          <t>VÄSTERNORRLANDS LÄN</t>
        </is>
      </c>
      <c r="E503" t="inlineStr">
        <is>
          <t>SUNDSVALL</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39821-2023</t>
        </is>
      </c>
      <c r="B504" s="1" t="n">
        <v>45167.96028935185</v>
      </c>
      <c r="C504" s="1" t="n">
        <v>45881</v>
      </c>
      <c r="D504" t="inlineStr">
        <is>
          <t>VÄSTERNORRLANDS LÄN</t>
        </is>
      </c>
      <c r="E504" t="inlineStr">
        <is>
          <t>SUNDSVALL</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58652-2023</t>
        </is>
      </c>
      <c r="B505" s="1" t="n">
        <v>45251.60342592592</v>
      </c>
      <c r="C505" s="1" t="n">
        <v>45881</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3941-2024</t>
        </is>
      </c>
      <c r="B506" s="1" t="n">
        <v>45322</v>
      </c>
      <c r="C506" s="1" t="n">
        <v>45881</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5316-2024</t>
        </is>
      </c>
      <c r="B507" s="1" t="n">
        <v>45331</v>
      </c>
      <c r="C507" s="1" t="n">
        <v>45881</v>
      </c>
      <c r="D507" t="inlineStr">
        <is>
          <t>VÄSTERNORRLANDS LÄN</t>
        </is>
      </c>
      <c r="E507" t="inlineStr">
        <is>
          <t>SUNDSVALL</t>
        </is>
      </c>
      <c r="G507" t="n">
        <v>12.9</v>
      </c>
      <c r="H507" t="n">
        <v>0</v>
      </c>
      <c r="I507" t="n">
        <v>0</v>
      </c>
      <c r="J507" t="n">
        <v>0</v>
      </c>
      <c r="K507" t="n">
        <v>0</v>
      </c>
      <c r="L507" t="n">
        <v>0</v>
      </c>
      <c r="M507" t="n">
        <v>0</v>
      </c>
      <c r="N507" t="n">
        <v>0</v>
      </c>
      <c r="O507" t="n">
        <v>0</v>
      </c>
      <c r="P507" t="n">
        <v>0</v>
      </c>
      <c r="Q507" t="n">
        <v>0</v>
      </c>
      <c r="R507" s="2" t="inlineStr"/>
    </row>
    <row r="508" ht="15" customHeight="1">
      <c r="A508" t="inlineStr">
        <is>
          <t>A 27998-2023</t>
        </is>
      </c>
      <c r="B508" s="1" t="n">
        <v>45098.92375</v>
      </c>
      <c r="C508" s="1" t="n">
        <v>45881</v>
      </c>
      <c r="D508" t="inlineStr">
        <is>
          <t>VÄSTERNORRLANDS LÄN</t>
        </is>
      </c>
      <c r="E508" t="inlineStr">
        <is>
          <t>SUNDSVALL</t>
        </is>
      </c>
      <c r="G508" t="n">
        <v>1.6</v>
      </c>
      <c r="H508" t="n">
        <v>0</v>
      </c>
      <c r="I508" t="n">
        <v>0</v>
      </c>
      <c r="J508" t="n">
        <v>0</v>
      </c>
      <c r="K508" t="n">
        <v>0</v>
      </c>
      <c r="L508" t="n">
        <v>0</v>
      </c>
      <c r="M508" t="n">
        <v>0</v>
      </c>
      <c r="N508" t="n">
        <v>0</v>
      </c>
      <c r="O508" t="n">
        <v>0</v>
      </c>
      <c r="P508" t="n">
        <v>0</v>
      </c>
      <c r="Q508" t="n">
        <v>0</v>
      </c>
      <c r="R508" s="2" t="inlineStr"/>
    </row>
    <row r="509" ht="15" customHeight="1">
      <c r="A509" t="inlineStr">
        <is>
          <t>A 4365-2021</t>
        </is>
      </c>
      <c r="B509" s="1" t="n">
        <v>44221</v>
      </c>
      <c r="C509" s="1" t="n">
        <v>45881</v>
      </c>
      <c r="D509" t="inlineStr">
        <is>
          <t>VÄSTERNORRLANDS LÄN</t>
        </is>
      </c>
      <c r="E509" t="inlineStr">
        <is>
          <t>SUNDSVALL</t>
        </is>
      </c>
      <c r="F509" t="inlineStr">
        <is>
          <t>Kommuner</t>
        </is>
      </c>
      <c r="G509" t="n">
        <v>1.6</v>
      </c>
      <c r="H509" t="n">
        <v>0</v>
      </c>
      <c r="I509" t="n">
        <v>0</v>
      </c>
      <c r="J509" t="n">
        <v>0</v>
      </c>
      <c r="K509" t="n">
        <v>0</v>
      </c>
      <c r="L509" t="n">
        <v>0</v>
      </c>
      <c r="M509" t="n">
        <v>0</v>
      </c>
      <c r="N509" t="n">
        <v>0</v>
      </c>
      <c r="O509" t="n">
        <v>0</v>
      </c>
      <c r="P509" t="n">
        <v>0</v>
      </c>
      <c r="Q509" t="n">
        <v>0</v>
      </c>
      <c r="R509" s="2" t="inlineStr"/>
    </row>
    <row r="510" ht="15" customHeight="1">
      <c r="A510" t="inlineStr">
        <is>
          <t>A 11083-2025</t>
        </is>
      </c>
      <c r="B510" s="1" t="n">
        <v>45723.56657407407</v>
      </c>
      <c r="C510" s="1" t="n">
        <v>45881</v>
      </c>
      <c r="D510" t="inlineStr">
        <is>
          <t>VÄSTERNORRLANDS LÄN</t>
        </is>
      </c>
      <c r="E510" t="inlineStr">
        <is>
          <t>SUNDSVALL</t>
        </is>
      </c>
      <c r="G510" t="n">
        <v>0.8</v>
      </c>
      <c r="H510" t="n">
        <v>0</v>
      </c>
      <c r="I510" t="n">
        <v>0</v>
      </c>
      <c r="J510" t="n">
        <v>0</v>
      </c>
      <c r="K510" t="n">
        <v>0</v>
      </c>
      <c r="L510" t="n">
        <v>0</v>
      </c>
      <c r="M510" t="n">
        <v>0</v>
      </c>
      <c r="N510" t="n">
        <v>0</v>
      </c>
      <c r="O510" t="n">
        <v>0</v>
      </c>
      <c r="P510" t="n">
        <v>0</v>
      </c>
      <c r="Q510" t="n">
        <v>0</v>
      </c>
      <c r="R510" s="2" t="inlineStr"/>
    </row>
    <row r="511" ht="15" customHeight="1">
      <c r="A511" t="inlineStr">
        <is>
          <t>A 35682-2024</t>
        </is>
      </c>
      <c r="B511" s="1" t="n">
        <v>45532.40609953704</v>
      </c>
      <c r="C511" s="1" t="n">
        <v>45881</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58129-2023</t>
        </is>
      </c>
      <c r="B512" s="1" t="n">
        <v>45249</v>
      </c>
      <c r="C512" s="1" t="n">
        <v>45881</v>
      </c>
      <c r="D512" t="inlineStr">
        <is>
          <t>VÄSTERNORRLANDS LÄN</t>
        </is>
      </c>
      <c r="E512" t="inlineStr">
        <is>
          <t>SUNDSVALL</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52759-2023</t>
        </is>
      </c>
      <c r="B513" s="1" t="n">
        <v>45225</v>
      </c>
      <c r="C513" s="1" t="n">
        <v>45881</v>
      </c>
      <c r="D513" t="inlineStr">
        <is>
          <t>VÄSTERNORRLANDS LÄN</t>
        </is>
      </c>
      <c r="E513" t="inlineStr">
        <is>
          <t>SUNDSVALL</t>
        </is>
      </c>
      <c r="F513" t="inlineStr">
        <is>
          <t>SCA</t>
        </is>
      </c>
      <c r="G513" t="n">
        <v>6.3</v>
      </c>
      <c r="H513" t="n">
        <v>0</v>
      </c>
      <c r="I513" t="n">
        <v>0</v>
      </c>
      <c r="J513" t="n">
        <v>0</v>
      </c>
      <c r="K513" t="n">
        <v>0</v>
      </c>
      <c r="L513" t="n">
        <v>0</v>
      </c>
      <c r="M513" t="n">
        <v>0</v>
      </c>
      <c r="N513" t="n">
        <v>0</v>
      </c>
      <c r="O513" t="n">
        <v>0</v>
      </c>
      <c r="P513" t="n">
        <v>0</v>
      </c>
      <c r="Q513" t="n">
        <v>0</v>
      </c>
      <c r="R513" s="2" t="inlineStr"/>
    </row>
    <row r="514" ht="15" customHeight="1">
      <c r="A514" t="inlineStr">
        <is>
          <t>A 9102-2025</t>
        </is>
      </c>
      <c r="B514" s="1" t="n">
        <v>45713.6914699074</v>
      </c>
      <c r="C514" s="1" t="n">
        <v>45881</v>
      </c>
      <c r="D514" t="inlineStr">
        <is>
          <t>VÄSTERNORRLANDS LÄN</t>
        </is>
      </c>
      <c r="E514" t="inlineStr">
        <is>
          <t>SUNDSVALL</t>
        </is>
      </c>
      <c r="G514" t="n">
        <v>21</v>
      </c>
      <c r="H514" t="n">
        <v>0</v>
      </c>
      <c r="I514" t="n">
        <v>0</v>
      </c>
      <c r="J514" t="n">
        <v>0</v>
      </c>
      <c r="K514" t="n">
        <v>0</v>
      </c>
      <c r="L514" t="n">
        <v>0</v>
      </c>
      <c r="M514" t="n">
        <v>0</v>
      </c>
      <c r="N514" t="n">
        <v>0</v>
      </c>
      <c r="O514" t="n">
        <v>0</v>
      </c>
      <c r="P514" t="n">
        <v>0</v>
      </c>
      <c r="Q514" t="n">
        <v>0</v>
      </c>
      <c r="R514" s="2" t="inlineStr"/>
    </row>
    <row r="515" ht="15" customHeight="1">
      <c r="A515" t="inlineStr">
        <is>
          <t>A 14113-2021</t>
        </is>
      </c>
      <c r="B515" s="1" t="n">
        <v>44277</v>
      </c>
      <c r="C515" s="1" t="n">
        <v>45881</v>
      </c>
      <c r="D515" t="inlineStr">
        <is>
          <t>VÄSTERNORRLANDS LÄN</t>
        </is>
      </c>
      <c r="E515" t="inlineStr">
        <is>
          <t>SUNDSVALL</t>
        </is>
      </c>
      <c r="G515" t="n">
        <v>2.6</v>
      </c>
      <c r="H515" t="n">
        <v>0</v>
      </c>
      <c r="I515" t="n">
        <v>0</v>
      </c>
      <c r="J515" t="n">
        <v>0</v>
      </c>
      <c r="K515" t="n">
        <v>0</v>
      </c>
      <c r="L515" t="n">
        <v>0</v>
      </c>
      <c r="M515" t="n">
        <v>0</v>
      </c>
      <c r="N515" t="n">
        <v>0</v>
      </c>
      <c r="O515" t="n">
        <v>0</v>
      </c>
      <c r="P515" t="n">
        <v>0</v>
      </c>
      <c r="Q515" t="n">
        <v>0</v>
      </c>
      <c r="R515" s="2" t="inlineStr"/>
    </row>
    <row r="516" ht="15" customHeight="1">
      <c r="A516" t="inlineStr">
        <is>
          <t>A 20076-2025</t>
        </is>
      </c>
      <c r="B516" s="1" t="n">
        <v>45772.4487037037</v>
      </c>
      <c r="C516" s="1" t="n">
        <v>45881</v>
      </c>
      <c r="D516" t="inlineStr">
        <is>
          <t>VÄSTERNORRLANDS LÄN</t>
        </is>
      </c>
      <c r="E516" t="inlineStr">
        <is>
          <t>SUNDSVALL</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44404-2022</t>
        </is>
      </c>
      <c r="B517" s="1" t="n">
        <v>44838</v>
      </c>
      <c r="C517" s="1" t="n">
        <v>45881</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44405-2022</t>
        </is>
      </c>
      <c r="B518" s="1" t="n">
        <v>44838</v>
      </c>
      <c r="C518" s="1" t="n">
        <v>45881</v>
      </c>
      <c r="D518" t="inlineStr">
        <is>
          <t>VÄSTERNORRLANDS LÄN</t>
        </is>
      </c>
      <c r="E518" t="inlineStr">
        <is>
          <t>SUNDSVALL</t>
        </is>
      </c>
      <c r="G518" t="n">
        <v>0.2</v>
      </c>
      <c r="H518" t="n">
        <v>0</v>
      </c>
      <c r="I518" t="n">
        <v>0</v>
      </c>
      <c r="J518" t="n">
        <v>0</v>
      </c>
      <c r="K518" t="n">
        <v>0</v>
      </c>
      <c r="L518" t="n">
        <v>0</v>
      </c>
      <c r="M518" t="n">
        <v>0</v>
      </c>
      <c r="N518" t="n">
        <v>0</v>
      </c>
      <c r="O518" t="n">
        <v>0</v>
      </c>
      <c r="P518" t="n">
        <v>0</v>
      </c>
      <c r="Q518" t="n">
        <v>0</v>
      </c>
      <c r="R518" s="2" t="inlineStr"/>
    </row>
    <row r="519" ht="15" customHeight="1">
      <c r="A519" t="inlineStr">
        <is>
          <t>A 44409-2022</t>
        </is>
      </c>
      <c r="B519" s="1" t="n">
        <v>44839.88365740741</v>
      </c>
      <c r="C519" s="1" t="n">
        <v>45881</v>
      </c>
      <c r="D519" t="inlineStr">
        <is>
          <t>VÄSTERNORRLANDS LÄN</t>
        </is>
      </c>
      <c r="E519" t="inlineStr">
        <is>
          <t>SUNDSVALL</t>
        </is>
      </c>
      <c r="G519" t="n">
        <v>1.5</v>
      </c>
      <c r="H519" t="n">
        <v>0</v>
      </c>
      <c r="I519" t="n">
        <v>0</v>
      </c>
      <c r="J519" t="n">
        <v>0</v>
      </c>
      <c r="K519" t="n">
        <v>0</v>
      </c>
      <c r="L519" t="n">
        <v>0</v>
      </c>
      <c r="M519" t="n">
        <v>0</v>
      </c>
      <c r="N519" t="n">
        <v>0</v>
      </c>
      <c r="O519" t="n">
        <v>0</v>
      </c>
      <c r="P519" t="n">
        <v>0</v>
      </c>
      <c r="Q519" t="n">
        <v>0</v>
      </c>
      <c r="R519" s="2" t="inlineStr"/>
    </row>
    <row r="520" ht="15" customHeight="1">
      <c r="A520" t="inlineStr">
        <is>
          <t>A 21998-2023</t>
        </is>
      </c>
      <c r="B520" s="1" t="n">
        <v>45068</v>
      </c>
      <c r="C520" s="1" t="n">
        <v>45881</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22102-2024</t>
        </is>
      </c>
      <c r="B521" s="1" t="n">
        <v>45443.95085648148</v>
      </c>
      <c r="C521" s="1" t="n">
        <v>45881</v>
      </c>
      <c r="D521" t="inlineStr">
        <is>
          <t>VÄSTERNORRLANDS LÄN</t>
        </is>
      </c>
      <c r="E521" t="inlineStr">
        <is>
          <t>SUNDSVALL</t>
        </is>
      </c>
      <c r="G521" t="n">
        <v>1.4</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45881</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20517-2022</t>
        </is>
      </c>
      <c r="B523" s="1" t="n">
        <v>44699.92630787037</v>
      </c>
      <c r="C523" s="1" t="n">
        <v>45881</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8462-2025</t>
        </is>
      </c>
      <c r="B524" s="1" t="n">
        <v>45709.46912037037</v>
      </c>
      <c r="C524" s="1" t="n">
        <v>45881</v>
      </c>
      <c r="D524" t="inlineStr">
        <is>
          <t>VÄSTERNORRLANDS LÄN</t>
        </is>
      </c>
      <c r="E524" t="inlineStr">
        <is>
          <t>SUNDSVALL</t>
        </is>
      </c>
      <c r="F524" t="inlineStr">
        <is>
          <t>SCA</t>
        </is>
      </c>
      <c r="G524" t="n">
        <v>10.9</v>
      </c>
      <c r="H524" t="n">
        <v>0</v>
      </c>
      <c r="I524" t="n">
        <v>0</v>
      </c>
      <c r="J524" t="n">
        <v>0</v>
      </c>
      <c r="K524" t="n">
        <v>0</v>
      </c>
      <c r="L524" t="n">
        <v>0</v>
      </c>
      <c r="M524" t="n">
        <v>0</v>
      </c>
      <c r="N524" t="n">
        <v>0</v>
      </c>
      <c r="O524" t="n">
        <v>0</v>
      </c>
      <c r="P524" t="n">
        <v>0</v>
      </c>
      <c r="Q524" t="n">
        <v>0</v>
      </c>
      <c r="R524" s="2" t="inlineStr"/>
    </row>
    <row r="525" ht="15" customHeight="1">
      <c r="A525" t="inlineStr">
        <is>
          <t>A 39169-2021</t>
        </is>
      </c>
      <c r="B525" s="1" t="n">
        <v>44412</v>
      </c>
      <c r="C525" s="1" t="n">
        <v>45881</v>
      </c>
      <c r="D525" t="inlineStr">
        <is>
          <t>VÄSTERNORRLANDS LÄN</t>
        </is>
      </c>
      <c r="E525" t="inlineStr">
        <is>
          <t>SUNDSVALL</t>
        </is>
      </c>
      <c r="G525" t="n">
        <v>3</v>
      </c>
      <c r="H525" t="n">
        <v>0</v>
      </c>
      <c r="I525" t="n">
        <v>0</v>
      </c>
      <c r="J525" t="n">
        <v>0</v>
      </c>
      <c r="K525" t="n">
        <v>0</v>
      </c>
      <c r="L525" t="n">
        <v>0</v>
      </c>
      <c r="M525" t="n">
        <v>0</v>
      </c>
      <c r="N525" t="n">
        <v>0</v>
      </c>
      <c r="O525" t="n">
        <v>0</v>
      </c>
      <c r="P525" t="n">
        <v>0</v>
      </c>
      <c r="Q525" t="n">
        <v>0</v>
      </c>
      <c r="R525" s="2" t="inlineStr"/>
    </row>
    <row r="526" ht="15" customHeight="1">
      <c r="A526" t="inlineStr">
        <is>
          <t>A 8531-2025</t>
        </is>
      </c>
      <c r="B526" s="1" t="n">
        <v>45709.5850462963</v>
      </c>
      <c r="C526" s="1" t="n">
        <v>45881</v>
      </c>
      <c r="D526" t="inlineStr">
        <is>
          <t>VÄSTERNORRLANDS LÄN</t>
        </is>
      </c>
      <c r="E526" t="inlineStr">
        <is>
          <t>SUNDSVALL</t>
        </is>
      </c>
      <c r="G526" t="n">
        <v>6.5</v>
      </c>
      <c r="H526" t="n">
        <v>0</v>
      </c>
      <c r="I526" t="n">
        <v>0</v>
      </c>
      <c r="J526" t="n">
        <v>0</v>
      </c>
      <c r="K526" t="n">
        <v>0</v>
      </c>
      <c r="L526" t="n">
        <v>0</v>
      </c>
      <c r="M526" t="n">
        <v>0</v>
      </c>
      <c r="N526" t="n">
        <v>0</v>
      </c>
      <c r="O526" t="n">
        <v>0</v>
      </c>
      <c r="P526" t="n">
        <v>0</v>
      </c>
      <c r="Q526" t="n">
        <v>0</v>
      </c>
      <c r="R526" s="2" t="inlineStr"/>
    </row>
    <row r="527" ht="15" customHeight="1">
      <c r="A527" t="inlineStr">
        <is>
          <t>A 49273-2020</t>
        </is>
      </c>
      <c r="B527" s="1" t="n">
        <v>44105.45045138889</v>
      </c>
      <c r="C527" s="1" t="n">
        <v>45881</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36226-2021</t>
        </is>
      </c>
      <c r="B528" s="1" t="n">
        <v>44389.92116898148</v>
      </c>
      <c r="C528" s="1" t="n">
        <v>45881</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29322-2021</t>
        </is>
      </c>
      <c r="B529" s="1" t="n">
        <v>44361.42559027778</v>
      </c>
      <c r="C529" s="1" t="n">
        <v>45881</v>
      </c>
      <c r="D529" t="inlineStr">
        <is>
          <t>VÄSTERNORRLANDS LÄN</t>
        </is>
      </c>
      <c r="E529" t="inlineStr">
        <is>
          <t>SUNDSVALL</t>
        </is>
      </c>
      <c r="G529" t="n">
        <v>7.2</v>
      </c>
      <c r="H529" t="n">
        <v>0</v>
      </c>
      <c r="I529" t="n">
        <v>0</v>
      </c>
      <c r="J529" t="n">
        <v>0</v>
      </c>
      <c r="K529" t="n">
        <v>0</v>
      </c>
      <c r="L529" t="n">
        <v>0</v>
      </c>
      <c r="M529" t="n">
        <v>0</v>
      </c>
      <c r="N529" t="n">
        <v>0</v>
      </c>
      <c r="O529" t="n">
        <v>0</v>
      </c>
      <c r="P529" t="n">
        <v>0</v>
      </c>
      <c r="Q529" t="n">
        <v>0</v>
      </c>
      <c r="R529" s="2" t="inlineStr"/>
    </row>
    <row r="530" ht="15" customHeight="1">
      <c r="A530" t="inlineStr">
        <is>
          <t>A 7879-2021</t>
        </is>
      </c>
      <c r="B530" s="1" t="n">
        <v>44242</v>
      </c>
      <c r="C530" s="1" t="n">
        <v>45881</v>
      </c>
      <c r="D530" t="inlineStr">
        <is>
          <t>VÄSTERNORRLANDS LÄN</t>
        </is>
      </c>
      <c r="E530" t="inlineStr">
        <is>
          <t>SUNDSVALL</t>
        </is>
      </c>
      <c r="G530" t="n">
        <v>1</v>
      </c>
      <c r="H530" t="n">
        <v>0</v>
      </c>
      <c r="I530" t="n">
        <v>0</v>
      </c>
      <c r="J530" t="n">
        <v>0</v>
      </c>
      <c r="K530" t="n">
        <v>0</v>
      </c>
      <c r="L530" t="n">
        <v>0</v>
      </c>
      <c r="M530" t="n">
        <v>0</v>
      </c>
      <c r="N530" t="n">
        <v>0</v>
      </c>
      <c r="O530" t="n">
        <v>0</v>
      </c>
      <c r="P530" t="n">
        <v>0</v>
      </c>
      <c r="Q530" t="n">
        <v>0</v>
      </c>
      <c r="R530" s="2" t="inlineStr"/>
    </row>
    <row r="531" ht="15" customHeight="1">
      <c r="A531" t="inlineStr">
        <is>
          <t>A 52404-2023</t>
        </is>
      </c>
      <c r="B531" s="1" t="n">
        <v>45224.96506944444</v>
      </c>
      <c r="C531" s="1" t="n">
        <v>45881</v>
      </c>
      <c r="D531" t="inlineStr">
        <is>
          <t>VÄSTERNORRLANDS LÄN</t>
        </is>
      </c>
      <c r="E531" t="inlineStr">
        <is>
          <t>SUNDSVALL</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26071-2023</t>
        </is>
      </c>
      <c r="B532" s="1" t="n">
        <v>45091</v>
      </c>
      <c r="C532" s="1" t="n">
        <v>45881</v>
      </c>
      <c r="D532" t="inlineStr">
        <is>
          <t>VÄSTERNORRLANDS LÄN</t>
        </is>
      </c>
      <c r="E532" t="inlineStr">
        <is>
          <t>SUNDSVALL</t>
        </is>
      </c>
      <c r="G532" t="n">
        <v>3.7</v>
      </c>
      <c r="H532" t="n">
        <v>0</v>
      </c>
      <c r="I532" t="n">
        <v>0</v>
      </c>
      <c r="J532" t="n">
        <v>0</v>
      </c>
      <c r="K532" t="n">
        <v>0</v>
      </c>
      <c r="L532" t="n">
        <v>0</v>
      </c>
      <c r="M532" t="n">
        <v>0</v>
      </c>
      <c r="N532" t="n">
        <v>0</v>
      </c>
      <c r="O532" t="n">
        <v>0</v>
      </c>
      <c r="P532" t="n">
        <v>0</v>
      </c>
      <c r="Q532" t="n">
        <v>0</v>
      </c>
      <c r="R532" s="2" t="inlineStr"/>
    </row>
    <row r="533" ht="15" customHeight="1">
      <c r="A533" t="inlineStr">
        <is>
          <t>A 20011-2021</t>
        </is>
      </c>
      <c r="B533" s="1" t="n">
        <v>44313</v>
      </c>
      <c r="C533" s="1" t="n">
        <v>45881</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15620-2023</t>
        </is>
      </c>
      <c r="B534" s="1" t="n">
        <v>45020</v>
      </c>
      <c r="C534" s="1" t="n">
        <v>45881</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39711-2024</t>
        </is>
      </c>
      <c r="B535" s="1" t="n">
        <v>45552</v>
      </c>
      <c r="C535" s="1" t="n">
        <v>45881</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49994-2023</t>
        </is>
      </c>
      <c r="B536" s="1" t="n">
        <v>45215</v>
      </c>
      <c r="C536" s="1" t="n">
        <v>45881</v>
      </c>
      <c r="D536" t="inlineStr">
        <is>
          <t>VÄSTERNORRLANDS LÄN</t>
        </is>
      </c>
      <c r="E536" t="inlineStr">
        <is>
          <t>SUNDSVALL</t>
        </is>
      </c>
      <c r="G536" t="n">
        <v>2.3</v>
      </c>
      <c r="H536" t="n">
        <v>0</v>
      </c>
      <c r="I536" t="n">
        <v>0</v>
      </c>
      <c r="J536" t="n">
        <v>0</v>
      </c>
      <c r="K536" t="n">
        <v>0</v>
      </c>
      <c r="L536" t="n">
        <v>0</v>
      </c>
      <c r="M536" t="n">
        <v>0</v>
      </c>
      <c r="N536" t="n">
        <v>0</v>
      </c>
      <c r="O536" t="n">
        <v>0</v>
      </c>
      <c r="P536" t="n">
        <v>0</v>
      </c>
      <c r="Q536" t="n">
        <v>0</v>
      </c>
      <c r="R536" s="2" t="inlineStr"/>
    </row>
    <row r="537" ht="15" customHeight="1">
      <c r="A537" t="inlineStr">
        <is>
          <t>A 23802-2024</t>
        </is>
      </c>
      <c r="B537" s="1" t="n">
        <v>45455.43813657408</v>
      </c>
      <c r="C537" s="1" t="n">
        <v>45881</v>
      </c>
      <c r="D537" t="inlineStr">
        <is>
          <t>VÄSTERNORRLANDS LÄN</t>
        </is>
      </c>
      <c r="E537" t="inlineStr">
        <is>
          <t>SUNDSVALL</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16250-2024</t>
        </is>
      </c>
      <c r="B538" s="1" t="n">
        <v>45407</v>
      </c>
      <c r="C538" s="1" t="n">
        <v>45881</v>
      </c>
      <c r="D538" t="inlineStr">
        <is>
          <t>VÄSTERNORRLANDS LÄN</t>
        </is>
      </c>
      <c r="E538" t="inlineStr">
        <is>
          <t>SUNDSVALL</t>
        </is>
      </c>
      <c r="F538" t="inlineStr">
        <is>
          <t>SCA</t>
        </is>
      </c>
      <c r="G538" t="n">
        <v>5.8</v>
      </c>
      <c r="H538" t="n">
        <v>0</v>
      </c>
      <c r="I538" t="n">
        <v>0</v>
      </c>
      <c r="J538" t="n">
        <v>0</v>
      </c>
      <c r="K538" t="n">
        <v>0</v>
      </c>
      <c r="L538" t="n">
        <v>0</v>
      </c>
      <c r="M538" t="n">
        <v>0</v>
      </c>
      <c r="N538" t="n">
        <v>0</v>
      </c>
      <c r="O538" t="n">
        <v>0</v>
      </c>
      <c r="P538" t="n">
        <v>0</v>
      </c>
      <c r="Q538" t="n">
        <v>0</v>
      </c>
      <c r="R538" s="2" t="inlineStr"/>
    </row>
    <row r="539" ht="15" customHeight="1">
      <c r="A539" t="inlineStr">
        <is>
          <t>A 10530-2023</t>
        </is>
      </c>
      <c r="B539" s="1" t="n">
        <v>44987.92324074074</v>
      </c>
      <c r="C539" s="1" t="n">
        <v>45881</v>
      </c>
      <c r="D539" t="inlineStr">
        <is>
          <t>VÄSTERNORRLANDS LÄN</t>
        </is>
      </c>
      <c r="E539" t="inlineStr">
        <is>
          <t>SUNDSVALL</t>
        </is>
      </c>
      <c r="G539" t="n">
        <v>3.2</v>
      </c>
      <c r="H539" t="n">
        <v>0</v>
      </c>
      <c r="I539" t="n">
        <v>0</v>
      </c>
      <c r="J539" t="n">
        <v>0</v>
      </c>
      <c r="K539" t="n">
        <v>0</v>
      </c>
      <c r="L539" t="n">
        <v>0</v>
      </c>
      <c r="M539" t="n">
        <v>0</v>
      </c>
      <c r="N539" t="n">
        <v>0</v>
      </c>
      <c r="O539" t="n">
        <v>0</v>
      </c>
      <c r="P539" t="n">
        <v>0</v>
      </c>
      <c r="Q539" t="n">
        <v>0</v>
      </c>
      <c r="R539" s="2" t="inlineStr"/>
    </row>
    <row r="540" ht="15" customHeight="1">
      <c r="A540" t="inlineStr">
        <is>
          <t>A 61409-2021</t>
        </is>
      </c>
      <c r="B540" s="1" t="n">
        <v>44500.91974537037</v>
      </c>
      <c r="C540" s="1" t="n">
        <v>45881</v>
      </c>
      <c r="D540" t="inlineStr">
        <is>
          <t>VÄSTERNORRLANDS LÄN</t>
        </is>
      </c>
      <c r="E540" t="inlineStr">
        <is>
          <t>SUNDSVALL</t>
        </is>
      </c>
      <c r="G540" t="n">
        <v>1.3</v>
      </c>
      <c r="H540" t="n">
        <v>0</v>
      </c>
      <c r="I540" t="n">
        <v>0</v>
      </c>
      <c r="J540" t="n">
        <v>0</v>
      </c>
      <c r="K540" t="n">
        <v>0</v>
      </c>
      <c r="L540" t="n">
        <v>0</v>
      </c>
      <c r="M540" t="n">
        <v>0</v>
      </c>
      <c r="N540" t="n">
        <v>0</v>
      </c>
      <c r="O540" t="n">
        <v>0</v>
      </c>
      <c r="P540" t="n">
        <v>0</v>
      </c>
      <c r="Q540" t="n">
        <v>0</v>
      </c>
      <c r="R540" s="2" t="inlineStr"/>
    </row>
    <row r="541" ht="15" customHeight="1">
      <c r="A541" t="inlineStr">
        <is>
          <t>A 53764-2023</t>
        </is>
      </c>
      <c r="B541" s="1" t="n">
        <v>45230.96416666666</v>
      </c>
      <c r="C541" s="1" t="n">
        <v>45881</v>
      </c>
      <c r="D541" t="inlineStr">
        <is>
          <t>VÄSTERNORRLANDS LÄN</t>
        </is>
      </c>
      <c r="E541" t="inlineStr">
        <is>
          <t>SUNDSVALL</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34554-2022</t>
        </is>
      </c>
      <c r="B542" s="1" t="n">
        <v>44794</v>
      </c>
      <c r="C542" s="1" t="n">
        <v>45881</v>
      </c>
      <c r="D542" t="inlineStr">
        <is>
          <t>VÄSTERNORRLANDS LÄN</t>
        </is>
      </c>
      <c r="E542" t="inlineStr">
        <is>
          <t>SUNDSVALL</t>
        </is>
      </c>
      <c r="G542" t="n">
        <v>3.1</v>
      </c>
      <c r="H542" t="n">
        <v>0</v>
      </c>
      <c r="I542" t="n">
        <v>0</v>
      </c>
      <c r="J542" t="n">
        <v>0</v>
      </c>
      <c r="K542" t="n">
        <v>0</v>
      </c>
      <c r="L542" t="n">
        <v>0</v>
      </c>
      <c r="M542" t="n">
        <v>0</v>
      </c>
      <c r="N542" t="n">
        <v>0</v>
      </c>
      <c r="O542" t="n">
        <v>0</v>
      </c>
      <c r="P542" t="n">
        <v>0</v>
      </c>
      <c r="Q542" t="n">
        <v>0</v>
      </c>
      <c r="R542" s="2" t="inlineStr"/>
    </row>
    <row r="543" ht="15" customHeight="1">
      <c r="A543" t="inlineStr">
        <is>
          <t>A 13691-2023</t>
        </is>
      </c>
      <c r="B543" s="1" t="n">
        <v>45006</v>
      </c>
      <c r="C543" s="1" t="n">
        <v>45881</v>
      </c>
      <c r="D543" t="inlineStr">
        <is>
          <t>VÄSTERNORRLANDS LÄN</t>
        </is>
      </c>
      <c r="E543" t="inlineStr">
        <is>
          <t>SUNDSVALL</t>
        </is>
      </c>
      <c r="G543" t="n">
        <v>9.5</v>
      </c>
      <c r="H543" t="n">
        <v>0</v>
      </c>
      <c r="I543" t="n">
        <v>0</v>
      </c>
      <c r="J543" t="n">
        <v>0</v>
      </c>
      <c r="K543" t="n">
        <v>0</v>
      </c>
      <c r="L543" t="n">
        <v>0</v>
      </c>
      <c r="M543" t="n">
        <v>0</v>
      </c>
      <c r="N543" t="n">
        <v>0</v>
      </c>
      <c r="O543" t="n">
        <v>0</v>
      </c>
      <c r="P543" t="n">
        <v>0</v>
      </c>
      <c r="Q543" t="n">
        <v>0</v>
      </c>
      <c r="R543" s="2" t="inlineStr"/>
    </row>
    <row r="544" ht="15" customHeight="1">
      <c r="A544" t="inlineStr">
        <is>
          <t>A 54053-2023</t>
        </is>
      </c>
      <c r="B544" s="1" t="n">
        <v>45231.96831018518</v>
      </c>
      <c r="C544" s="1" t="n">
        <v>45881</v>
      </c>
      <c r="D544" t="inlineStr">
        <is>
          <t>VÄSTERNORRLANDS LÄN</t>
        </is>
      </c>
      <c r="E544" t="inlineStr">
        <is>
          <t>SUNDSVALL</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59654-2022</t>
        </is>
      </c>
      <c r="B545" s="1" t="n">
        <v>44907.96673611111</v>
      </c>
      <c r="C545" s="1" t="n">
        <v>45881</v>
      </c>
      <c r="D545" t="inlineStr">
        <is>
          <t>VÄSTERNORRLANDS LÄN</t>
        </is>
      </c>
      <c r="E545" t="inlineStr">
        <is>
          <t>SUNDSVALL</t>
        </is>
      </c>
      <c r="F545" t="inlineStr">
        <is>
          <t>Naturvårdsverket</t>
        </is>
      </c>
      <c r="G545" t="n">
        <v>3.6</v>
      </c>
      <c r="H545" t="n">
        <v>0</v>
      </c>
      <c r="I545" t="n">
        <v>0</v>
      </c>
      <c r="J545" t="n">
        <v>0</v>
      </c>
      <c r="K545" t="n">
        <v>0</v>
      </c>
      <c r="L545" t="n">
        <v>0</v>
      </c>
      <c r="M545" t="n">
        <v>0</v>
      </c>
      <c r="N545" t="n">
        <v>0</v>
      </c>
      <c r="O545" t="n">
        <v>0</v>
      </c>
      <c r="P545" t="n">
        <v>0</v>
      </c>
      <c r="Q545" t="n">
        <v>0</v>
      </c>
      <c r="R545" s="2" t="inlineStr"/>
    </row>
    <row r="546" ht="15" customHeight="1">
      <c r="A546" t="inlineStr">
        <is>
          <t>A 30066-2024</t>
        </is>
      </c>
      <c r="B546" s="1" t="n">
        <v>45488.94865740741</v>
      </c>
      <c r="C546" s="1" t="n">
        <v>45881</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4659-2021</t>
        </is>
      </c>
      <c r="B547" s="1" t="n">
        <v>44224</v>
      </c>
      <c r="C547" s="1" t="n">
        <v>45881</v>
      </c>
      <c r="D547" t="inlineStr">
        <is>
          <t>VÄSTERNORRLANDS LÄN</t>
        </is>
      </c>
      <c r="E547" t="inlineStr">
        <is>
          <t>SUNDSVALL</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15609-2025</t>
        </is>
      </c>
      <c r="B548" s="1" t="n">
        <v>45748.34819444444</v>
      </c>
      <c r="C548" s="1" t="n">
        <v>45881</v>
      </c>
      <c r="D548" t="inlineStr">
        <is>
          <t>VÄSTERNORRLANDS LÄN</t>
        </is>
      </c>
      <c r="E548" t="inlineStr">
        <is>
          <t>SUNDSVALL</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48011-2023</t>
        </is>
      </c>
      <c r="B549" s="1" t="n">
        <v>45198</v>
      </c>
      <c r="C549" s="1" t="n">
        <v>45881</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44663-2024</t>
        </is>
      </c>
      <c r="B550" s="1" t="n">
        <v>45574.53215277778</v>
      </c>
      <c r="C550" s="1" t="n">
        <v>45881</v>
      </c>
      <c r="D550" t="inlineStr">
        <is>
          <t>VÄSTERNORRLANDS LÄN</t>
        </is>
      </c>
      <c r="E550" t="inlineStr">
        <is>
          <t>SUNDSVALL</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14152-2024</t>
        </is>
      </c>
      <c r="B551" s="1" t="n">
        <v>45392</v>
      </c>
      <c r="C551" s="1" t="n">
        <v>45881</v>
      </c>
      <c r="D551" t="inlineStr">
        <is>
          <t>VÄSTERNORRLANDS LÄN</t>
        </is>
      </c>
      <c r="E551" t="inlineStr">
        <is>
          <t>SUNDSVALL</t>
        </is>
      </c>
      <c r="G551" t="n">
        <v>4.8</v>
      </c>
      <c r="H551" t="n">
        <v>0</v>
      </c>
      <c r="I551" t="n">
        <v>0</v>
      </c>
      <c r="J551" t="n">
        <v>0</v>
      </c>
      <c r="K551" t="n">
        <v>0</v>
      </c>
      <c r="L551" t="n">
        <v>0</v>
      </c>
      <c r="M551" t="n">
        <v>0</v>
      </c>
      <c r="N551" t="n">
        <v>0</v>
      </c>
      <c r="O551" t="n">
        <v>0</v>
      </c>
      <c r="P551" t="n">
        <v>0</v>
      </c>
      <c r="Q551" t="n">
        <v>0</v>
      </c>
      <c r="R551" s="2" t="inlineStr"/>
    </row>
    <row r="552" ht="15" customHeight="1">
      <c r="A552" t="inlineStr">
        <is>
          <t>A 49186-2022</t>
        </is>
      </c>
      <c r="B552" s="1" t="n">
        <v>44860</v>
      </c>
      <c r="C552" s="1" t="n">
        <v>45881</v>
      </c>
      <c r="D552" t="inlineStr">
        <is>
          <t>VÄSTERNORRLANDS LÄN</t>
        </is>
      </c>
      <c r="E552" t="inlineStr">
        <is>
          <t>SUNDSVALL</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15411-2025</t>
        </is>
      </c>
      <c r="B553" s="1" t="n">
        <v>45747.45125</v>
      </c>
      <c r="C553" s="1" t="n">
        <v>45881</v>
      </c>
      <c r="D553" t="inlineStr">
        <is>
          <t>VÄSTERNORRLANDS LÄN</t>
        </is>
      </c>
      <c r="E553" t="inlineStr">
        <is>
          <t>SUNDSVALL</t>
        </is>
      </c>
      <c r="G553" t="n">
        <v>2.9</v>
      </c>
      <c r="H553" t="n">
        <v>0</v>
      </c>
      <c r="I553" t="n">
        <v>0</v>
      </c>
      <c r="J553" t="n">
        <v>0</v>
      </c>
      <c r="K553" t="n">
        <v>0</v>
      </c>
      <c r="L553" t="n">
        <v>0</v>
      </c>
      <c r="M553" t="n">
        <v>0</v>
      </c>
      <c r="N553" t="n">
        <v>0</v>
      </c>
      <c r="O553" t="n">
        <v>0</v>
      </c>
      <c r="P553" t="n">
        <v>0</v>
      </c>
      <c r="Q553" t="n">
        <v>0</v>
      </c>
      <c r="R553" s="2" t="inlineStr"/>
    </row>
    <row r="554" ht="15" customHeight="1">
      <c r="A554" t="inlineStr">
        <is>
          <t>A 9336-2024</t>
        </is>
      </c>
      <c r="B554" s="1" t="n">
        <v>45358</v>
      </c>
      <c r="C554" s="1" t="n">
        <v>45881</v>
      </c>
      <c r="D554" t="inlineStr">
        <is>
          <t>VÄSTERNORRLANDS LÄN</t>
        </is>
      </c>
      <c r="E554" t="inlineStr">
        <is>
          <t>SUNDSVALL</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51754-2023</t>
        </is>
      </c>
      <c r="B555" s="1" t="n">
        <v>45222</v>
      </c>
      <c r="C555" s="1" t="n">
        <v>45881</v>
      </c>
      <c r="D555" t="inlineStr">
        <is>
          <t>VÄSTERNORRLANDS LÄN</t>
        </is>
      </c>
      <c r="E555" t="inlineStr">
        <is>
          <t>SUNDSVALL</t>
        </is>
      </c>
      <c r="F555" t="inlineStr">
        <is>
          <t>Kommuner</t>
        </is>
      </c>
      <c r="G555" t="n">
        <v>5.2</v>
      </c>
      <c r="H555" t="n">
        <v>0</v>
      </c>
      <c r="I555" t="n">
        <v>0</v>
      </c>
      <c r="J555" t="n">
        <v>0</v>
      </c>
      <c r="K555" t="n">
        <v>0</v>
      </c>
      <c r="L555" t="n">
        <v>0</v>
      </c>
      <c r="M555" t="n">
        <v>0</v>
      </c>
      <c r="N555" t="n">
        <v>0</v>
      </c>
      <c r="O555" t="n">
        <v>0</v>
      </c>
      <c r="P555" t="n">
        <v>0</v>
      </c>
      <c r="Q555" t="n">
        <v>0</v>
      </c>
      <c r="R555" s="2" t="inlineStr"/>
    </row>
    <row r="556" ht="15" customHeight="1">
      <c r="A556" t="inlineStr">
        <is>
          <t>A 14398-2025</t>
        </is>
      </c>
      <c r="B556" s="1" t="n">
        <v>45741</v>
      </c>
      <c r="C556" s="1" t="n">
        <v>45881</v>
      </c>
      <c r="D556" t="inlineStr">
        <is>
          <t>VÄSTERNORRLANDS LÄN</t>
        </is>
      </c>
      <c r="E556" t="inlineStr">
        <is>
          <t>SUNDSVALL</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13834-2024</t>
        </is>
      </c>
      <c r="B557" s="1" t="n">
        <v>45390</v>
      </c>
      <c r="C557" s="1" t="n">
        <v>45881</v>
      </c>
      <c r="D557" t="inlineStr">
        <is>
          <t>VÄSTERNORRLANDS LÄN</t>
        </is>
      </c>
      <c r="E557" t="inlineStr">
        <is>
          <t>SUNDSVALL</t>
        </is>
      </c>
      <c r="G557" t="n">
        <v>4.1</v>
      </c>
      <c r="H557" t="n">
        <v>0</v>
      </c>
      <c r="I557" t="n">
        <v>0</v>
      </c>
      <c r="J557" t="n">
        <v>0</v>
      </c>
      <c r="K557" t="n">
        <v>0</v>
      </c>
      <c r="L557" t="n">
        <v>0</v>
      </c>
      <c r="M557" t="n">
        <v>0</v>
      </c>
      <c r="N557" t="n">
        <v>0</v>
      </c>
      <c r="O557" t="n">
        <v>0</v>
      </c>
      <c r="P557" t="n">
        <v>0</v>
      </c>
      <c r="Q557" t="n">
        <v>0</v>
      </c>
      <c r="R557" s="2" t="inlineStr"/>
    </row>
    <row r="558" ht="15" customHeight="1">
      <c r="A558" t="inlineStr">
        <is>
          <t>A 7612-2025</t>
        </is>
      </c>
      <c r="B558" s="1" t="n">
        <v>45705.67758101852</v>
      </c>
      <c r="C558" s="1" t="n">
        <v>45881</v>
      </c>
      <c r="D558" t="inlineStr">
        <is>
          <t>VÄSTERNORRLANDS LÄN</t>
        </is>
      </c>
      <c r="E558" t="inlineStr">
        <is>
          <t>SUNDSVALL</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39899-2024</t>
        </is>
      </c>
      <c r="B559" s="1" t="n">
        <v>45553.48993055556</v>
      </c>
      <c r="C559" s="1" t="n">
        <v>45881</v>
      </c>
      <c r="D559" t="inlineStr">
        <is>
          <t>VÄSTERNORRLANDS LÄN</t>
        </is>
      </c>
      <c r="E559" t="inlineStr">
        <is>
          <t>SUNDSVALL</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39900-2024</t>
        </is>
      </c>
      <c r="B560" s="1" t="n">
        <v>45553.49010416667</v>
      </c>
      <c r="C560" s="1" t="n">
        <v>45881</v>
      </c>
      <c r="D560" t="inlineStr">
        <is>
          <t>VÄSTERNORRLANDS LÄN</t>
        </is>
      </c>
      <c r="E560" t="inlineStr">
        <is>
          <t>SUNDSVALL</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52706-2022</t>
        </is>
      </c>
      <c r="B561" s="1" t="n">
        <v>44874</v>
      </c>
      <c r="C561" s="1" t="n">
        <v>45881</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52740-2022</t>
        </is>
      </c>
      <c r="B562" s="1" t="n">
        <v>44874</v>
      </c>
      <c r="C562" s="1" t="n">
        <v>45881</v>
      </c>
      <c r="D562" t="inlineStr">
        <is>
          <t>VÄSTERNORRLANDS LÄN</t>
        </is>
      </c>
      <c r="E562" t="inlineStr">
        <is>
          <t>SUNDSVALL</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17190-2024</t>
        </is>
      </c>
      <c r="B563" s="1" t="n">
        <v>45412</v>
      </c>
      <c r="C563" s="1" t="n">
        <v>45881</v>
      </c>
      <c r="D563" t="inlineStr">
        <is>
          <t>VÄSTERNORRLANDS LÄN</t>
        </is>
      </c>
      <c r="E563" t="inlineStr">
        <is>
          <t>SUNDSVALL</t>
        </is>
      </c>
      <c r="G563" t="n">
        <v>4.1</v>
      </c>
      <c r="H563" t="n">
        <v>0</v>
      </c>
      <c r="I563" t="n">
        <v>0</v>
      </c>
      <c r="J563" t="n">
        <v>0</v>
      </c>
      <c r="K563" t="n">
        <v>0</v>
      </c>
      <c r="L563" t="n">
        <v>0</v>
      </c>
      <c r="M563" t="n">
        <v>0</v>
      </c>
      <c r="N563" t="n">
        <v>0</v>
      </c>
      <c r="O563" t="n">
        <v>0</v>
      </c>
      <c r="P563" t="n">
        <v>0</v>
      </c>
      <c r="Q563" t="n">
        <v>0</v>
      </c>
      <c r="R563" s="2" t="inlineStr"/>
    </row>
    <row r="564" ht="15" customHeight="1">
      <c r="A564" t="inlineStr">
        <is>
          <t>A 51370-2022</t>
        </is>
      </c>
      <c r="B564" s="1" t="n">
        <v>44869</v>
      </c>
      <c r="C564" s="1" t="n">
        <v>45881</v>
      </c>
      <c r="D564" t="inlineStr">
        <is>
          <t>VÄSTERNORRLANDS LÄN</t>
        </is>
      </c>
      <c r="E564" t="inlineStr">
        <is>
          <t>SUNDSVALL</t>
        </is>
      </c>
      <c r="G564" t="n">
        <v>18.7</v>
      </c>
      <c r="H564" t="n">
        <v>0</v>
      </c>
      <c r="I564" t="n">
        <v>0</v>
      </c>
      <c r="J564" t="n">
        <v>0</v>
      </c>
      <c r="K564" t="n">
        <v>0</v>
      </c>
      <c r="L564" t="n">
        <v>0</v>
      </c>
      <c r="M564" t="n">
        <v>0</v>
      </c>
      <c r="N564" t="n">
        <v>0</v>
      </c>
      <c r="O564" t="n">
        <v>0</v>
      </c>
      <c r="P564" t="n">
        <v>0</v>
      </c>
      <c r="Q564" t="n">
        <v>0</v>
      </c>
      <c r="R564" s="2" t="inlineStr"/>
    </row>
    <row r="565" ht="15" customHeight="1">
      <c r="A565" t="inlineStr">
        <is>
          <t>A 20183-2024</t>
        </is>
      </c>
      <c r="B565" s="1" t="n">
        <v>45434</v>
      </c>
      <c r="C565" s="1" t="n">
        <v>45881</v>
      </c>
      <c r="D565" t="inlineStr">
        <is>
          <t>VÄSTERNORRLANDS LÄN</t>
        </is>
      </c>
      <c r="E565" t="inlineStr">
        <is>
          <t>SUNDSVALL</t>
        </is>
      </c>
      <c r="G565" t="n">
        <v>5.4</v>
      </c>
      <c r="H565" t="n">
        <v>0</v>
      </c>
      <c r="I565" t="n">
        <v>0</v>
      </c>
      <c r="J565" t="n">
        <v>0</v>
      </c>
      <c r="K565" t="n">
        <v>0</v>
      </c>
      <c r="L565" t="n">
        <v>0</v>
      </c>
      <c r="M565" t="n">
        <v>0</v>
      </c>
      <c r="N565" t="n">
        <v>0</v>
      </c>
      <c r="O565" t="n">
        <v>0</v>
      </c>
      <c r="P565" t="n">
        <v>0</v>
      </c>
      <c r="Q565" t="n">
        <v>0</v>
      </c>
      <c r="R565" s="2" t="inlineStr"/>
    </row>
    <row r="566" ht="15" customHeight="1">
      <c r="A566" t="inlineStr">
        <is>
          <t>A 18933-2024</t>
        </is>
      </c>
      <c r="B566" s="1" t="n">
        <v>45427.44076388889</v>
      </c>
      <c r="C566" s="1" t="n">
        <v>45881</v>
      </c>
      <c r="D566" t="inlineStr">
        <is>
          <t>VÄSTERNORRLANDS LÄN</t>
        </is>
      </c>
      <c r="E566" t="inlineStr">
        <is>
          <t>SUNDSVALL</t>
        </is>
      </c>
      <c r="G566" t="n">
        <v>6.4</v>
      </c>
      <c r="H566" t="n">
        <v>0</v>
      </c>
      <c r="I566" t="n">
        <v>0</v>
      </c>
      <c r="J566" t="n">
        <v>0</v>
      </c>
      <c r="K566" t="n">
        <v>0</v>
      </c>
      <c r="L566" t="n">
        <v>0</v>
      </c>
      <c r="M566" t="n">
        <v>0</v>
      </c>
      <c r="N566" t="n">
        <v>0</v>
      </c>
      <c r="O566" t="n">
        <v>0</v>
      </c>
      <c r="P566" t="n">
        <v>0</v>
      </c>
      <c r="Q566" t="n">
        <v>0</v>
      </c>
      <c r="R566" s="2" t="inlineStr"/>
    </row>
    <row r="567" ht="15" customHeight="1">
      <c r="A567" t="inlineStr">
        <is>
          <t>A 730-2025</t>
        </is>
      </c>
      <c r="B567" s="1" t="n">
        <v>45665</v>
      </c>
      <c r="C567" s="1" t="n">
        <v>45881</v>
      </c>
      <c r="D567" t="inlineStr">
        <is>
          <t>VÄSTERNORRLANDS LÄN</t>
        </is>
      </c>
      <c r="E567" t="inlineStr">
        <is>
          <t>SUNDSVALL</t>
        </is>
      </c>
      <c r="G567" t="n">
        <v>2</v>
      </c>
      <c r="H567" t="n">
        <v>0</v>
      </c>
      <c r="I567" t="n">
        <v>0</v>
      </c>
      <c r="J567" t="n">
        <v>0</v>
      </c>
      <c r="K567" t="n">
        <v>0</v>
      </c>
      <c r="L567" t="n">
        <v>0</v>
      </c>
      <c r="M567" t="n">
        <v>0</v>
      </c>
      <c r="N567" t="n">
        <v>0</v>
      </c>
      <c r="O567" t="n">
        <v>0</v>
      </c>
      <c r="P567" t="n">
        <v>0</v>
      </c>
      <c r="Q567" t="n">
        <v>0</v>
      </c>
      <c r="R567" s="2" t="inlineStr"/>
    </row>
    <row r="568" ht="15" customHeight="1">
      <c r="A568" t="inlineStr">
        <is>
          <t>A 42879-2022</t>
        </is>
      </c>
      <c r="B568" s="1" t="n">
        <v>44832</v>
      </c>
      <c r="C568" s="1" t="n">
        <v>45881</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34544-2024</t>
        </is>
      </c>
      <c r="B569" s="1" t="n">
        <v>45525</v>
      </c>
      <c r="C569" s="1" t="n">
        <v>45881</v>
      </c>
      <c r="D569" t="inlineStr">
        <is>
          <t>VÄSTERNORRLANDS LÄN</t>
        </is>
      </c>
      <c r="E569" t="inlineStr">
        <is>
          <t>SUNDSVALL</t>
        </is>
      </c>
      <c r="G569" t="n">
        <v>0.9</v>
      </c>
      <c r="H569" t="n">
        <v>0</v>
      </c>
      <c r="I569" t="n">
        <v>0</v>
      </c>
      <c r="J569" t="n">
        <v>0</v>
      </c>
      <c r="K569" t="n">
        <v>0</v>
      </c>
      <c r="L569" t="n">
        <v>0</v>
      </c>
      <c r="M569" t="n">
        <v>0</v>
      </c>
      <c r="N569" t="n">
        <v>0</v>
      </c>
      <c r="O569" t="n">
        <v>0</v>
      </c>
      <c r="P569" t="n">
        <v>0</v>
      </c>
      <c r="Q569" t="n">
        <v>0</v>
      </c>
      <c r="R569" s="2" t="inlineStr"/>
    </row>
    <row r="570" ht="15" customHeight="1">
      <c r="A570" t="inlineStr">
        <is>
          <t>A 39370-2024</t>
        </is>
      </c>
      <c r="B570" s="1" t="n">
        <v>45551</v>
      </c>
      <c r="C570" s="1" t="n">
        <v>45881</v>
      </c>
      <c r="D570" t="inlineStr">
        <is>
          <t>VÄSTERNORRLANDS LÄN</t>
        </is>
      </c>
      <c r="E570" t="inlineStr">
        <is>
          <t>SUNDSVALL</t>
        </is>
      </c>
      <c r="G570" t="n">
        <v>2.8</v>
      </c>
      <c r="H570" t="n">
        <v>0</v>
      </c>
      <c r="I570" t="n">
        <v>0</v>
      </c>
      <c r="J570" t="n">
        <v>0</v>
      </c>
      <c r="K570" t="n">
        <v>0</v>
      </c>
      <c r="L570" t="n">
        <v>0</v>
      </c>
      <c r="M570" t="n">
        <v>0</v>
      </c>
      <c r="N570" t="n">
        <v>0</v>
      </c>
      <c r="O570" t="n">
        <v>0</v>
      </c>
      <c r="P570" t="n">
        <v>0</v>
      </c>
      <c r="Q570" t="n">
        <v>0</v>
      </c>
      <c r="R570" s="2" t="inlineStr"/>
    </row>
    <row r="571" ht="15" customHeight="1">
      <c r="A571" t="inlineStr">
        <is>
          <t>A 7293-2025</t>
        </is>
      </c>
      <c r="B571" s="1" t="n">
        <v>45702</v>
      </c>
      <c r="C571" s="1" t="n">
        <v>45881</v>
      </c>
      <c r="D571" t="inlineStr">
        <is>
          <t>VÄSTERNORRLANDS LÄN</t>
        </is>
      </c>
      <c r="E571" t="inlineStr">
        <is>
          <t>SUNDSVALL</t>
        </is>
      </c>
      <c r="G571" t="n">
        <v>0.3</v>
      </c>
      <c r="H571" t="n">
        <v>0</v>
      </c>
      <c r="I571" t="n">
        <v>0</v>
      </c>
      <c r="J571" t="n">
        <v>0</v>
      </c>
      <c r="K571" t="n">
        <v>0</v>
      </c>
      <c r="L571" t="n">
        <v>0</v>
      </c>
      <c r="M571" t="n">
        <v>0</v>
      </c>
      <c r="N571" t="n">
        <v>0</v>
      </c>
      <c r="O571" t="n">
        <v>0</v>
      </c>
      <c r="P571" t="n">
        <v>0</v>
      </c>
      <c r="Q571" t="n">
        <v>0</v>
      </c>
      <c r="R571" s="2" t="inlineStr"/>
    </row>
    <row r="572" ht="15" customHeight="1">
      <c r="A572" t="inlineStr">
        <is>
          <t>A 3214-2025</t>
        </is>
      </c>
      <c r="B572" s="1" t="n">
        <v>45679.46192129629</v>
      </c>
      <c r="C572" s="1" t="n">
        <v>45881</v>
      </c>
      <c r="D572" t="inlineStr">
        <is>
          <t>VÄSTERNORRLANDS LÄN</t>
        </is>
      </c>
      <c r="E572" t="inlineStr">
        <is>
          <t>SUNDSVALL</t>
        </is>
      </c>
      <c r="G572" t="n">
        <v>4.9</v>
      </c>
      <c r="H572" t="n">
        <v>0</v>
      </c>
      <c r="I572" t="n">
        <v>0</v>
      </c>
      <c r="J572" t="n">
        <v>0</v>
      </c>
      <c r="K572" t="n">
        <v>0</v>
      </c>
      <c r="L572" t="n">
        <v>0</v>
      </c>
      <c r="M572" t="n">
        <v>0</v>
      </c>
      <c r="N572" t="n">
        <v>0</v>
      </c>
      <c r="O572" t="n">
        <v>0</v>
      </c>
      <c r="P572" t="n">
        <v>0</v>
      </c>
      <c r="Q572" t="n">
        <v>0</v>
      </c>
      <c r="R572" s="2" t="inlineStr"/>
    </row>
    <row r="573" ht="15" customHeight="1">
      <c r="A573" t="inlineStr">
        <is>
          <t>A 18819-2025</t>
        </is>
      </c>
      <c r="B573" s="1" t="n">
        <v>45764.37483796296</v>
      </c>
      <c r="C573" s="1" t="n">
        <v>45881</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18826-2025</t>
        </is>
      </c>
      <c r="B574" s="1" t="n">
        <v>45764.38604166666</v>
      </c>
      <c r="C574" s="1" t="n">
        <v>45881</v>
      </c>
      <c r="D574" t="inlineStr">
        <is>
          <t>VÄSTERNORRLANDS LÄN</t>
        </is>
      </c>
      <c r="E574" t="inlineStr">
        <is>
          <t>SUNDSVALL</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55158-2021</t>
        </is>
      </c>
      <c r="B575" s="1" t="n">
        <v>44474</v>
      </c>
      <c r="C575" s="1" t="n">
        <v>45881</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29598-2023</t>
        </is>
      </c>
      <c r="B576" s="1" t="n">
        <v>45106</v>
      </c>
      <c r="C576" s="1" t="n">
        <v>45881</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18467-2025</t>
        </is>
      </c>
      <c r="B577" s="1" t="n">
        <v>45762.70768518518</v>
      </c>
      <c r="C577" s="1" t="n">
        <v>45881</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29298-2024</t>
        </is>
      </c>
      <c r="B578" s="1" t="n">
        <v>45483</v>
      </c>
      <c r="C578" s="1" t="n">
        <v>45881</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200-2023</t>
        </is>
      </c>
      <c r="B579" s="1" t="n">
        <v>44928</v>
      </c>
      <c r="C579" s="1" t="n">
        <v>45881</v>
      </c>
      <c r="D579" t="inlineStr">
        <is>
          <t>VÄSTERNORRLANDS LÄN</t>
        </is>
      </c>
      <c r="E579" t="inlineStr">
        <is>
          <t>SUNDSVALL</t>
        </is>
      </c>
      <c r="G579" t="n">
        <v>1.7</v>
      </c>
      <c r="H579" t="n">
        <v>0</v>
      </c>
      <c r="I579" t="n">
        <v>0</v>
      </c>
      <c r="J579" t="n">
        <v>0</v>
      </c>
      <c r="K579" t="n">
        <v>0</v>
      </c>
      <c r="L579" t="n">
        <v>0</v>
      </c>
      <c r="M579" t="n">
        <v>0</v>
      </c>
      <c r="N579" t="n">
        <v>0</v>
      </c>
      <c r="O579" t="n">
        <v>0</v>
      </c>
      <c r="P579" t="n">
        <v>0</v>
      </c>
      <c r="Q579" t="n">
        <v>0</v>
      </c>
      <c r="R579" s="2" t="inlineStr"/>
    </row>
    <row r="580" ht="15" customHeight="1">
      <c r="A580" t="inlineStr">
        <is>
          <t>A 3618-2024</t>
        </is>
      </c>
      <c r="B580" s="1" t="n">
        <v>45320.95255787037</v>
      </c>
      <c r="C580" s="1" t="n">
        <v>45881</v>
      </c>
      <c r="D580" t="inlineStr">
        <is>
          <t>VÄSTERNORRLANDS LÄN</t>
        </is>
      </c>
      <c r="E580" t="inlineStr">
        <is>
          <t>SUNDSVALL</t>
        </is>
      </c>
      <c r="F580" t="inlineStr">
        <is>
          <t>Kyrkan</t>
        </is>
      </c>
      <c r="G580" t="n">
        <v>1.9</v>
      </c>
      <c r="H580" t="n">
        <v>0</v>
      </c>
      <c r="I580" t="n">
        <v>0</v>
      </c>
      <c r="J580" t="n">
        <v>0</v>
      </c>
      <c r="K580" t="n">
        <v>0</v>
      </c>
      <c r="L580" t="n">
        <v>0</v>
      </c>
      <c r="M580" t="n">
        <v>0</v>
      </c>
      <c r="N580" t="n">
        <v>0</v>
      </c>
      <c r="O580" t="n">
        <v>0</v>
      </c>
      <c r="P580" t="n">
        <v>0</v>
      </c>
      <c r="Q580" t="n">
        <v>0</v>
      </c>
      <c r="R580" s="2" t="inlineStr"/>
    </row>
    <row r="581" ht="15" customHeight="1">
      <c r="A581" t="inlineStr">
        <is>
          <t>A 8794-2025</t>
        </is>
      </c>
      <c r="B581" s="1" t="n">
        <v>45712.64390046296</v>
      </c>
      <c r="C581" s="1" t="n">
        <v>45881</v>
      </c>
      <c r="D581" t="inlineStr">
        <is>
          <t>VÄSTERNORRLANDS LÄN</t>
        </is>
      </c>
      <c r="E581" t="inlineStr">
        <is>
          <t>SUNDSVALL</t>
        </is>
      </c>
      <c r="G581" t="n">
        <v>16.6</v>
      </c>
      <c r="H581" t="n">
        <v>0</v>
      </c>
      <c r="I581" t="n">
        <v>0</v>
      </c>
      <c r="J581" t="n">
        <v>0</v>
      </c>
      <c r="K581" t="n">
        <v>0</v>
      </c>
      <c r="L581" t="n">
        <v>0</v>
      </c>
      <c r="M581" t="n">
        <v>0</v>
      </c>
      <c r="N581" t="n">
        <v>0</v>
      </c>
      <c r="O581" t="n">
        <v>0</v>
      </c>
      <c r="P581" t="n">
        <v>0</v>
      </c>
      <c r="Q581" t="n">
        <v>0</v>
      </c>
      <c r="R581" s="2" t="inlineStr"/>
    </row>
    <row r="582" ht="15" customHeight="1">
      <c r="A582" t="inlineStr">
        <is>
          <t>A 34605-2021</t>
        </is>
      </c>
      <c r="B582" s="1" t="n">
        <v>44379</v>
      </c>
      <c r="C582" s="1" t="n">
        <v>45881</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13937-2024</t>
        </is>
      </c>
      <c r="B583" s="1" t="n">
        <v>45391</v>
      </c>
      <c r="C583" s="1" t="n">
        <v>45881</v>
      </c>
      <c r="D583" t="inlineStr">
        <is>
          <t>VÄSTERNORRLANDS LÄN</t>
        </is>
      </c>
      <c r="E583" t="inlineStr">
        <is>
          <t>SUNDSVALL</t>
        </is>
      </c>
      <c r="F583" t="inlineStr">
        <is>
          <t>SCA</t>
        </is>
      </c>
      <c r="G583" t="n">
        <v>13.5</v>
      </c>
      <c r="H583" t="n">
        <v>0</v>
      </c>
      <c r="I583" t="n">
        <v>0</v>
      </c>
      <c r="J583" t="n">
        <v>0</v>
      </c>
      <c r="K583" t="n">
        <v>0</v>
      </c>
      <c r="L583" t="n">
        <v>0</v>
      </c>
      <c r="M583" t="n">
        <v>0</v>
      </c>
      <c r="N583" t="n">
        <v>0</v>
      </c>
      <c r="O583" t="n">
        <v>0</v>
      </c>
      <c r="P583" t="n">
        <v>0</v>
      </c>
      <c r="Q583" t="n">
        <v>0</v>
      </c>
      <c r="R583" s="2" t="inlineStr"/>
    </row>
    <row r="584" ht="15" customHeight="1">
      <c r="A584" t="inlineStr">
        <is>
          <t>A 18153-2023</t>
        </is>
      </c>
      <c r="B584" s="1" t="n">
        <v>45040</v>
      </c>
      <c r="C584" s="1" t="n">
        <v>45881</v>
      </c>
      <c r="D584" t="inlineStr">
        <is>
          <t>VÄSTERNORRLANDS LÄN</t>
        </is>
      </c>
      <c r="E584" t="inlineStr">
        <is>
          <t>SUNDSVALL</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60911-2021</t>
        </is>
      </c>
      <c r="B585" s="1" t="n">
        <v>44497</v>
      </c>
      <c r="C585" s="1" t="n">
        <v>45881</v>
      </c>
      <c r="D585" t="inlineStr">
        <is>
          <t>VÄSTERNORRLANDS LÄN</t>
        </is>
      </c>
      <c r="E585" t="inlineStr">
        <is>
          <t>SUNDSVALL</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3740-2025</t>
        </is>
      </c>
      <c r="B586" s="1" t="n">
        <v>45681.57350694444</v>
      </c>
      <c r="C586" s="1" t="n">
        <v>45881</v>
      </c>
      <c r="D586" t="inlineStr">
        <is>
          <t>VÄSTERNORRLANDS LÄN</t>
        </is>
      </c>
      <c r="E586" t="inlineStr">
        <is>
          <t>SUNDSVALL</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40846-2022</t>
        </is>
      </c>
      <c r="B587" s="1" t="n">
        <v>44824.94766203704</v>
      </c>
      <c r="C587" s="1" t="n">
        <v>45881</v>
      </c>
      <c r="D587" t="inlineStr">
        <is>
          <t>VÄSTERNORRLANDS LÄN</t>
        </is>
      </c>
      <c r="E587" t="inlineStr">
        <is>
          <t>SUNDSVALL</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16249-2024</t>
        </is>
      </c>
      <c r="B588" s="1" t="n">
        <v>45407</v>
      </c>
      <c r="C588" s="1" t="n">
        <v>45881</v>
      </c>
      <c r="D588" t="inlineStr">
        <is>
          <t>VÄSTERNORRLANDS LÄN</t>
        </is>
      </c>
      <c r="E588" t="inlineStr">
        <is>
          <t>SUNDSVALL</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20418-2024</t>
        </is>
      </c>
      <c r="B589" s="1" t="n">
        <v>45435</v>
      </c>
      <c r="C589" s="1" t="n">
        <v>45881</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57400-2023</t>
        </is>
      </c>
      <c r="B590" s="1" t="n">
        <v>45245.96820601852</v>
      </c>
      <c r="C590" s="1" t="n">
        <v>45881</v>
      </c>
      <c r="D590" t="inlineStr">
        <is>
          <t>VÄSTERNORRLANDS LÄN</t>
        </is>
      </c>
      <c r="E590" t="inlineStr">
        <is>
          <t>SUNDSVALL</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57404-2023</t>
        </is>
      </c>
      <c r="B591" s="1" t="n">
        <v>45245.96857638889</v>
      </c>
      <c r="C591" s="1" t="n">
        <v>45881</v>
      </c>
      <c r="D591" t="inlineStr">
        <is>
          <t>VÄSTERNORRLANDS LÄN</t>
        </is>
      </c>
      <c r="E591" t="inlineStr">
        <is>
          <t>SUNDSVALL</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25147-2021</t>
        </is>
      </c>
      <c r="B592" s="1" t="n">
        <v>44341</v>
      </c>
      <c r="C592" s="1" t="n">
        <v>45881</v>
      </c>
      <c r="D592" t="inlineStr">
        <is>
          <t>VÄSTERNORRLANDS LÄN</t>
        </is>
      </c>
      <c r="E592" t="inlineStr">
        <is>
          <t>SUNDSVALL</t>
        </is>
      </c>
      <c r="G592" t="n">
        <v>2</v>
      </c>
      <c r="H592" t="n">
        <v>0</v>
      </c>
      <c r="I592" t="n">
        <v>0</v>
      </c>
      <c r="J592" t="n">
        <v>0</v>
      </c>
      <c r="K592" t="n">
        <v>0</v>
      </c>
      <c r="L592" t="n">
        <v>0</v>
      </c>
      <c r="M592" t="n">
        <v>0</v>
      </c>
      <c r="N592" t="n">
        <v>0</v>
      </c>
      <c r="O592" t="n">
        <v>0</v>
      </c>
      <c r="P592" t="n">
        <v>0</v>
      </c>
      <c r="Q592" t="n">
        <v>0</v>
      </c>
      <c r="R592" s="2" t="inlineStr"/>
    </row>
    <row r="593" ht="15" customHeight="1">
      <c r="A593" t="inlineStr">
        <is>
          <t>A 51110-2023</t>
        </is>
      </c>
      <c r="B593" s="1" t="n">
        <v>45218</v>
      </c>
      <c r="C593" s="1" t="n">
        <v>45881</v>
      </c>
      <c r="D593" t="inlineStr">
        <is>
          <t>VÄSTERNORRLANDS LÄN</t>
        </is>
      </c>
      <c r="E593" t="inlineStr">
        <is>
          <t>SUNDSVALL</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20079-2025</t>
        </is>
      </c>
      <c r="B594" s="1" t="n">
        <v>45772.44902777778</v>
      </c>
      <c r="C594" s="1" t="n">
        <v>45881</v>
      </c>
      <c r="D594" t="inlineStr">
        <is>
          <t>VÄSTERNORRLANDS LÄN</t>
        </is>
      </c>
      <c r="E594" t="inlineStr">
        <is>
          <t>SUNDSVALL</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55916-2023</t>
        </is>
      </c>
      <c r="B595" s="1" t="n">
        <v>45239.9684375</v>
      </c>
      <c r="C595" s="1" t="n">
        <v>45881</v>
      </c>
      <c r="D595" t="inlineStr">
        <is>
          <t>VÄSTERNORRLANDS LÄN</t>
        </is>
      </c>
      <c r="E595" t="inlineStr">
        <is>
          <t>SUNDSVALL</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2129-2023</t>
        </is>
      </c>
      <c r="B596" s="1" t="n">
        <v>44939.93967592593</v>
      </c>
      <c r="C596" s="1" t="n">
        <v>45881</v>
      </c>
      <c r="D596" t="inlineStr">
        <is>
          <t>VÄSTERNORRLANDS LÄN</t>
        </is>
      </c>
      <c r="E596" t="inlineStr">
        <is>
          <t>SUNDSVALL</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30084-2022</t>
        </is>
      </c>
      <c r="B597" s="1" t="n">
        <v>44757.3788425926</v>
      </c>
      <c r="C597" s="1" t="n">
        <v>45881</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13570-2025</t>
        </is>
      </c>
      <c r="B598" s="1" t="n">
        <v>45736.57355324074</v>
      </c>
      <c r="C598" s="1" t="n">
        <v>45881</v>
      </c>
      <c r="D598" t="inlineStr">
        <is>
          <t>VÄSTERNORRLANDS LÄN</t>
        </is>
      </c>
      <c r="E598" t="inlineStr">
        <is>
          <t>SUNDSVALL</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12190-2025</t>
        </is>
      </c>
      <c r="B599" s="1" t="n">
        <v>45729.46947916667</v>
      </c>
      <c r="C599" s="1" t="n">
        <v>45881</v>
      </c>
      <c r="D599" t="inlineStr">
        <is>
          <t>VÄSTERNORRLANDS LÄN</t>
        </is>
      </c>
      <c r="E599" t="inlineStr">
        <is>
          <t>SUNDSVALL</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22628-2024</t>
        </is>
      </c>
      <c r="B600" s="1" t="n">
        <v>45447.66850694444</v>
      </c>
      <c r="C600" s="1" t="n">
        <v>45881</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18582-2024</t>
        </is>
      </c>
      <c r="B601" s="1" t="n">
        <v>45425</v>
      </c>
      <c r="C601" s="1" t="n">
        <v>45881</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13347-2024</t>
        </is>
      </c>
      <c r="B602" s="1" t="n">
        <v>45386</v>
      </c>
      <c r="C602" s="1" t="n">
        <v>45881</v>
      </c>
      <c r="D602" t="inlineStr">
        <is>
          <t>VÄSTERNORRLANDS LÄN</t>
        </is>
      </c>
      <c r="E602" t="inlineStr">
        <is>
          <t>SUNDSVALL</t>
        </is>
      </c>
      <c r="G602" t="n">
        <v>1.6</v>
      </c>
      <c r="H602" t="n">
        <v>0</v>
      </c>
      <c r="I602" t="n">
        <v>0</v>
      </c>
      <c r="J602" t="n">
        <v>0</v>
      </c>
      <c r="K602" t="n">
        <v>0</v>
      </c>
      <c r="L602" t="n">
        <v>0</v>
      </c>
      <c r="M602" t="n">
        <v>0</v>
      </c>
      <c r="N602" t="n">
        <v>0</v>
      </c>
      <c r="O602" t="n">
        <v>0</v>
      </c>
      <c r="P602" t="n">
        <v>0</v>
      </c>
      <c r="Q602" t="n">
        <v>0</v>
      </c>
      <c r="R602" s="2" t="inlineStr"/>
    </row>
    <row r="603" ht="15" customHeight="1">
      <c r="A603" t="inlineStr">
        <is>
          <t>A 13353-2024</t>
        </is>
      </c>
      <c r="B603" s="1" t="n">
        <v>45387.33446759259</v>
      </c>
      <c r="C603" s="1" t="n">
        <v>45881</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47032-2023</t>
        </is>
      </c>
      <c r="B604" s="1" t="n">
        <v>45196</v>
      </c>
      <c r="C604" s="1" t="n">
        <v>45881</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53451-2023</t>
        </is>
      </c>
      <c r="B605" s="1" t="n">
        <v>45229.96545138889</v>
      </c>
      <c r="C605" s="1" t="n">
        <v>45881</v>
      </c>
      <c r="D605" t="inlineStr">
        <is>
          <t>VÄSTERNORRLANDS LÄN</t>
        </is>
      </c>
      <c r="E605" t="inlineStr">
        <is>
          <t>SUNDSVALL</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14537-2024</t>
        </is>
      </c>
      <c r="B606" s="1" t="n">
        <v>45394</v>
      </c>
      <c r="C606" s="1" t="n">
        <v>45881</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19715-2025</t>
        </is>
      </c>
      <c r="B607" s="1" t="n">
        <v>45771</v>
      </c>
      <c r="C607" s="1" t="n">
        <v>45881</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19720-2025</t>
        </is>
      </c>
      <c r="B608" s="1" t="n">
        <v>45771.35729166667</v>
      </c>
      <c r="C608" s="1" t="n">
        <v>45881</v>
      </c>
      <c r="D608" t="inlineStr">
        <is>
          <t>VÄSTERNORRLANDS LÄN</t>
        </is>
      </c>
      <c r="E608" t="inlineStr">
        <is>
          <t>SUNDSVALL</t>
        </is>
      </c>
      <c r="G608" t="n">
        <v>2</v>
      </c>
      <c r="H608" t="n">
        <v>0</v>
      </c>
      <c r="I608" t="n">
        <v>0</v>
      </c>
      <c r="J608" t="n">
        <v>0</v>
      </c>
      <c r="K608" t="n">
        <v>0</v>
      </c>
      <c r="L608" t="n">
        <v>0</v>
      </c>
      <c r="M608" t="n">
        <v>0</v>
      </c>
      <c r="N608" t="n">
        <v>0</v>
      </c>
      <c r="O608" t="n">
        <v>0</v>
      </c>
      <c r="P608" t="n">
        <v>0</v>
      </c>
      <c r="Q608" t="n">
        <v>0</v>
      </c>
      <c r="R608" s="2" t="inlineStr"/>
    </row>
    <row r="609" ht="15" customHeight="1">
      <c r="A609" t="inlineStr">
        <is>
          <t>A 19733-2025</t>
        </is>
      </c>
      <c r="B609" s="1" t="n">
        <v>45771.36633101852</v>
      </c>
      <c r="C609" s="1" t="n">
        <v>45881</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21899-2024</t>
        </is>
      </c>
      <c r="B610" s="1" t="n">
        <v>45443</v>
      </c>
      <c r="C610" s="1" t="n">
        <v>45881</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52109-2023</t>
        </is>
      </c>
      <c r="B611" s="1" t="n">
        <v>45223</v>
      </c>
      <c r="C611" s="1" t="n">
        <v>45881</v>
      </c>
      <c r="D611" t="inlineStr">
        <is>
          <t>VÄSTERNORRLANDS LÄN</t>
        </is>
      </c>
      <c r="E611" t="inlineStr">
        <is>
          <t>SUNDSVALL</t>
        </is>
      </c>
      <c r="G611" t="n">
        <v>1.1</v>
      </c>
      <c r="H611" t="n">
        <v>0</v>
      </c>
      <c r="I611" t="n">
        <v>0</v>
      </c>
      <c r="J611" t="n">
        <v>0</v>
      </c>
      <c r="K611" t="n">
        <v>0</v>
      </c>
      <c r="L611" t="n">
        <v>0</v>
      </c>
      <c r="M611" t="n">
        <v>0</v>
      </c>
      <c r="N611" t="n">
        <v>0</v>
      </c>
      <c r="O611" t="n">
        <v>0</v>
      </c>
      <c r="P611" t="n">
        <v>0</v>
      </c>
      <c r="Q611" t="n">
        <v>0</v>
      </c>
      <c r="R611" s="2" t="inlineStr"/>
    </row>
    <row r="612" ht="15" customHeight="1">
      <c r="A612" t="inlineStr">
        <is>
          <t>A 52110-2023</t>
        </is>
      </c>
      <c r="B612" s="1" t="n">
        <v>45223</v>
      </c>
      <c r="C612" s="1" t="n">
        <v>45881</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37962-2021</t>
        </is>
      </c>
      <c r="B613" s="1" t="n">
        <v>44403.94012731482</v>
      </c>
      <c r="C613" s="1" t="n">
        <v>45881</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15633-2025</t>
        </is>
      </c>
      <c r="B614" s="1" t="n">
        <v>45748.37162037037</v>
      </c>
      <c r="C614" s="1" t="n">
        <v>45881</v>
      </c>
      <c r="D614" t="inlineStr">
        <is>
          <t>VÄSTERNORRLANDS LÄN</t>
        </is>
      </c>
      <c r="E614" t="inlineStr">
        <is>
          <t>SUNDSVALL</t>
        </is>
      </c>
      <c r="G614" t="n">
        <v>7.6</v>
      </c>
      <c r="H614" t="n">
        <v>0</v>
      </c>
      <c r="I614" t="n">
        <v>0</v>
      </c>
      <c r="J614" t="n">
        <v>0</v>
      </c>
      <c r="K614" t="n">
        <v>0</v>
      </c>
      <c r="L614" t="n">
        <v>0</v>
      </c>
      <c r="M614" t="n">
        <v>0</v>
      </c>
      <c r="N614" t="n">
        <v>0</v>
      </c>
      <c r="O614" t="n">
        <v>0</v>
      </c>
      <c r="P614" t="n">
        <v>0</v>
      </c>
      <c r="Q614" t="n">
        <v>0</v>
      </c>
      <c r="R614" s="2" t="inlineStr"/>
    </row>
    <row r="615" ht="15" customHeight="1">
      <c r="A615" t="inlineStr">
        <is>
          <t>A 45739-2021</t>
        </is>
      </c>
      <c r="B615" s="1" t="n">
        <v>44441</v>
      </c>
      <c r="C615" s="1" t="n">
        <v>45881</v>
      </c>
      <c r="D615" t="inlineStr">
        <is>
          <t>VÄSTERNORRLANDS LÄN</t>
        </is>
      </c>
      <c r="E615" t="inlineStr">
        <is>
          <t>SUNDSVALL</t>
        </is>
      </c>
      <c r="G615" t="n">
        <v>14.8</v>
      </c>
      <c r="H615" t="n">
        <v>0</v>
      </c>
      <c r="I615" t="n">
        <v>0</v>
      </c>
      <c r="J615" t="n">
        <v>0</v>
      </c>
      <c r="K615" t="n">
        <v>0</v>
      </c>
      <c r="L615" t="n">
        <v>0</v>
      </c>
      <c r="M615" t="n">
        <v>0</v>
      </c>
      <c r="N615" t="n">
        <v>0</v>
      </c>
      <c r="O615" t="n">
        <v>0</v>
      </c>
      <c r="P615" t="n">
        <v>0</v>
      </c>
      <c r="Q615" t="n">
        <v>0</v>
      </c>
      <c r="R615" s="2" t="inlineStr"/>
    </row>
    <row r="616" ht="15" customHeight="1">
      <c r="A616" t="inlineStr">
        <is>
          <t>A 58352-2022</t>
        </is>
      </c>
      <c r="B616" s="1" t="n">
        <v>44901.60188657408</v>
      </c>
      <c r="C616" s="1" t="n">
        <v>45881</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40946-2022</t>
        </is>
      </c>
      <c r="B617" s="1" t="n">
        <v>44823</v>
      </c>
      <c r="C617" s="1" t="n">
        <v>45881</v>
      </c>
      <c r="D617" t="inlineStr">
        <is>
          <t>VÄSTERNORRLANDS LÄN</t>
        </is>
      </c>
      <c r="E617" t="inlineStr">
        <is>
          <t>SUNDSVALL</t>
        </is>
      </c>
      <c r="G617" t="n">
        <v>1.7</v>
      </c>
      <c r="H617" t="n">
        <v>0</v>
      </c>
      <c r="I617" t="n">
        <v>0</v>
      </c>
      <c r="J617" t="n">
        <v>0</v>
      </c>
      <c r="K617" t="n">
        <v>0</v>
      </c>
      <c r="L617" t="n">
        <v>0</v>
      </c>
      <c r="M617" t="n">
        <v>0</v>
      </c>
      <c r="N617" t="n">
        <v>0</v>
      </c>
      <c r="O617" t="n">
        <v>0</v>
      </c>
      <c r="P617" t="n">
        <v>0</v>
      </c>
      <c r="Q617" t="n">
        <v>0</v>
      </c>
      <c r="R617" s="2" t="inlineStr"/>
    </row>
    <row r="618" ht="15" customHeight="1">
      <c r="A618" t="inlineStr">
        <is>
          <t>A 19654-2023</t>
        </is>
      </c>
      <c r="B618" s="1" t="n">
        <v>45050</v>
      </c>
      <c r="C618" s="1" t="n">
        <v>45881</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62301-2023</t>
        </is>
      </c>
      <c r="B619" s="1" t="n">
        <v>45267</v>
      </c>
      <c r="C619" s="1" t="n">
        <v>45881</v>
      </c>
      <c r="D619" t="inlineStr">
        <is>
          <t>VÄSTERNORRLANDS LÄN</t>
        </is>
      </c>
      <c r="E619" t="inlineStr">
        <is>
          <t>SUNDSVALL</t>
        </is>
      </c>
      <c r="G619" t="n">
        <v>2.6</v>
      </c>
      <c r="H619" t="n">
        <v>0</v>
      </c>
      <c r="I619" t="n">
        <v>0</v>
      </c>
      <c r="J619" t="n">
        <v>0</v>
      </c>
      <c r="K619" t="n">
        <v>0</v>
      </c>
      <c r="L619" t="n">
        <v>0</v>
      </c>
      <c r="M619" t="n">
        <v>0</v>
      </c>
      <c r="N619" t="n">
        <v>0</v>
      </c>
      <c r="O619" t="n">
        <v>0</v>
      </c>
      <c r="P619" t="n">
        <v>0</v>
      </c>
      <c r="Q619" t="n">
        <v>0</v>
      </c>
      <c r="R619" s="2" t="inlineStr"/>
    </row>
    <row r="620" ht="15" customHeight="1">
      <c r="A620" t="inlineStr">
        <is>
          <t>A 19573-2025</t>
        </is>
      </c>
      <c r="B620" s="1" t="n">
        <v>45770.55274305555</v>
      </c>
      <c r="C620" s="1" t="n">
        <v>45881</v>
      </c>
      <c r="D620" t="inlineStr">
        <is>
          <t>VÄSTERNORRLANDS LÄN</t>
        </is>
      </c>
      <c r="E620" t="inlineStr">
        <is>
          <t>SUNDSVALL</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40763-2023</t>
        </is>
      </c>
      <c r="B621" s="1" t="n">
        <v>45170</v>
      </c>
      <c r="C621" s="1" t="n">
        <v>45881</v>
      </c>
      <c r="D621" t="inlineStr">
        <is>
          <t>VÄSTERNORRLANDS LÄN</t>
        </is>
      </c>
      <c r="E621" t="inlineStr">
        <is>
          <t>SUNDSVALL</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10993-2022</t>
        </is>
      </c>
      <c r="B622" s="1" t="n">
        <v>44628.46541666667</v>
      </c>
      <c r="C622" s="1" t="n">
        <v>45881</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20557-2025</t>
        </is>
      </c>
      <c r="B623" s="1" t="n">
        <v>45775.64427083333</v>
      </c>
      <c r="C623" s="1" t="n">
        <v>45881</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18838-2022</t>
        </is>
      </c>
      <c r="B624" s="1" t="n">
        <v>44690</v>
      </c>
      <c r="C624" s="1" t="n">
        <v>45881</v>
      </c>
      <c r="D624" t="inlineStr">
        <is>
          <t>VÄSTERNORRLANDS LÄN</t>
        </is>
      </c>
      <c r="E624" t="inlineStr">
        <is>
          <t>SUNDSVALL</t>
        </is>
      </c>
      <c r="G624" t="n">
        <v>5.1</v>
      </c>
      <c r="H624" t="n">
        <v>0</v>
      </c>
      <c r="I624" t="n">
        <v>0</v>
      </c>
      <c r="J624" t="n">
        <v>0</v>
      </c>
      <c r="K624" t="n">
        <v>0</v>
      </c>
      <c r="L624" t="n">
        <v>0</v>
      </c>
      <c r="M624" t="n">
        <v>0</v>
      </c>
      <c r="N624" t="n">
        <v>0</v>
      </c>
      <c r="O624" t="n">
        <v>0</v>
      </c>
      <c r="P624" t="n">
        <v>0</v>
      </c>
      <c r="Q624" t="n">
        <v>0</v>
      </c>
      <c r="R624" s="2" t="inlineStr"/>
    </row>
    <row r="625" ht="15" customHeight="1">
      <c r="A625" t="inlineStr">
        <is>
          <t>A 7943-2022</t>
        </is>
      </c>
      <c r="B625" s="1" t="n">
        <v>44608</v>
      </c>
      <c r="C625" s="1" t="n">
        <v>45881</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12803-2024</t>
        </is>
      </c>
      <c r="B626" s="1" t="n">
        <v>45384</v>
      </c>
      <c r="C626" s="1" t="n">
        <v>45881</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53645-2022</t>
        </is>
      </c>
      <c r="B627" s="1" t="n">
        <v>44879</v>
      </c>
      <c r="C627" s="1" t="n">
        <v>45881</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56420-2022</t>
        </is>
      </c>
      <c r="B628" s="1" t="n">
        <v>44890.95302083333</v>
      </c>
      <c r="C628" s="1" t="n">
        <v>45881</v>
      </c>
      <c r="D628" t="inlineStr">
        <is>
          <t>VÄSTERNORRLANDS LÄN</t>
        </is>
      </c>
      <c r="E628" t="inlineStr">
        <is>
          <t>SUNDSVALL</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15049-2025</t>
        </is>
      </c>
      <c r="B629" s="1" t="n">
        <v>45743</v>
      </c>
      <c r="C629" s="1" t="n">
        <v>45881</v>
      </c>
      <c r="D629" t="inlineStr">
        <is>
          <t>VÄSTERNORRLANDS LÄN</t>
        </is>
      </c>
      <c r="E629" t="inlineStr">
        <is>
          <t>SUNDSVALL</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18513-2025</t>
        </is>
      </c>
      <c r="B630" s="1" t="n">
        <v>45763.38469907407</v>
      </c>
      <c r="C630" s="1" t="n">
        <v>45881</v>
      </c>
      <c r="D630" t="inlineStr">
        <is>
          <t>VÄSTERNORRLANDS LÄN</t>
        </is>
      </c>
      <c r="E630" t="inlineStr">
        <is>
          <t>SUNDSVALL</t>
        </is>
      </c>
      <c r="G630" t="n">
        <v>1.1</v>
      </c>
      <c r="H630" t="n">
        <v>0</v>
      </c>
      <c r="I630" t="n">
        <v>0</v>
      </c>
      <c r="J630" t="n">
        <v>0</v>
      </c>
      <c r="K630" t="n">
        <v>0</v>
      </c>
      <c r="L630" t="n">
        <v>0</v>
      </c>
      <c r="M630" t="n">
        <v>0</v>
      </c>
      <c r="N630" t="n">
        <v>0</v>
      </c>
      <c r="O630" t="n">
        <v>0</v>
      </c>
      <c r="P630" t="n">
        <v>0</v>
      </c>
      <c r="Q630" t="n">
        <v>0</v>
      </c>
      <c r="R630" s="2" t="inlineStr"/>
    </row>
    <row r="631" ht="15" customHeight="1">
      <c r="A631" t="inlineStr">
        <is>
          <t>A 50013-2024</t>
        </is>
      </c>
      <c r="B631" s="1" t="n">
        <v>45598.85898148148</v>
      </c>
      <c r="C631" s="1" t="n">
        <v>45881</v>
      </c>
      <c r="D631" t="inlineStr">
        <is>
          <t>VÄSTERNORRLANDS LÄN</t>
        </is>
      </c>
      <c r="E631" t="inlineStr">
        <is>
          <t>SUNDSVALL</t>
        </is>
      </c>
      <c r="G631" t="n">
        <v>1.8</v>
      </c>
      <c r="H631" t="n">
        <v>0</v>
      </c>
      <c r="I631" t="n">
        <v>0</v>
      </c>
      <c r="J631" t="n">
        <v>0</v>
      </c>
      <c r="K631" t="n">
        <v>0</v>
      </c>
      <c r="L631" t="n">
        <v>0</v>
      </c>
      <c r="M631" t="n">
        <v>0</v>
      </c>
      <c r="N631" t="n">
        <v>0</v>
      </c>
      <c r="O631" t="n">
        <v>0</v>
      </c>
      <c r="P631" t="n">
        <v>0</v>
      </c>
      <c r="Q631" t="n">
        <v>0</v>
      </c>
      <c r="R631" s="2" t="inlineStr"/>
    </row>
    <row r="632" ht="15" customHeight="1">
      <c r="A632" t="inlineStr">
        <is>
          <t>A 36844-2023</t>
        </is>
      </c>
      <c r="B632" s="1" t="n">
        <v>45154</v>
      </c>
      <c r="C632" s="1" t="n">
        <v>45881</v>
      </c>
      <c r="D632" t="inlineStr">
        <is>
          <t>VÄSTERNORRLANDS LÄN</t>
        </is>
      </c>
      <c r="E632" t="inlineStr">
        <is>
          <t>SUNDSVALL</t>
        </is>
      </c>
      <c r="G632" t="n">
        <v>4.6</v>
      </c>
      <c r="H632" t="n">
        <v>0</v>
      </c>
      <c r="I632" t="n">
        <v>0</v>
      </c>
      <c r="J632" t="n">
        <v>0</v>
      </c>
      <c r="K632" t="n">
        <v>0</v>
      </c>
      <c r="L632" t="n">
        <v>0</v>
      </c>
      <c r="M632" t="n">
        <v>0</v>
      </c>
      <c r="N632" t="n">
        <v>0</v>
      </c>
      <c r="O632" t="n">
        <v>0</v>
      </c>
      <c r="P632" t="n">
        <v>0</v>
      </c>
      <c r="Q632" t="n">
        <v>0</v>
      </c>
      <c r="R632" s="2" t="inlineStr"/>
    </row>
    <row r="633" ht="15" customHeight="1">
      <c r="A633" t="inlineStr">
        <is>
          <t>A 57775-2023</t>
        </is>
      </c>
      <c r="B633" s="1" t="n">
        <v>45246</v>
      </c>
      <c r="C633" s="1" t="n">
        <v>45881</v>
      </c>
      <c r="D633" t="inlineStr">
        <is>
          <t>VÄSTERNORRLANDS LÄN</t>
        </is>
      </c>
      <c r="E633" t="inlineStr">
        <is>
          <t>SUNDSVALL</t>
        </is>
      </c>
      <c r="G633" t="n">
        <v>2</v>
      </c>
      <c r="H633" t="n">
        <v>0</v>
      </c>
      <c r="I633" t="n">
        <v>0</v>
      </c>
      <c r="J633" t="n">
        <v>0</v>
      </c>
      <c r="K633" t="n">
        <v>0</v>
      </c>
      <c r="L633" t="n">
        <v>0</v>
      </c>
      <c r="M633" t="n">
        <v>0</v>
      </c>
      <c r="N633" t="n">
        <v>0</v>
      </c>
      <c r="O633" t="n">
        <v>0</v>
      </c>
      <c r="P633" t="n">
        <v>0</v>
      </c>
      <c r="Q633" t="n">
        <v>0</v>
      </c>
      <c r="R633" s="2" t="inlineStr"/>
    </row>
    <row r="634" ht="15" customHeight="1">
      <c r="A634" t="inlineStr">
        <is>
          <t>A 38353-2023</t>
        </is>
      </c>
      <c r="B634" s="1" t="n">
        <v>45161</v>
      </c>
      <c r="C634" s="1" t="n">
        <v>45881</v>
      </c>
      <c r="D634" t="inlineStr">
        <is>
          <t>VÄSTERNORRLANDS LÄN</t>
        </is>
      </c>
      <c r="E634" t="inlineStr">
        <is>
          <t>SUNDSVALL</t>
        </is>
      </c>
      <c r="G634" t="n">
        <v>5</v>
      </c>
      <c r="H634" t="n">
        <v>0</v>
      </c>
      <c r="I634" t="n">
        <v>0</v>
      </c>
      <c r="J634" t="n">
        <v>0</v>
      </c>
      <c r="K634" t="n">
        <v>0</v>
      </c>
      <c r="L634" t="n">
        <v>0</v>
      </c>
      <c r="M634" t="n">
        <v>0</v>
      </c>
      <c r="N634" t="n">
        <v>0</v>
      </c>
      <c r="O634" t="n">
        <v>0</v>
      </c>
      <c r="P634" t="n">
        <v>0</v>
      </c>
      <c r="Q634" t="n">
        <v>0</v>
      </c>
      <c r="R634" s="2" t="inlineStr"/>
    </row>
    <row r="635" ht="15" customHeight="1">
      <c r="A635" t="inlineStr">
        <is>
          <t>A 38357-2023</t>
        </is>
      </c>
      <c r="B635" s="1" t="n">
        <v>45161</v>
      </c>
      <c r="C635" s="1" t="n">
        <v>45881</v>
      </c>
      <c r="D635" t="inlineStr">
        <is>
          <t>VÄSTERNORRLANDS LÄN</t>
        </is>
      </c>
      <c r="E635" t="inlineStr">
        <is>
          <t>SUNDSVALL</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45357-2024</t>
        </is>
      </c>
      <c r="B636" s="1" t="n">
        <v>45576.48070601852</v>
      </c>
      <c r="C636" s="1" t="n">
        <v>45881</v>
      </c>
      <c r="D636" t="inlineStr">
        <is>
          <t>VÄSTERNORRLANDS LÄN</t>
        </is>
      </c>
      <c r="E636" t="inlineStr">
        <is>
          <t>SUNDSVALL</t>
        </is>
      </c>
      <c r="G636" t="n">
        <v>18.2</v>
      </c>
      <c r="H636" t="n">
        <v>0</v>
      </c>
      <c r="I636" t="n">
        <v>0</v>
      </c>
      <c r="J636" t="n">
        <v>0</v>
      </c>
      <c r="K636" t="n">
        <v>0</v>
      </c>
      <c r="L636" t="n">
        <v>0</v>
      </c>
      <c r="M636" t="n">
        <v>0</v>
      </c>
      <c r="N636" t="n">
        <v>0</v>
      </c>
      <c r="O636" t="n">
        <v>0</v>
      </c>
      <c r="P636" t="n">
        <v>0</v>
      </c>
      <c r="Q636" t="n">
        <v>0</v>
      </c>
      <c r="R636" s="2" t="inlineStr"/>
    </row>
    <row r="637" ht="15" customHeight="1">
      <c r="A637" t="inlineStr">
        <is>
          <t>A 59901-2024</t>
        </is>
      </c>
      <c r="B637" s="1" t="n">
        <v>45641.59461805555</v>
      </c>
      <c r="C637" s="1" t="n">
        <v>45881</v>
      </c>
      <c r="D637" t="inlineStr">
        <is>
          <t>VÄSTERNORRLANDS LÄN</t>
        </is>
      </c>
      <c r="E637" t="inlineStr">
        <is>
          <t>SUNDSVALL</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8463-2025</t>
        </is>
      </c>
      <c r="B638" s="1" t="n">
        <v>45709.46928240741</v>
      </c>
      <c r="C638" s="1" t="n">
        <v>45881</v>
      </c>
      <c r="D638" t="inlineStr">
        <is>
          <t>VÄSTERNORRLANDS LÄN</t>
        </is>
      </c>
      <c r="E638" t="inlineStr">
        <is>
          <t>SUNDSVALL</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8479-2025</t>
        </is>
      </c>
      <c r="B639" s="1" t="n">
        <v>45709.4887962963</v>
      </c>
      <c r="C639" s="1" t="n">
        <v>45881</v>
      </c>
      <c r="D639" t="inlineStr">
        <is>
          <t>VÄSTERNORRLANDS LÄN</t>
        </is>
      </c>
      <c r="E639" t="inlineStr">
        <is>
          <t>SUNDSVALL</t>
        </is>
      </c>
      <c r="G639" t="n">
        <v>13.1</v>
      </c>
      <c r="H639" t="n">
        <v>0</v>
      </c>
      <c r="I639" t="n">
        <v>0</v>
      </c>
      <c r="J639" t="n">
        <v>0</v>
      </c>
      <c r="K639" t="n">
        <v>0</v>
      </c>
      <c r="L639" t="n">
        <v>0</v>
      </c>
      <c r="M639" t="n">
        <v>0</v>
      </c>
      <c r="N639" t="n">
        <v>0</v>
      </c>
      <c r="O639" t="n">
        <v>0</v>
      </c>
      <c r="P639" t="n">
        <v>0</v>
      </c>
      <c r="Q639" t="n">
        <v>0</v>
      </c>
      <c r="R639" s="2" t="inlineStr"/>
    </row>
    <row r="640" ht="15" customHeight="1">
      <c r="A640" t="inlineStr">
        <is>
          <t>A 35500-2023</t>
        </is>
      </c>
      <c r="B640" s="1" t="n">
        <v>45146.9228125</v>
      </c>
      <c r="C640" s="1" t="n">
        <v>45881</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63774-2020</t>
        </is>
      </c>
      <c r="B641" s="1" t="n">
        <v>44166</v>
      </c>
      <c r="C641" s="1" t="n">
        <v>45881</v>
      </c>
      <c r="D641" t="inlineStr">
        <is>
          <t>VÄSTERNORRLANDS LÄN</t>
        </is>
      </c>
      <c r="E641" t="inlineStr">
        <is>
          <t>SUNDSVALL</t>
        </is>
      </c>
      <c r="F641" t="inlineStr">
        <is>
          <t>Kommuner</t>
        </is>
      </c>
      <c r="G641" t="n">
        <v>4.4</v>
      </c>
      <c r="H641" t="n">
        <v>0</v>
      </c>
      <c r="I641" t="n">
        <v>0</v>
      </c>
      <c r="J641" t="n">
        <v>0</v>
      </c>
      <c r="K641" t="n">
        <v>0</v>
      </c>
      <c r="L641" t="n">
        <v>0</v>
      </c>
      <c r="M641" t="n">
        <v>0</v>
      </c>
      <c r="N641" t="n">
        <v>0</v>
      </c>
      <c r="O641" t="n">
        <v>0</v>
      </c>
      <c r="P641" t="n">
        <v>0</v>
      </c>
      <c r="Q641" t="n">
        <v>0</v>
      </c>
      <c r="R641" s="2" t="inlineStr"/>
    </row>
    <row r="642" ht="15" customHeight="1">
      <c r="A642" t="inlineStr">
        <is>
          <t>A 4912-2023</t>
        </is>
      </c>
      <c r="B642" s="1" t="n">
        <v>44956</v>
      </c>
      <c r="C642" s="1" t="n">
        <v>45881</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29629-2023</t>
        </is>
      </c>
      <c r="B643" s="1" t="n">
        <v>45106.94587962963</v>
      </c>
      <c r="C643" s="1" t="n">
        <v>45881</v>
      </c>
      <c r="D643" t="inlineStr">
        <is>
          <t>VÄSTERNORRLANDS LÄN</t>
        </is>
      </c>
      <c r="E643" t="inlineStr">
        <is>
          <t>SUNDSVALL</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58453-2023</t>
        </is>
      </c>
      <c r="B644" s="1" t="n">
        <v>45250.93866898148</v>
      </c>
      <c r="C644" s="1" t="n">
        <v>45881</v>
      </c>
      <c r="D644" t="inlineStr">
        <is>
          <t>VÄSTERNORRLANDS LÄN</t>
        </is>
      </c>
      <c r="E644" t="inlineStr">
        <is>
          <t>SUNDSVALL</t>
        </is>
      </c>
      <c r="G644" t="n">
        <v>1.2</v>
      </c>
      <c r="H644" t="n">
        <v>0</v>
      </c>
      <c r="I644" t="n">
        <v>0</v>
      </c>
      <c r="J644" t="n">
        <v>0</v>
      </c>
      <c r="K644" t="n">
        <v>0</v>
      </c>
      <c r="L644" t="n">
        <v>0</v>
      </c>
      <c r="M644" t="n">
        <v>0</v>
      </c>
      <c r="N644" t="n">
        <v>0</v>
      </c>
      <c r="O644" t="n">
        <v>0</v>
      </c>
      <c r="P644" t="n">
        <v>0</v>
      </c>
      <c r="Q644" t="n">
        <v>0</v>
      </c>
      <c r="R644" s="2" t="inlineStr"/>
    </row>
    <row r="645" ht="15" customHeight="1">
      <c r="A645" t="inlineStr">
        <is>
          <t>A 13818-2024</t>
        </is>
      </c>
      <c r="B645" s="1" t="n">
        <v>45391</v>
      </c>
      <c r="C645" s="1" t="n">
        <v>45881</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50651-2022</t>
        </is>
      </c>
      <c r="B646" s="1" t="n">
        <v>44866</v>
      </c>
      <c r="C646" s="1" t="n">
        <v>45881</v>
      </c>
      <c r="D646" t="inlineStr">
        <is>
          <t>VÄSTERNORRLANDS LÄN</t>
        </is>
      </c>
      <c r="E646" t="inlineStr">
        <is>
          <t>SUNDSVALL</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63655-2021</t>
        </is>
      </c>
      <c r="B647" s="1" t="n">
        <v>44508</v>
      </c>
      <c r="C647" s="1" t="n">
        <v>45881</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63661-2021</t>
        </is>
      </c>
      <c r="B648" s="1" t="n">
        <v>44508</v>
      </c>
      <c r="C648" s="1" t="n">
        <v>45881</v>
      </c>
      <c r="D648" t="inlineStr">
        <is>
          <t>VÄSTERNORRLANDS LÄN</t>
        </is>
      </c>
      <c r="E648" t="inlineStr">
        <is>
          <t>SUNDSVALL</t>
        </is>
      </c>
      <c r="G648" t="n">
        <v>2</v>
      </c>
      <c r="H648" t="n">
        <v>0</v>
      </c>
      <c r="I648" t="n">
        <v>0</v>
      </c>
      <c r="J648" t="n">
        <v>0</v>
      </c>
      <c r="K648" t="n">
        <v>0</v>
      </c>
      <c r="L648" t="n">
        <v>0</v>
      </c>
      <c r="M648" t="n">
        <v>0</v>
      </c>
      <c r="N648" t="n">
        <v>0</v>
      </c>
      <c r="O648" t="n">
        <v>0</v>
      </c>
      <c r="P648" t="n">
        <v>0</v>
      </c>
      <c r="Q648" t="n">
        <v>0</v>
      </c>
      <c r="R648" s="2" t="inlineStr"/>
    </row>
    <row r="649" ht="15" customHeight="1">
      <c r="A649" t="inlineStr">
        <is>
          <t>A 795-2023</t>
        </is>
      </c>
      <c r="B649" s="1" t="n">
        <v>44928</v>
      </c>
      <c r="C649" s="1" t="n">
        <v>45881</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47565-2021</t>
        </is>
      </c>
      <c r="B650" s="1" t="n">
        <v>44447</v>
      </c>
      <c r="C650" s="1" t="n">
        <v>45881</v>
      </c>
      <c r="D650" t="inlineStr">
        <is>
          <t>VÄSTERNORRLANDS LÄN</t>
        </is>
      </c>
      <c r="E650" t="inlineStr">
        <is>
          <t>SUNDSVALL</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10786-2023</t>
        </is>
      </c>
      <c r="B651" s="1" t="n">
        <v>44988</v>
      </c>
      <c r="C651" s="1" t="n">
        <v>45881</v>
      </c>
      <c r="D651" t="inlineStr">
        <is>
          <t>VÄSTERNORRLANDS LÄN</t>
        </is>
      </c>
      <c r="E651" t="inlineStr">
        <is>
          <t>SUNDSVALL</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44506-2022</t>
        </is>
      </c>
      <c r="B652" s="1" t="n">
        <v>44840</v>
      </c>
      <c r="C652" s="1" t="n">
        <v>45881</v>
      </c>
      <c r="D652" t="inlineStr">
        <is>
          <t>VÄSTERNORRLANDS LÄN</t>
        </is>
      </c>
      <c r="E652" t="inlineStr">
        <is>
          <t>SUNDSVALL</t>
        </is>
      </c>
      <c r="G652" t="n">
        <v>4.2</v>
      </c>
      <c r="H652" t="n">
        <v>0</v>
      </c>
      <c r="I652" t="n">
        <v>0</v>
      </c>
      <c r="J652" t="n">
        <v>0</v>
      </c>
      <c r="K652" t="n">
        <v>0</v>
      </c>
      <c r="L652" t="n">
        <v>0</v>
      </c>
      <c r="M652" t="n">
        <v>0</v>
      </c>
      <c r="N652" t="n">
        <v>0</v>
      </c>
      <c r="O652" t="n">
        <v>0</v>
      </c>
      <c r="P652" t="n">
        <v>0</v>
      </c>
      <c r="Q652" t="n">
        <v>0</v>
      </c>
      <c r="R652" s="2" t="inlineStr"/>
    </row>
    <row r="653" ht="15" customHeight="1">
      <c r="A653" t="inlineStr">
        <is>
          <t>A 34192-2023</t>
        </is>
      </c>
      <c r="B653" s="1" t="n">
        <v>45138</v>
      </c>
      <c r="C653" s="1" t="n">
        <v>45881</v>
      </c>
      <c r="D653" t="inlineStr">
        <is>
          <t>VÄSTERNORRLANDS LÄN</t>
        </is>
      </c>
      <c r="E653" t="inlineStr">
        <is>
          <t>SUNDSVALL</t>
        </is>
      </c>
      <c r="G653" t="n">
        <v>4</v>
      </c>
      <c r="H653" t="n">
        <v>0</v>
      </c>
      <c r="I653" t="n">
        <v>0</v>
      </c>
      <c r="J653" t="n">
        <v>0</v>
      </c>
      <c r="K653" t="n">
        <v>0</v>
      </c>
      <c r="L653" t="n">
        <v>0</v>
      </c>
      <c r="M653" t="n">
        <v>0</v>
      </c>
      <c r="N653" t="n">
        <v>0</v>
      </c>
      <c r="O653" t="n">
        <v>0</v>
      </c>
      <c r="P653" t="n">
        <v>0</v>
      </c>
      <c r="Q653" t="n">
        <v>0</v>
      </c>
      <c r="R653" s="2" t="inlineStr"/>
    </row>
    <row r="654" ht="15" customHeight="1">
      <c r="A654" t="inlineStr">
        <is>
          <t>A 61860-2023</t>
        </is>
      </c>
      <c r="B654" s="1" t="n">
        <v>45264</v>
      </c>
      <c r="C654" s="1" t="n">
        <v>45881</v>
      </c>
      <c r="D654" t="inlineStr">
        <is>
          <t>VÄSTERNORRLANDS LÄN</t>
        </is>
      </c>
      <c r="E654" t="inlineStr">
        <is>
          <t>SUNDSVALL</t>
        </is>
      </c>
      <c r="G654" t="n">
        <v>5.9</v>
      </c>
      <c r="H654" t="n">
        <v>0</v>
      </c>
      <c r="I654" t="n">
        <v>0</v>
      </c>
      <c r="J654" t="n">
        <v>0</v>
      </c>
      <c r="K654" t="n">
        <v>0</v>
      </c>
      <c r="L654" t="n">
        <v>0</v>
      </c>
      <c r="M654" t="n">
        <v>0</v>
      </c>
      <c r="N654" t="n">
        <v>0</v>
      </c>
      <c r="O654" t="n">
        <v>0</v>
      </c>
      <c r="P654" t="n">
        <v>0</v>
      </c>
      <c r="Q654" t="n">
        <v>0</v>
      </c>
      <c r="R654" s="2" t="inlineStr"/>
    </row>
    <row r="655" ht="15" customHeight="1">
      <c r="A655" t="inlineStr">
        <is>
          <t>A 48752-2023</t>
        </is>
      </c>
      <c r="B655" s="1" t="n">
        <v>45208.89585648148</v>
      </c>
      <c r="C655" s="1" t="n">
        <v>45881</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46552-2023</t>
        </is>
      </c>
      <c r="B656" s="1" t="n">
        <v>45197</v>
      </c>
      <c r="C656" s="1" t="n">
        <v>45881</v>
      </c>
      <c r="D656" t="inlineStr">
        <is>
          <t>VÄSTERNORRLANDS LÄN</t>
        </is>
      </c>
      <c r="E656" t="inlineStr">
        <is>
          <t>SUNDSVALL</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2620-2024</t>
        </is>
      </c>
      <c r="B657" s="1" t="n">
        <v>45313.92673611111</v>
      </c>
      <c r="C657" s="1" t="n">
        <v>45881</v>
      </c>
      <c r="D657" t="inlineStr">
        <is>
          <t>VÄSTERNORRLANDS LÄN</t>
        </is>
      </c>
      <c r="E657" t="inlineStr">
        <is>
          <t>SUNDSVALL</t>
        </is>
      </c>
      <c r="G657" t="n">
        <v>2.8</v>
      </c>
      <c r="H657" t="n">
        <v>0</v>
      </c>
      <c r="I657" t="n">
        <v>0</v>
      </c>
      <c r="J657" t="n">
        <v>0</v>
      </c>
      <c r="K657" t="n">
        <v>0</v>
      </c>
      <c r="L657" t="n">
        <v>0</v>
      </c>
      <c r="M657" t="n">
        <v>0</v>
      </c>
      <c r="N657" t="n">
        <v>0</v>
      </c>
      <c r="O657" t="n">
        <v>0</v>
      </c>
      <c r="P657" t="n">
        <v>0</v>
      </c>
      <c r="Q657" t="n">
        <v>0</v>
      </c>
      <c r="R657" s="2" t="inlineStr"/>
    </row>
    <row r="658" ht="15" customHeight="1">
      <c r="A658" t="inlineStr">
        <is>
          <t>A 6702-2025</t>
        </is>
      </c>
      <c r="B658" s="1" t="n">
        <v>45700.5427199074</v>
      </c>
      <c r="C658" s="1" t="n">
        <v>45881</v>
      </c>
      <c r="D658" t="inlineStr">
        <is>
          <t>VÄSTERNORRLANDS LÄN</t>
        </is>
      </c>
      <c r="E658" t="inlineStr">
        <is>
          <t>SUNDSVALL</t>
        </is>
      </c>
      <c r="G658" t="n">
        <v>3.4</v>
      </c>
      <c r="H658" t="n">
        <v>0</v>
      </c>
      <c r="I658" t="n">
        <v>0</v>
      </c>
      <c r="J658" t="n">
        <v>0</v>
      </c>
      <c r="K658" t="n">
        <v>0</v>
      </c>
      <c r="L658" t="n">
        <v>0</v>
      </c>
      <c r="M658" t="n">
        <v>0</v>
      </c>
      <c r="N658" t="n">
        <v>0</v>
      </c>
      <c r="O658" t="n">
        <v>0</v>
      </c>
      <c r="P658" t="n">
        <v>0</v>
      </c>
      <c r="Q658" t="n">
        <v>0</v>
      </c>
      <c r="R658" s="2" t="inlineStr"/>
    </row>
    <row r="659" ht="15" customHeight="1">
      <c r="A659" t="inlineStr">
        <is>
          <t>A 18700-2023</t>
        </is>
      </c>
      <c r="B659" s="1" t="n">
        <v>45042</v>
      </c>
      <c r="C659" s="1" t="n">
        <v>45881</v>
      </c>
      <c r="D659" t="inlineStr">
        <is>
          <t>VÄSTERNORRLANDS LÄN</t>
        </is>
      </c>
      <c r="E659" t="inlineStr">
        <is>
          <t>SUNDSVALL</t>
        </is>
      </c>
      <c r="G659" t="n">
        <v>0.6</v>
      </c>
      <c r="H659" t="n">
        <v>0</v>
      </c>
      <c r="I659" t="n">
        <v>0</v>
      </c>
      <c r="J659" t="n">
        <v>0</v>
      </c>
      <c r="K659" t="n">
        <v>0</v>
      </c>
      <c r="L659" t="n">
        <v>0</v>
      </c>
      <c r="M659" t="n">
        <v>0</v>
      </c>
      <c r="N659" t="n">
        <v>0</v>
      </c>
      <c r="O659" t="n">
        <v>0</v>
      </c>
      <c r="P659" t="n">
        <v>0</v>
      </c>
      <c r="Q659" t="n">
        <v>0</v>
      </c>
      <c r="R659" s="2" t="inlineStr"/>
    </row>
    <row r="660" ht="15" customHeight="1">
      <c r="A660" t="inlineStr">
        <is>
          <t>A 25982-2024</t>
        </is>
      </c>
      <c r="B660" s="1" t="n">
        <v>45467</v>
      </c>
      <c r="C660" s="1" t="n">
        <v>45881</v>
      </c>
      <c r="D660" t="inlineStr">
        <is>
          <t>VÄSTERNORRLANDS LÄN</t>
        </is>
      </c>
      <c r="E660" t="inlineStr">
        <is>
          <t>SUNDSVALL</t>
        </is>
      </c>
      <c r="G660" t="n">
        <v>1.5</v>
      </c>
      <c r="H660" t="n">
        <v>0</v>
      </c>
      <c r="I660" t="n">
        <v>0</v>
      </c>
      <c r="J660" t="n">
        <v>0</v>
      </c>
      <c r="K660" t="n">
        <v>0</v>
      </c>
      <c r="L660" t="n">
        <v>0</v>
      </c>
      <c r="M660" t="n">
        <v>0</v>
      </c>
      <c r="N660" t="n">
        <v>0</v>
      </c>
      <c r="O660" t="n">
        <v>0</v>
      </c>
      <c r="P660" t="n">
        <v>0</v>
      </c>
      <c r="Q660" t="n">
        <v>0</v>
      </c>
      <c r="R660" s="2" t="inlineStr"/>
    </row>
    <row r="661" ht="15" customHeight="1">
      <c r="A661" t="inlineStr">
        <is>
          <t>A 28155-2024</t>
        </is>
      </c>
      <c r="B661" s="1" t="n">
        <v>45476</v>
      </c>
      <c r="C661" s="1" t="n">
        <v>45881</v>
      </c>
      <c r="D661" t="inlineStr">
        <is>
          <t>VÄSTERNORRLANDS LÄN</t>
        </is>
      </c>
      <c r="E661" t="inlineStr">
        <is>
          <t>SUNDSVALL</t>
        </is>
      </c>
      <c r="G661" t="n">
        <v>8</v>
      </c>
      <c r="H661" t="n">
        <v>0</v>
      </c>
      <c r="I661" t="n">
        <v>0</v>
      </c>
      <c r="J661" t="n">
        <v>0</v>
      </c>
      <c r="K661" t="n">
        <v>0</v>
      </c>
      <c r="L661" t="n">
        <v>0</v>
      </c>
      <c r="M661" t="n">
        <v>0</v>
      </c>
      <c r="N661" t="n">
        <v>0</v>
      </c>
      <c r="O661" t="n">
        <v>0</v>
      </c>
      <c r="P661" t="n">
        <v>0</v>
      </c>
      <c r="Q661" t="n">
        <v>0</v>
      </c>
      <c r="R661" s="2" t="inlineStr"/>
    </row>
    <row r="662" ht="15" customHeight="1">
      <c r="A662" t="inlineStr">
        <is>
          <t>A 42700-2021</t>
        </is>
      </c>
      <c r="B662" s="1" t="n">
        <v>44428</v>
      </c>
      <c r="C662" s="1" t="n">
        <v>45881</v>
      </c>
      <c r="D662" t="inlineStr">
        <is>
          <t>VÄSTERNORRLANDS LÄN</t>
        </is>
      </c>
      <c r="E662" t="inlineStr">
        <is>
          <t>SUNDSVALL</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46247-2022</t>
        </is>
      </c>
      <c r="B663" s="1" t="n">
        <v>44846</v>
      </c>
      <c r="C663" s="1" t="n">
        <v>45881</v>
      </c>
      <c r="D663" t="inlineStr">
        <is>
          <t>VÄSTERNORRLANDS LÄN</t>
        </is>
      </c>
      <c r="E663" t="inlineStr">
        <is>
          <t>SUNDSVALL</t>
        </is>
      </c>
      <c r="G663" t="n">
        <v>2.4</v>
      </c>
      <c r="H663" t="n">
        <v>0</v>
      </c>
      <c r="I663" t="n">
        <v>0</v>
      </c>
      <c r="J663" t="n">
        <v>0</v>
      </c>
      <c r="K663" t="n">
        <v>0</v>
      </c>
      <c r="L663" t="n">
        <v>0</v>
      </c>
      <c r="M663" t="n">
        <v>0</v>
      </c>
      <c r="N663" t="n">
        <v>0</v>
      </c>
      <c r="O663" t="n">
        <v>0</v>
      </c>
      <c r="P663" t="n">
        <v>0</v>
      </c>
      <c r="Q663" t="n">
        <v>0</v>
      </c>
      <c r="R663" s="2" t="inlineStr"/>
    </row>
    <row r="664" ht="15" customHeight="1">
      <c r="A664" t="inlineStr">
        <is>
          <t>A 28186-2024</t>
        </is>
      </c>
      <c r="B664" s="1" t="n">
        <v>45477</v>
      </c>
      <c r="C664" s="1" t="n">
        <v>45881</v>
      </c>
      <c r="D664" t="inlineStr">
        <is>
          <t>VÄSTERNORRLANDS LÄN</t>
        </is>
      </c>
      <c r="E664" t="inlineStr">
        <is>
          <t>SUNDSVALL</t>
        </is>
      </c>
      <c r="F664" t="inlineStr">
        <is>
          <t>Holmen skog AB</t>
        </is>
      </c>
      <c r="G664" t="n">
        <v>2.4</v>
      </c>
      <c r="H664" t="n">
        <v>0</v>
      </c>
      <c r="I664" t="n">
        <v>0</v>
      </c>
      <c r="J664" t="n">
        <v>0</v>
      </c>
      <c r="K664" t="n">
        <v>0</v>
      </c>
      <c r="L664" t="n">
        <v>0</v>
      </c>
      <c r="M664" t="n">
        <v>0</v>
      </c>
      <c r="N664" t="n">
        <v>0</v>
      </c>
      <c r="O664" t="n">
        <v>0</v>
      </c>
      <c r="P664" t="n">
        <v>0</v>
      </c>
      <c r="Q664" t="n">
        <v>0</v>
      </c>
      <c r="R664" s="2" t="inlineStr"/>
    </row>
    <row r="665" ht="15" customHeight="1">
      <c r="A665" t="inlineStr">
        <is>
          <t>A 2373-2024</t>
        </is>
      </c>
      <c r="B665" s="1" t="n">
        <v>45310</v>
      </c>
      <c r="C665" s="1" t="n">
        <v>45881</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23990-2022</t>
        </is>
      </c>
      <c r="B666" s="1" t="n">
        <v>44722</v>
      </c>
      <c r="C666" s="1" t="n">
        <v>45881</v>
      </c>
      <c r="D666" t="inlineStr">
        <is>
          <t>VÄSTERNORRLANDS LÄN</t>
        </is>
      </c>
      <c r="E666" t="inlineStr">
        <is>
          <t>SUNDSVALL</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46542-2023</t>
        </is>
      </c>
      <c r="B667" s="1" t="n">
        <v>45197.92253472222</v>
      </c>
      <c r="C667" s="1" t="n">
        <v>45881</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66027-2021</t>
        </is>
      </c>
      <c r="B668" s="1" t="n">
        <v>44517</v>
      </c>
      <c r="C668" s="1" t="n">
        <v>45881</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30462-2024</t>
        </is>
      </c>
      <c r="B669" s="1" t="n">
        <v>45491</v>
      </c>
      <c r="C669" s="1" t="n">
        <v>45881</v>
      </c>
      <c r="D669" t="inlineStr">
        <is>
          <t>VÄSTERNORRLANDS LÄN</t>
        </is>
      </c>
      <c r="E669" t="inlineStr">
        <is>
          <t>SUNDSVALL</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14804-2024</t>
        </is>
      </c>
      <c r="B670" s="1" t="n">
        <v>45397</v>
      </c>
      <c r="C670" s="1" t="n">
        <v>45881</v>
      </c>
      <c r="D670" t="inlineStr">
        <is>
          <t>VÄSTERNORRLANDS LÄN</t>
        </is>
      </c>
      <c r="E670" t="inlineStr">
        <is>
          <t>SUNDSVALL</t>
        </is>
      </c>
      <c r="G670" t="n">
        <v>7.4</v>
      </c>
      <c r="H670" t="n">
        <v>0</v>
      </c>
      <c r="I670" t="n">
        <v>0</v>
      </c>
      <c r="J670" t="n">
        <v>0</v>
      </c>
      <c r="K670" t="n">
        <v>0</v>
      </c>
      <c r="L670" t="n">
        <v>0</v>
      </c>
      <c r="M670" t="n">
        <v>0</v>
      </c>
      <c r="N670" t="n">
        <v>0</v>
      </c>
      <c r="O670" t="n">
        <v>0</v>
      </c>
      <c r="P670" t="n">
        <v>0</v>
      </c>
      <c r="Q670" t="n">
        <v>0</v>
      </c>
      <c r="R670" s="2" t="inlineStr"/>
    </row>
    <row r="671" ht="15" customHeight="1">
      <c r="A671" t="inlineStr">
        <is>
          <t>A 64313-2023</t>
        </is>
      </c>
      <c r="B671" s="1" t="n">
        <v>45279</v>
      </c>
      <c r="C671" s="1" t="n">
        <v>45881</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43419-2023</t>
        </is>
      </c>
      <c r="B672" s="1" t="n">
        <v>45183.95748842593</v>
      </c>
      <c r="C672" s="1" t="n">
        <v>45881</v>
      </c>
      <c r="D672" t="inlineStr">
        <is>
          <t>VÄSTERNORRLANDS LÄN</t>
        </is>
      </c>
      <c r="E672" t="inlineStr">
        <is>
          <t>SUNDSVALL</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63987-2023</t>
        </is>
      </c>
      <c r="B673" s="1" t="n">
        <v>45278</v>
      </c>
      <c r="C673" s="1" t="n">
        <v>45881</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63989-2023</t>
        </is>
      </c>
      <c r="B674" s="1" t="n">
        <v>45278</v>
      </c>
      <c r="C674" s="1" t="n">
        <v>45881</v>
      </c>
      <c r="D674" t="inlineStr">
        <is>
          <t>VÄSTERNORRLANDS LÄN</t>
        </is>
      </c>
      <c r="E674" t="inlineStr">
        <is>
          <t>SUNDSVALL</t>
        </is>
      </c>
      <c r="G674" t="n">
        <v>0.4</v>
      </c>
      <c r="H674" t="n">
        <v>0</v>
      </c>
      <c r="I674" t="n">
        <v>0</v>
      </c>
      <c r="J674" t="n">
        <v>0</v>
      </c>
      <c r="K674" t="n">
        <v>0</v>
      </c>
      <c r="L674" t="n">
        <v>0</v>
      </c>
      <c r="M674" t="n">
        <v>0</v>
      </c>
      <c r="N674" t="n">
        <v>0</v>
      </c>
      <c r="O674" t="n">
        <v>0</v>
      </c>
      <c r="P674" t="n">
        <v>0</v>
      </c>
      <c r="Q674" t="n">
        <v>0</v>
      </c>
      <c r="R674" s="2" t="inlineStr"/>
    </row>
    <row r="675" ht="15" customHeight="1">
      <c r="A675" t="inlineStr">
        <is>
          <t>A 63978-2023</t>
        </is>
      </c>
      <c r="B675" s="1" t="n">
        <v>45278</v>
      </c>
      <c r="C675" s="1" t="n">
        <v>45881</v>
      </c>
      <c r="D675" t="inlineStr">
        <is>
          <t>VÄSTERNORRLANDS LÄN</t>
        </is>
      </c>
      <c r="E675" t="inlineStr">
        <is>
          <t>SUNDSVALL</t>
        </is>
      </c>
      <c r="G675" t="n">
        <v>0.5</v>
      </c>
      <c r="H675" t="n">
        <v>0</v>
      </c>
      <c r="I675" t="n">
        <v>0</v>
      </c>
      <c r="J675" t="n">
        <v>0</v>
      </c>
      <c r="K675" t="n">
        <v>0</v>
      </c>
      <c r="L675" t="n">
        <v>0</v>
      </c>
      <c r="M675" t="n">
        <v>0</v>
      </c>
      <c r="N675" t="n">
        <v>0</v>
      </c>
      <c r="O675" t="n">
        <v>0</v>
      </c>
      <c r="P675" t="n">
        <v>0</v>
      </c>
      <c r="Q675" t="n">
        <v>0</v>
      </c>
      <c r="R675" s="2" t="inlineStr"/>
    </row>
    <row r="676" ht="15" customHeight="1">
      <c r="A676" t="inlineStr">
        <is>
          <t>A 13488-2025</t>
        </is>
      </c>
      <c r="B676" s="1" t="n">
        <v>45736</v>
      </c>
      <c r="C676" s="1" t="n">
        <v>45881</v>
      </c>
      <c r="D676" t="inlineStr">
        <is>
          <t>VÄSTERNORRLANDS LÄN</t>
        </is>
      </c>
      <c r="E676" t="inlineStr">
        <is>
          <t>SUNDSVALL</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5022-2025</t>
        </is>
      </c>
      <c r="B677" s="1" t="n">
        <v>45691.406875</v>
      </c>
      <c r="C677" s="1" t="n">
        <v>45881</v>
      </c>
      <c r="D677" t="inlineStr">
        <is>
          <t>VÄSTERNORRLANDS LÄN</t>
        </is>
      </c>
      <c r="E677" t="inlineStr">
        <is>
          <t>SUNDSVALL</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39913-2022</t>
        </is>
      </c>
      <c r="B678" s="1" t="n">
        <v>44819</v>
      </c>
      <c r="C678" s="1" t="n">
        <v>45881</v>
      </c>
      <c r="D678" t="inlineStr">
        <is>
          <t>VÄSTERNORRLANDS LÄN</t>
        </is>
      </c>
      <c r="E678" t="inlineStr">
        <is>
          <t>SUNDSVALL</t>
        </is>
      </c>
      <c r="G678" t="n">
        <v>4.7</v>
      </c>
      <c r="H678" t="n">
        <v>0</v>
      </c>
      <c r="I678" t="n">
        <v>0</v>
      </c>
      <c r="J678" t="n">
        <v>0</v>
      </c>
      <c r="K678" t="n">
        <v>0</v>
      </c>
      <c r="L678" t="n">
        <v>0</v>
      </c>
      <c r="M678" t="n">
        <v>0</v>
      </c>
      <c r="N678" t="n">
        <v>0</v>
      </c>
      <c r="O678" t="n">
        <v>0</v>
      </c>
      <c r="P678" t="n">
        <v>0</v>
      </c>
      <c r="Q678" t="n">
        <v>0</v>
      </c>
      <c r="R678" s="2" t="inlineStr"/>
    </row>
    <row r="679" ht="15" customHeight="1">
      <c r="A679" t="inlineStr">
        <is>
          <t>A 34744-2022</t>
        </is>
      </c>
      <c r="B679" s="1" t="n">
        <v>44795.62546296296</v>
      </c>
      <c r="C679" s="1" t="n">
        <v>45881</v>
      </c>
      <c r="D679" t="inlineStr">
        <is>
          <t>VÄSTERNORRLANDS LÄN</t>
        </is>
      </c>
      <c r="E679" t="inlineStr">
        <is>
          <t>SUNDSVALL</t>
        </is>
      </c>
      <c r="G679" t="n">
        <v>7.1</v>
      </c>
      <c r="H679" t="n">
        <v>0</v>
      </c>
      <c r="I679" t="n">
        <v>0</v>
      </c>
      <c r="J679" t="n">
        <v>0</v>
      </c>
      <c r="K679" t="n">
        <v>0</v>
      </c>
      <c r="L679" t="n">
        <v>0</v>
      </c>
      <c r="M679" t="n">
        <v>0</v>
      </c>
      <c r="N679" t="n">
        <v>0</v>
      </c>
      <c r="O679" t="n">
        <v>0</v>
      </c>
      <c r="P679" t="n">
        <v>0</v>
      </c>
      <c r="Q679" t="n">
        <v>0</v>
      </c>
      <c r="R679" s="2" t="inlineStr"/>
    </row>
    <row r="680" ht="15" customHeight="1">
      <c r="A680" t="inlineStr">
        <is>
          <t>A 59723-2021</t>
        </is>
      </c>
      <c r="B680" s="1" t="n">
        <v>44494.42824074074</v>
      </c>
      <c r="C680" s="1" t="n">
        <v>45881</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4056-2024</t>
        </is>
      </c>
      <c r="B681" s="1" t="n">
        <v>45323</v>
      </c>
      <c r="C681" s="1" t="n">
        <v>45881</v>
      </c>
      <c r="D681" t="inlineStr">
        <is>
          <t>VÄSTERNORRLANDS LÄN</t>
        </is>
      </c>
      <c r="E681" t="inlineStr">
        <is>
          <t>SUNDSVALL</t>
        </is>
      </c>
      <c r="F681" t="inlineStr">
        <is>
          <t>Kommuner</t>
        </is>
      </c>
      <c r="G681" t="n">
        <v>0.7</v>
      </c>
      <c r="H681" t="n">
        <v>0</v>
      </c>
      <c r="I681" t="n">
        <v>0</v>
      </c>
      <c r="J681" t="n">
        <v>0</v>
      </c>
      <c r="K681" t="n">
        <v>0</v>
      </c>
      <c r="L681" t="n">
        <v>0</v>
      </c>
      <c r="M681" t="n">
        <v>0</v>
      </c>
      <c r="N681" t="n">
        <v>0</v>
      </c>
      <c r="O681" t="n">
        <v>0</v>
      </c>
      <c r="P681" t="n">
        <v>0</v>
      </c>
      <c r="Q681" t="n">
        <v>0</v>
      </c>
      <c r="R681" s="2" t="inlineStr"/>
    </row>
    <row r="682" ht="15" customHeight="1">
      <c r="A682" t="inlineStr">
        <is>
          <t>A 13859-2025</t>
        </is>
      </c>
      <c r="B682" s="1" t="n">
        <v>45737</v>
      </c>
      <c r="C682" s="1" t="n">
        <v>45881</v>
      </c>
      <c r="D682" t="inlineStr">
        <is>
          <t>VÄSTERNORRLANDS LÄN</t>
        </is>
      </c>
      <c r="E682" t="inlineStr">
        <is>
          <t>SUNDSVALL</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63786-2020</t>
        </is>
      </c>
      <c r="B683" s="1" t="n">
        <v>44166</v>
      </c>
      <c r="C683" s="1" t="n">
        <v>45881</v>
      </c>
      <c r="D683" t="inlineStr">
        <is>
          <t>VÄSTERNORRLANDS LÄN</t>
        </is>
      </c>
      <c r="E683" t="inlineStr">
        <is>
          <t>SUNDSVALL</t>
        </is>
      </c>
      <c r="F683" t="inlineStr">
        <is>
          <t>Kommuner</t>
        </is>
      </c>
      <c r="G683" t="n">
        <v>7.6</v>
      </c>
      <c r="H683" t="n">
        <v>0</v>
      </c>
      <c r="I683" t="n">
        <v>0</v>
      </c>
      <c r="J683" t="n">
        <v>0</v>
      </c>
      <c r="K683" t="n">
        <v>0</v>
      </c>
      <c r="L683" t="n">
        <v>0</v>
      </c>
      <c r="M683" t="n">
        <v>0</v>
      </c>
      <c r="N683" t="n">
        <v>0</v>
      </c>
      <c r="O683" t="n">
        <v>0</v>
      </c>
      <c r="P683" t="n">
        <v>0</v>
      </c>
      <c r="Q683" t="n">
        <v>0</v>
      </c>
      <c r="R683" s="2" t="inlineStr"/>
    </row>
    <row r="684" ht="15" customHeight="1">
      <c r="A684" t="inlineStr">
        <is>
          <t>A 4784-2025</t>
        </is>
      </c>
      <c r="B684" s="1" t="n">
        <v>45688.53841435185</v>
      </c>
      <c r="C684" s="1" t="n">
        <v>45881</v>
      </c>
      <c r="D684" t="inlineStr">
        <is>
          <t>VÄSTERNORRLANDS LÄN</t>
        </is>
      </c>
      <c r="E684" t="inlineStr">
        <is>
          <t>SUNDSVALL</t>
        </is>
      </c>
      <c r="G684" t="n">
        <v>3.3</v>
      </c>
      <c r="H684" t="n">
        <v>0</v>
      </c>
      <c r="I684" t="n">
        <v>0</v>
      </c>
      <c r="J684" t="n">
        <v>0</v>
      </c>
      <c r="K684" t="n">
        <v>0</v>
      </c>
      <c r="L684" t="n">
        <v>0</v>
      </c>
      <c r="M684" t="n">
        <v>0</v>
      </c>
      <c r="N684" t="n">
        <v>0</v>
      </c>
      <c r="O684" t="n">
        <v>0</v>
      </c>
      <c r="P684" t="n">
        <v>0</v>
      </c>
      <c r="Q684" t="n">
        <v>0</v>
      </c>
      <c r="R684" s="2" t="inlineStr"/>
    </row>
    <row r="685" ht="15" customHeight="1">
      <c r="A685" t="inlineStr">
        <is>
          <t>A 49539-2022</t>
        </is>
      </c>
      <c r="B685" s="1" t="n">
        <v>44861.95814814815</v>
      </c>
      <c r="C685" s="1" t="n">
        <v>45881</v>
      </c>
      <c r="D685" t="inlineStr">
        <is>
          <t>VÄSTERNORRLANDS LÄN</t>
        </is>
      </c>
      <c r="E685" t="inlineStr">
        <is>
          <t>SUNDSVALL</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22759-2023</t>
        </is>
      </c>
      <c r="B686" s="1" t="n">
        <v>45071.94153935185</v>
      </c>
      <c r="C686" s="1" t="n">
        <v>45881</v>
      </c>
      <c r="D686" t="inlineStr">
        <is>
          <t>VÄSTERNORRLANDS LÄN</t>
        </is>
      </c>
      <c r="E686" t="inlineStr">
        <is>
          <t>SUNDSVALL</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57067-2023</t>
        </is>
      </c>
      <c r="B687" s="1" t="n">
        <v>45244</v>
      </c>
      <c r="C687" s="1" t="n">
        <v>45881</v>
      </c>
      <c r="D687" t="inlineStr">
        <is>
          <t>VÄSTERNORRLANDS LÄN</t>
        </is>
      </c>
      <c r="E687" t="inlineStr">
        <is>
          <t>SUNDSVALL</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45959-2021</t>
        </is>
      </c>
      <c r="B688" s="1" t="n">
        <v>44441</v>
      </c>
      <c r="C688" s="1" t="n">
        <v>45881</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31507-2024</t>
        </is>
      </c>
      <c r="B689" s="1" t="n">
        <v>45505</v>
      </c>
      <c r="C689" s="1" t="n">
        <v>45881</v>
      </c>
      <c r="D689" t="inlineStr">
        <is>
          <t>VÄSTERNORRLANDS LÄN</t>
        </is>
      </c>
      <c r="E689" t="inlineStr">
        <is>
          <t>SUNDSVALL</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35389-2024</t>
        </is>
      </c>
      <c r="B690" s="1" t="n">
        <v>45531.40188657407</v>
      </c>
      <c r="C690" s="1" t="n">
        <v>45881</v>
      </c>
      <c r="D690" t="inlineStr">
        <is>
          <t>VÄSTERNORRLANDS LÄN</t>
        </is>
      </c>
      <c r="E690" t="inlineStr">
        <is>
          <t>SUNDSVALL</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25362-2024</t>
        </is>
      </c>
      <c r="B691" s="1" t="n">
        <v>45462.95824074074</v>
      </c>
      <c r="C691" s="1" t="n">
        <v>45881</v>
      </c>
      <c r="D691" t="inlineStr">
        <is>
          <t>VÄSTERNORRLANDS LÄN</t>
        </is>
      </c>
      <c r="E691" t="inlineStr">
        <is>
          <t>SUNDSVALL</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32653-2024</t>
        </is>
      </c>
      <c r="B692" s="1" t="n">
        <v>45513.9644675926</v>
      </c>
      <c r="C692" s="1" t="n">
        <v>45881</v>
      </c>
      <c r="D692" t="inlineStr">
        <is>
          <t>VÄSTERNORRLANDS LÄN</t>
        </is>
      </c>
      <c r="E692" t="inlineStr">
        <is>
          <t>SUNDSVALL</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44730-2024</t>
        </is>
      </c>
      <c r="B693" s="1" t="n">
        <v>45574.58511574074</v>
      </c>
      <c r="C693" s="1" t="n">
        <v>45881</v>
      </c>
      <c r="D693" t="inlineStr">
        <is>
          <t>VÄSTERNORRLANDS LÄN</t>
        </is>
      </c>
      <c r="E693" t="inlineStr">
        <is>
          <t>SUNDSVALL</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28302-2024</t>
        </is>
      </c>
      <c r="B694" s="1" t="n">
        <v>45477</v>
      </c>
      <c r="C694" s="1" t="n">
        <v>45881</v>
      </c>
      <c r="D694" t="inlineStr">
        <is>
          <t>VÄSTERNORRLANDS LÄN</t>
        </is>
      </c>
      <c r="E694" t="inlineStr">
        <is>
          <t>SUNDSVALL</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57972-2024</t>
        </is>
      </c>
      <c r="B695" s="1" t="n">
        <v>45631</v>
      </c>
      <c r="C695" s="1" t="n">
        <v>45881</v>
      </c>
      <c r="D695" t="inlineStr">
        <is>
          <t>VÄSTERNORRLANDS LÄN</t>
        </is>
      </c>
      <c r="E695" t="inlineStr">
        <is>
          <t>SUNDSVALL</t>
        </is>
      </c>
      <c r="G695" t="n">
        <v>2.4</v>
      </c>
      <c r="H695" t="n">
        <v>0</v>
      </c>
      <c r="I695" t="n">
        <v>0</v>
      </c>
      <c r="J695" t="n">
        <v>0</v>
      </c>
      <c r="K695" t="n">
        <v>0</v>
      </c>
      <c r="L695" t="n">
        <v>0</v>
      </c>
      <c r="M695" t="n">
        <v>0</v>
      </c>
      <c r="N695" t="n">
        <v>0</v>
      </c>
      <c r="O695" t="n">
        <v>0</v>
      </c>
      <c r="P695" t="n">
        <v>0</v>
      </c>
      <c r="Q695" t="n">
        <v>0</v>
      </c>
      <c r="R695" s="2" t="inlineStr"/>
    </row>
    <row r="696" ht="15" customHeight="1">
      <c r="A696" t="inlineStr">
        <is>
          <t>A 27304-2024</t>
        </is>
      </c>
      <c r="B696" s="1" t="n">
        <v>45471.94401620371</v>
      </c>
      <c r="C696" s="1" t="n">
        <v>45881</v>
      </c>
      <c r="D696" t="inlineStr">
        <is>
          <t>VÄSTERNORRLANDS LÄN</t>
        </is>
      </c>
      <c r="E696" t="inlineStr">
        <is>
          <t>SUNDSVALL</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19828-2025</t>
        </is>
      </c>
      <c r="B697" s="1" t="n">
        <v>45771.46931712963</v>
      </c>
      <c r="C697" s="1" t="n">
        <v>45881</v>
      </c>
      <c r="D697" t="inlineStr">
        <is>
          <t>VÄSTERNORRLANDS LÄN</t>
        </is>
      </c>
      <c r="E697" t="inlineStr">
        <is>
          <t>SUNDSVALL</t>
        </is>
      </c>
      <c r="F697" t="inlineStr">
        <is>
          <t>Naturvårdsverket</t>
        </is>
      </c>
      <c r="G697" t="n">
        <v>1</v>
      </c>
      <c r="H697" t="n">
        <v>0</v>
      </c>
      <c r="I697" t="n">
        <v>0</v>
      </c>
      <c r="J697" t="n">
        <v>0</v>
      </c>
      <c r="K697" t="n">
        <v>0</v>
      </c>
      <c r="L697" t="n">
        <v>0</v>
      </c>
      <c r="M697" t="n">
        <v>0</v>
      </c>
      <c r="N697" t="n">
        <v>0</v>
      </c>
      <c r="O697" t="n">
        <v>0</v>
      </c>
      <c r="P697" t="n">
        <v>0</v>
      </c>
      <c r="Q697" t="n">
        <v>0</v>
      </c>
      <c r="R697" s="2" t="inlineStr"/>
    </row>
    <row r="698" ht="15" customHeight="1">
      <c r="A698" t="inlineStr">
        <is>
          <t>A 19830-2025</t>
        </is>
      </c>
      <c r="B698" s="1" t="n">
        <v>45771.46956018519</v>
      </c>
      <c r="C698" s="1" t="n">
        <v>45881</v>
      </c>
      <c r="D698" t="inlineStr">
        <is>
          <t>VÄSTERNORRLANDS LÄN</t>
        </is>
      </c>
      <c r="E698" t="inlineStr">
        <is>
          <t>SUNDSVALL</t>
        </is>
      </c>
      <c r="F698" t="inlineStr">
        <is>
          <t>Naturvårdsverket</t>
        </is>
      </c>
      <c r="G698" t="n">
        <v>0.7</v>
      </c>
      <c r="H698" t="n">
        <v>0</v>
      </c>
      <c r="I698" t="n">
        <v>0</v>
      </c>
      <c r="J698" t="n">
        <v>0</v>
      </c>
      <c r="K698" t="n">
        <v>0</v>
      </c>
      <c r="L698" t="n">
        <v>0</v>
      </c>
      <c r="M698" t="n">
        <v>0</v>
      </c>
      <c r="N698" t="n">
        <v>0</v>
      </c>
      <c r="O698" t="n">
        <v>0</v>
      </c>
      <c r="P698" t="n">
        <v>0</v>
      </c>
      <c r="Q698" t="n">
        <v>0</v>
      </c>
      <c r="R698" s="2" t="inlineStr"/>
    </row>
    <row r="699" ht="15" customHeight="1">
      <c r="A699" t="inlineStr">
        <is>
          <t>A 13794-2025</t>
        </is>
      </c>
      <c r="B699" s="1" t="n">
        <v>45737.46950231482</v>
      </c>
      <c r="C699" s="1" t="n">
        <v>45881</v>
      </c>
      <c r="D699" t="inlineStr">
        <is>
          <t>VÄSTERNORRLANDS LÄN</t>
        </is>
      </c>
      <c r="E699" t="inlineStr">
        <is>
          <t>SUNDSVALL</t>
        </is>
      </c>
      <c r="F699" t="inlineStr">
        <is>
          <t>Kommuner</t>
        </is>
      </c>
      <c r="G699" t="n">
        <v>4</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45881</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19228-2023</t>
        </is>
      </c>
      <c r="B701" s="1" t="n">
        <v>45048</v>
      </c>
      <c r="C701" s="1" t="n">
        <v>45881</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60119-2023</t>
        </is>
      </c>
      <c r="B702" s="1" t="n">
        <v>45258.47869212963</v>
      </c>
      <c r="C702" s="1" t="n">
        <v>45881</v>
      </c>
      <c r="D702" t="inlineStr">
        <is>
          <t>VÄSTERNORRLANDS LÄN</t>
        </is>
      </c>
      <c r="E702" t="inlineStr">
        <is>
          <t>SUNDSVALL</t>
        </is>
      </c>
      <c r="G702" t="n">
        <v>3.2</v>
      </c>
      <c r="H702" t="n">
        <v>0</v>
      </c>
      <c r="I702" t="n">
        <v>0</v>
      </c>
      <c r="J702" t="n">
        <v>0</v>
      </c>
      <c r="K702" t="n">
        <v>0</v>
      </c>
      <c r="L702" t="n">
        <v>0</v>
      </c>
      <c r="M702" t="n">
        <v>0</v>
      </c>
      <c r="N702" t="n">
        <v>0</v>
      </c>
      <c r="O702" t="n">
        <v>0</v>
      </c>
      <c r="P702" t="n">
        <v>0</v>
      </c>
      <c r="Q702" t="n">
        <v>0</v>
      </c>
      <c r="R702" s="2" t="inlineStr"/>
    </row>
    <row r="703" ht="15" customHeight="1">
      <c r="A703" t="inlineStr">
        <is>
          <t>A 34607-2024</t>
        </is>
      </c>
      <c r="B703" s="1" t="n">
        <v>45526</v>
      </c>
      <c r="C703" s="1" t="n">
        <v>45881</v>
      </c>
      <c r="D703" t="inlineStr">
        <is>
          <t>VÄSTERNORRLANDS LÄN</t>
        </is>
      </c>
      <c r="E703" t="inlineStr">
        <is>
          <t>SUNDSVALL</t>
        </is>
      </c>
      <c r="G703" t="n">
        <v>3</v>
      </c>
      <c r="H703" t="n">
        <v>0</v>
      </c>
      <c r="I703" t="n">
        <v>0</v>
      </c>
      <c r="J703" t="n">
        <v>0</v>
      </c>
      <c r="K703" t="n">
        <v>0</v>
      </c>
      <c r="L703" t="n">
        <v>0</v>
      </c>
      <c r="M703" t="n">
        <v>0</v>
      </c>
      <c r="N703" t="n">
        <v>0</v>
      </c>
      <c r="O703" t="n">
        <v>0</v>
      </c>
      <c r="P703" t="n">
        <v>0</v>
      </c>
      <c r="Q703" t="n">
        <v>0</v>
      </c>
      <c r="R703" s="2" t="inlineStr"/>
    </row>
    <row r="704" ht="15" customHeight="1">
      <c r="A704" t="inlineStr">
        <is>
          <t>A 2347-2022</t>
        </is>
      </c>
      <c r="B704" s="1" t="n">
        <v>44578</v>
      </c>
      <c r="C704" s="1" t="n">
        <v>45881</v>
      </c>
      <c r="D704" t="inlineStr">
        <is>
          <t>VÄSTERNORRLANDS LÄN</t>
        </is>
      </c>
      <c r="E704" t="inlineStr">
        <is>
          <t>SUNDSVALL</t>
        </is>
      </c>
      <c r="G704" t="n">
        <v>3.3</v>
      </c>
      <c r="H704" t="n">
        <v>0</v>
      </c>
      <c r="I704" t="n">
        <v>0</v>
      </c>
      <c r="J704" t="n">
        <v>0</v>
      </c>
      <c r="K704" t="n">
        <v>0</v>
      </c>
      <c r="L704" t="n">
        <v>0</v>
      </c>
      <c r="M704" t="n">
        <v>0</v>
      </c>
      <c r="N704" t="n">
        <v>0</v>
      </c>
      <c r="O704" t="n">
        <v>0</v>
      </c>
      <c r="P704" t="n">
        <v>0</v>
      </c>
      <c r="Q704" t="n">
        <v>0</v>
      </c>
      <c r="R704" s="2" t="inlineStr"/>
    </row>
    <row r="705" ht="15" customHeight="1">
      <c r="A705" t="inlineStr">
        <is>
          <t>A 27639-2023</t>
        </is>
      </c>
      <c r="B705" s="1" t="n">
        <v>45097</v>
      </c>
      <c r="C705" s="1" t="n">
        <v>45881</v>
      </c>
      <c r="D705" t="inlineStr">
        <is>
          <t>VÄSTERNORRLANDS LÄN</t>
        </is>
      </c>
      <c r="E705" t="inlineStr">
        <is>
          <t>SUNDSVALL</t>
        </is>
      </c>
      <c r="G705" t="n">
        <v>0.5</v>
      </c>
      <c r="H705" t="n">
        <v>0</v>
      </c>
      <c r="I705" t="n">
        <v>0</v>
      </c>
      <c r="J705" t="n">
        <v>0</v>
      </c>
      <c r="K705" t="n">
        <v>0</v>
      </c>
      <c r="L705" t="n">
        <v>0</v>
      </c>
      <c r="M705" t="n">
        <v>0</v>
      </c>
      <c r="N705" t="n">
        <v>0</v>
      </c>
      <c r="O705" t="n">
        <v>0</v>
      </c>
      <c r="P705" t="n">
        <v>0</v>
      </c>
      <c r="Q705" t="n">
        <v>0</v>
      </c>
      <c r="R705" s="2" t="inlineStr"/>
    </row>
    <row r="706" ht="15" customHeight="1">
      <c r="A706" t="inlineStr">
        <is>
          <t>A 16564-2023</t>
        </is>
      </c>
      <c r="B706" s="1" t="n">
        <v>45029.94174768519</v>
      </c>
      <c r="C706" s="1" t="n">
        <v>45881</v>
      </c>
      <c r="D706" t="inlineStr">
        <is>
          <t>VÄSTERNORRLANDS LÄN</t>
        </is>
      </c>
      <c r="E706" t="inlineStr">
        <is>
          <t>SUNDSVALL</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3958-2024</t>
        </is>
      </c>
      <c r="B707" s="1" t="n">
        <v>45322</v>
      </c>
      <c r="C707" s="1" t="n">
        <v>45881</v>
      </c>
      <c r="D707" t="inlineStr">
        <is>
          <t>VÄSTERNORRLANDS LÄN</t>
        </is>
      </c>
      <c r="E707" t="inlineStr">
        <is>
          <t>SUNDSVALL</t>
        </is>
      </c>
      <c r="G707" t="n">
        <v>7.2</v>
      </c>
      <c r="H707" t="n">
        <v>0</v>
      </c>
      <c r="I707" t="n">
        <v>0</v>
      </c>
      <c r="J707" t="n">
        <v>0</v>
      </c>
      <c r="K707" t="n">
        <v>0</v>
      </c>
      <c r="L707" t="n">
        <v>0</v>
      </c>
      <c r="M707" t="n">
        <v>0</v>
      </c>
      <c r="N707" t="n">
        <v>0</v>
      </c>
      <c r="O707" t="n">
        <v>0</v>
      </c>
      <c r="P707" t="n">
        <v>0</v>
      </c>
      <c r="Q707" t="n">
        <v>0</v>
      </c>
      <c r="R707" s="2" t="inlineStr"/>
    </row>
    <row r="708" ht="15" customHeight="1">
      <c r="A708" t="inlineStr">
        <is>
          <t>A 30298-2024</t>
        </is>
      </c>
      <c r="B708" s="1" t="n">
        <v>45490</v>
      </c>
      <c r="C708" s="1" t="n">
        <v>45881</v>
      </c>
      <c r="D708" t="inlineStr">
        <is>
          <t>VÄSTERNORRLANDS LÄN</t>
        </is>
      </c>
      <c r="E708" t="inlineStr">
        <is>
          <t>SUNDSVALL</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35504-2023</t>
        </is>
      </c>
      <c r="B709" s="1" t="n">
        <v>45146.94744212963</v>
      </c>
      <c r="C709" s="1" t="n">
        <v>45881</v>
      </c>
      <c r="D709" t="inlineStr">
        <is>
          <t>VÄSTERNORRLANDS LÄN</t>
        </is>
      </c>
      <c r="E709" t="inlineStr">
        <is>
          <t>SUNDSVALL</t>
        </is>
      </c>
      <c r="F709" t="inlineStr">
        <is>
          <t>Naturvårdsverket</t>
        </is>
      </c>
      <c r="G709" t="n">
        <v>1.9</v>
      </c>
      <c r="H709" t="n">
        <v>0</v>
      </c>
      <c r="I709" t="n">
        <v>0</v>
      </c>
      <c r="J709" t="n">
        <v>0</v>
      </c>
      <c r="K709" t="n">
        <v>0</v>
      </c>
      <c r="L709" t="n">
        <v>0</v>
      </c>
      <c r="M709" t="n">
        <v>0</v>
      </c>
      <c r="N709" t="n">
        <v>0</v>
      </c>
      <c r="O709" t="n">
        <v>0</v>
      </c>
      <c r="P709" t="n">
        <v>0</v>
      </c>
      <c r="Q709" t="n">
        <v>0</v>
      </c>
      <c r="R709" s="2" t="inlineStr"/>
    </row>
    <row r="710" ht="15" customHeight="1">
      <c r="A710" t="inlineStr">
        <is>
          <t>A 28480-2022</t>
        </is>
      </c>
      <c r="B710" s="1" t="n">
        <v>44747</v>
      </c>
      <c r="C710" s="1" t="n">
        <v>45881</v>
      </c>
      <c r="D710" t="inlineStr">
        <is>
          <t>VÄSTERNORRLANDS LÄN</t>
        </is>
      </c>
      <c r="E710" t="inlineStr">
        <is>
          <t>SUNDSVALL</t>
        </is>
      </c>
      <c r="G710" t="n">
        <v>11.6</v>
      </c>
      <c r="H710" t="n">
        <v>0</v>
      </c>
      <c r="I710" t="n">
        <v>0</v>
      </c>
      <c r="J710" t="n">
        <v>0</v>
      </c>
      <c r="K710" t="n">
        <v>0</v>
      </c>
      <c r="L710" t="n">
        <v>0</v>
      </c>
      <c r="M710" t="n">
        <v>0</v>
      </c>
      <c r="N710" t="n">
        <v>0</v>
      </c>
      <c r="O710" t="n">
        <v>0</v>
      </c>
      <c r="P710" t="n">
        <v>0</v>
      </c>
      <c r="Q710" t="n">
        <v>0</v>
      </c>
      <c r="R710" s="2" t="inlineStr"/>
    </row>
    <row r="711" ht="15" customHeight="1">
      <c r="A711" t="inlineStr">
        <is>
          <t>A 43194-2021</t>
        </is>
      </c>
      <c r="B711" s="1" t="n">
        <v>44431</v>
      </c>
      <c r="C711" s="1" t="n">
        <v>45881</v>
      </c>
      <c r="D711" t="inlineStr">
        <is>
          <t>VÄSTERNORRLANDS LÄN</t>
        </is>
      </c>
      <c r="E711" t="inlineStr">
        <is>
          <t>SUNDSVALL</t>
        </is>
      </c>
      <c r="G711" t="n">
        <v>1.1</v>
      </c>
      <c r="H711" t="n">
        <v>0</v>
      </c>
      <c r="I711" t="n">
        <v>0</v>
      </c>
      <c r="J711" t="n">
        <v>0</v>
      </c>
      <c r="K711" t="n">
        <v>0</v>
      </c>
      <c r="L711" t="n">
        <v>0</v>
      </c>
      <c r="M711" t="n">
        <v>0</v>
      </c>
      <c r="N711" t="n">
        <v>0</v>
      </c>
      <c r="O711" t="n">
        <v>0</v>
      </c>
      <c r="P711" t="n">
        <v>0</v>
      </c>
      <c r="Q711" t="n">
        <v>0</v>
      </c>
      <c r="R711" s="2" t="inlineStr"/>
    </row>
    <row r="712" ht="15" customHeight="1">
      <c r="A712" t="inlineStr">
        <is>
          <t>A 6704-2025</t>
        </is>
      </c>
      <c r="B712" s="1" t="n">
        <v>45700.54395833334</v>
      </c>
      <c r="C712" s="1" t="n">
        <v>45881</v>
      </c>
      <c r="D712" t="inlineStr">
        <is>
          <t>VÄSTERNORRLANDS LÄN</t>
        </is>
      </c>
      <c r="E712" t="inlineStr">
        <is>
          <t>SUNDSVALL</t>
        </is>
      </c>
      <c r="G712" t="n">
        <v>2.2</v>
      </c>
      <c r="H712" t="n">
        <v>0</v>
      </c>
      <c r="I712" t="n">
        <v>0</v>
      </c>
      <c r="J712" t="n">
        <v>0</v>
      </c>
      <c r="K712" t="n">
        <v>0</v>
      </c>
      <c r="L712" t="n">
        <v>0</v>
      </c>
      <c r="M712" t="n">
        <v>0</v>
      </c>
      <c r="N712" t="n">
        <v>0</v>
      </c>
      <c r="O712" t="n">
        <v>0</v>
      </c>
      <c r="P712" t="n">
        <v>0</v>
      </c>
      <c r="Q712" t="n">
        <v>0</v>
      </c>
      <c r="R712" s="2" t="inlineStr"/>
    </row>
    <row r="713" ht="15" customHeight="1">
      <c r="A713" t="inlineStr">
        <is>
          <t>A 10684-2025</t>
        </is>
      </c>
      <c r="B713" s="1" t="n">
        <v>45721.95054398148</v>
      </c>
      <c r="C713" s="1" t="n">
        <v>45881</v>
      </c>
      <c r="D713" t="inlineStr">
        <is>
          <t>VÄSTERNORRLANDS LÄN</t>
        </is>
      </c>
      <c r="E713" t="inlineStr">
        <is>
          <t>SUNDSVALL</t>
        </is>
      </c>
      <c r="G713" t="n">
        <v>0.4</v>
      </c>
      <c r="H713" t="n">
        <v>0</v>
      </c>
      <c r="I713" t="n">
        <v>0</v>
      </c>
      <c r="J713" t="n">
        <v>0</v>
      </c>
      <c r="K713" t="n">
        <v>0</v>
      </c>
      <c r="L713" t="n">
        <v>0</v>
      </c>
      <c r="M713" t="n">
        <v>0</v>
      </c>
      <c r="N713" t="n">
        <v>0</v>
      </c>
      <c r="O713" t="n">
        <v>0</v>
      </c>
      <c r="P713" t="n">
        <v>0</v>
      </c>
      <c r="Q713" t="n">
        <v>0</v>
      </c>
      <c r="R713" s="2" t="inlineStr"/>
    </row>
    <row r="714" ht="15" customHeight="1">
      <c r="A714" t="inlineStr">
        <is>
          <t>A 10686-2025</t>
        </is>
      </c>
      <c r="B714" s="1" t="n">
        <v>45721.9587962963</v>
      </c>
      <c r="C714" s="1" t="n">
        <v>45881</v>
      </c>
      <c r="D714" t="inlineStr">
        <is>
          <t>VÄSTERNORRLANDS LÄN</t>
        </is>
      </c>
      <c r="E714" t="inlineStr">
        <is>
          <t>SUNDSVALL</t>
        </is>
      </c>
      <c r="G714" t="n">
        <v>0.5</v>
      </c>
      <c r="H714" t="n">
        <v>0</v>
      </c>
      <c r="I714" t="n">
        <v>0</v>
      </c>
      <c r="J714" t="n">
        <v>0</v>
      </c>
      <c r="K714" t="n">
        <v>0</v>
      </c>
      <c r="L714" t="n">
        <v>0</v>
      </c>
      <c r="M714" t="n">
        <v>0</v>
      </c>
      <c r="N714" t="n">
        <v>0</v>
      </c>
      <c r="O714" t="n">
        <v>0</v>
      </c>
      <c r="P714" t="n">
        <v>0</v>
      </c>
      <c r="Q714" t="n">
        <v>0</v>
      </c>
      <c r="R714" s="2" t="inlineStr"/>
    </row>
    <row r="715" ht="15" customHeight="1">
      <c r="A715" t="inlineStr">
        <is>
          <t>A 4979-2024</t>
        </is>
      </c>
      <c r="B715" s="1" t="n">
        <v>45329.62168981481</v>
      </c>
      <c r="C715" s="1" t="n">
        <v>45881</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3948-2025</t>
        </is>
      </c>
      <c r="B716" s="1" t="n">
        <v>45684.49009259259</v>
      </c>
      <c r="C716" s="1" t="n">
        <v>45881</v>
      </c>
      <c r="D716" t="inlineStr">
        <is>
          <t>VÄSTERNORRLANDS LÄN</t>
        </is>
      </c>
      <c r="E716" t="inlineStr">
        <is>
          <t>SUNDSVALL</t>
        </is>
      </c>
      <c r="G716" t="n">
        <v>1.5</v>
      </c>
      <c r="H716" t="n">
        <v>0</v>
      </c>
      <c r="I716" t="n">
        <v>0</v>
      </c>
      <c r="J716" t="n">
        <v>0</v>
      </c>
      <c r="K716" t="n">
        <v>0</v>
      </c>
      <c r="L716" t="n">
        <v>0</v>
      </c>
      <c r="M716" t="n">
        <v>0</v>
      </c>
      <c r="N716" t="n">
        <v>0</v>
      </c>
      <c r="O716" t="n">
        <v>0</v>
      </c>
      <c r="P716" t="n">
        <v>0</v>
      </c>
      <c r="Q716" t="n">
        <v>0</v>
      </c>
      <c r="R716" s="2" t="inlineStr"/>
    </row>
    <row r="717" ht="15" customHeight="1">
      <c r="A717" t="inlineStr">
        <is>
          <t>A 52502-2023</t>
        </is>
      </c>
      <c r="B717" s="1" t="n">
        <v>45225</v>
      </c>
      <c r="C717" s="1" t="n">
        <v>45881</v>
      </c>
      <c r="D717" t="inlineStr">
        <is>
          <t>VÄSTERNORRLANDS LÄN</t>
        </is>
      </c>
      <c r="E717" t="inlineStr">
        <is>
          <t>SUNDSVALL</t>
        </is>
      </c>
      <c r="F717" t="inlineStr">
        <is>
          <t>Kommuner</t>
        </is>
      </c>
      <c r="G717" t="n">
        <v>0.6</v>
      </c>
      <c r="H717" t="n">
        <v>0</v>
      </c>
      <c r="I717" t="n">
        <v>0</v>
      </c>
      <c r="J717" t="n">
        <v>0</v>
      </c>
      <c r="K717" t="n">
        <v>0</v>
      </c>
      <c r="L717" t="n">
        <v>0</v>
      </c>
      <c r="M717" t="n">
        <v>0</v>
      </c>
      <c r="N717" t="n">
        <v>0</v>
      </c>
      <c r="O717" t="n">
        <v>0</v>
      </c>
      <c r="P717" t="n">
        <v>0</v>
      </c>
      <c r="Q717" t="n">
        <v>0</v>
      </c>
      <c r="R717" s="2" t="inlineStr"/>
    </row>
    <row r="718" ht="15" customHeight="1">
      <c r="A718" t="inlineStr">
        <is>
          <t>A 50652-2022</t>
        </is>
      </c>
      <c r="B718" s="1" t="n">
        <v>44866</v>
      </c>
      <c r="C718" s="1" t="n">
        <v>45881</v>
      </c>
      <c r="D718" t="inlineStr">
        <is>
          <t>VÄSTERNORRLANDS LÄN</t>
        </is>
      </c>
      <c r="E718" t="inlineStr">
        <is>
          <t>SUNDSVALL</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32391-2024</t>
        </is>
      </c>
      <c r="B719" s="1" t="n">
        <v>45512.64163194445</v>
      </c>
      <c r="C719" s="1" t="n">
        <v>45881</v>
      </c>
      <c r="D719" t="inlineStr">
        <is>
          <t>VÄSTERNORRLANDS LÄN</t>
        </is>
      </c>
      <c r="E719" t="inlineStr">
        <is>
          <t>SUNDSVALL</t>
        </is>
      </c>
      <c r="G719" t="n">
        <v>2.6</v>
      </c>
      <c r="H719" t="n">
        <v>0</v>
      </c>
      <c r="I719" t="n">
        <v>0</v>
      </c>
      <c r="J719" t="n">
        <v>0</v>
      </c>
      <c r="K719" t="n">
        <v>0</v>
      </c>
      <c r="L719" t="n">
        <v>0</v>
      </c>
      <c r="M719" t="n">
        <v>0</v>
      </c>
      <c r="N719" t="n">
        <v>0</v>
      </c>
      <c r="O719" t="n">
        <v>0</v>
      </c>
      <c r="P719" t="n">
        <v>0</v>
      </c>
      <c r="Q719" t="n">
        <v>0</v>
      </c>
      <c r="R719" s="2" t="inlineStr"/>
    </row>
    <row r="720" ht="15" customHeight="1">
      <c r="A720" t="inlineStr">
        <is>
          <t>A 26030-2024</t>
        </is>
      </c>
      <c r="B720" s="1" t="n">
        <v>45467.96278935186</v>
      </c>
      <c r="C720" s="1" t="n">
        <v>45881</v>
      </c>
      <c r="D720" t="inlineStr">
        <is>
          <t>VÄSTERNORRLANDS LÄN</t>
        </is>
      </c>
      <c r="E720" t="inlineStr">
        <is>
          <t>SUNDSVALL</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26031-2024</t>
        </is>
      </c>
      <c r="B721" s="1" t="n">
        <v>45467</v>
      </c>
      <c r="C721" s="1" t="n">
        <v>45881</v>
      </c>
      <c r="D721" t="inlineStr">
        <is>
          <t>VÄSTERNORRLANDS LÄN</t>
        </is>
      </c>
      <c r="E721" t="inlineStr">
        <is>
          <t>SUNDSVALL</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26084-2024</t>
        </is>
      </c>
      <c r="B722" s="1" t="n">
        <v>45468</v>
      </c>
      <c r="C722" s="1" t="n">
        <v>45881</v>
      </c>
      <c r="D722" t="inlineStr">
        <is>
          <t>VÄSTERNORRLANDS LÄN</t>
        </is>
      </c>
      <c r="E722" t="inlineStr">
        <is>
          <t>SUNDSVALL</t>
        </is>
      </c>
      <c r="G722" t="n">
        <v>6</v>
      </c>
      <c r="H722" t="n">
        <v>0</v>
      </c>
      <c r="I722" t="n">
        <v>0</v>
      </c>
      <c r="J722" t="n">
        <v>0</v>
      </c>
      <c r="K722" t="n">
        <v>0</v>
      </c>
      <c r="L722" t="n">
        <v>0</v>
      </c>
      <c r="M722" t="n">
        <v>0</v>
      </c>
      <c r="N722" t="n">
        <v>0</v>
      </c>
      <c r="O722" t="n">
        <v>0</v>
      </c>
      <c r="P722" t="n">
        <v>0</v>
      </c>
      <c r="Q722" t="n">
        <v>0</v>
      </c>
      <c r="R722" s="2" t="inlineStr"/>
    </row>
    <row r="723" ht="15" customHeight="1">
      <c r="A723" t="inlineStr">
        <is>
          <t>A 25022-2024</t>
        </is>
      </c>
      <c r="B723" s="1" t="n">
        <v>45461.9628125</v>
      </c>
      <c r="C723" s="1" t="n">
        <v>45881</v>
      </c>
      <c r="D723" t="inlineStr">
        <is>
          <t>VÄSTERNORRLANDS LÄN</t>
        </is>
      </c>
      <c r="E723" t="inlineStr">
        <is>
          <t>SUNDSVALL</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34423-2023</t>
        </is>
      </c>
      <c r="B724" s="1" t="n">
        <v>45139.60361111111</v>
      </c>
      <c r="C724" s="1" t="n">
        <v>45881</v>
      </c>
      <c r="D724" t="inlineStr">
        <is>
          <t>VÄSTERNORRLANDS LÄN</t>
        </is>
      </c>
      <c r="E724" t="inlineStr">
        <is>
          <t>SUNDSVALL</t>
        </is>
      </c>
      <c r="F724" t="inlineStr">
        <is>
          <t>Holmen skog AB</t>
        </is>
      </c>
      <c r="G724" t="n">
        <v>6.5</v>
      </c>
      <c r="H724" t="n">
        <v>0</v>
      </c>
      <c r="I724" t="n">
        <v>0</v>
      </c>
      <c r="J724" t="n">
        <v>0</v>
      </c>
      <c r="K724" t="n">
        <v>0</v>
      </c>
      <c r="L724" t="n">
        <v>0</v>
      </c>
      <c r="M724" t="n">
        <v>0</v>
      </c>
      <c r="N724" t="n">
        <v>0</v>
      </c>
      <c r="O724" t="n">
        <v>0</v>
      </c>
      <c r="P724" t="n">
        <v>0</v>
      </c>
      <c r="Q724" t="n">
        <v>0</v>
      </c>
      <c r="R724" s="2" t="inlineStr"/>
    </row>
    <row r="725" ht="15" customHeight="1">
      <c r="A725" t="inlineStr">
        <is>
          <t>A 18825-2025</t>
        </is>
      </c>
      <c r="B725" s="1" t="n">
        <v>45764.38601851852</v>
      </c>
      <c r="C725" s="1" t="n">
        <v>45881</v>
      </c>
      <c r="D725" t="inlineStr">
        <is>
          <t>VÄSTERNORRLANDS LÄN</t>
        </is>
      </c>
      <c r="E725" t="inlineStr">
        <is>
          <t>SUNDSVALL</t>
        </is>
      </c>
      <c r="F725" t="inlineStr">
        <is>
          <t>Naturvårdsverket</t>
        </is>
      </c>
      <c r="G725" t="n">
        <v>5.8</v>
      </c>
      <c r="H725" t="n">
        <v>0</v>
      </c>
      <c r="I725" t="n">
        <v>0</v>
      </c>
      <c r="J725" t="n">
        <v>0</v>
      </c>
      <c r="K725" t="n">
        <v>0</v>
      </c>
      <c r="L725" t="n">
        <v>0</v>
      </c>
      <c r="M725" t="n">
        <v>0</v>
      </c>
      <c r="N725" t="n">
        <v>0</v>
      </c>
      <c r="O725" t="n">
        <v>0</v>
      </c>
      <c r="P725" t="n">
        <v>0</v>
      </c>
      <c r="Q725" t="n">
        <v>0</v>
      </c>
      <c r="R725" s="2" t="inlineStr"/>
    </row>
    <row r="726" ht="15" customHeight="1">
      <c r="A726" t="inlineStr">
        <is>
          <t>A 22126-2024</t>
        </is>
      </c>
      <c r="B726" s="1" t="n">
        <v>45443.95326388889</v>
      </c>
      <c r="C726" s="1" t="n">
        <v>45881</v>
      </c>
      <c r="D726" t="inlineStr">
        <is>
          <t>VÄSTERNORRLANDS LÄN</t>
        </is>
      </c>
      <c r="E726" t="inlineStr">
        <is>
          <t>SUNDSVALL</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29597-2023</t>
        </is>
      </c>
      <c r="B727" s="1" t="n">
        <v>45106</v>
      </c>
      <c r="C727" s="1" t="n">
        <v>45881</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44080-2024</t>
        </is>
      </c>
      <c r="B728" s="1" t="n">
        <v>45572.61517361111</v>
      </c>
      <c r="C728" s="1" t="n">
        <v>45881</v>
      </c>
      <c r="D728" t="inlineStr">
        <is>
          <t>VÄSTERNORRLANDS LÄN</t>
        </is>
      </c>
      <c r="E728" t="inlineStr">
        <is>
          <t>SUNDSVALL</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44098-2024</t>
        </is>
      </c>
      <c r="B729" s="1" t="n">
        <v>45572.625625</v>
      </c>
      <c r="C729" s="1" t="n">
        <v>45881</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13506-2023</t>
        </is>
      </c>
      <c r="B730" s="1" t="n">
        <v>45006</v>
      </c>
      <c r="C730" s="1" t="n">
        <v>45881</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58243-2023</t>
        </is>
      </c>
      <c r="B731" s="1" t="n">
        <v>45250</v>
      </c>
      <c r="C731" s="1" t="n">
        <v>45881</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13371-2025</t>
        </is>
      </c>
      <c r="B732" s="1" t="n">
        <v>45735.66290509259</v>
      </c>
      <c r="C732" s="1" t="n">
        <v>45881</v>
      </c>
      <c r="D732" t="inlineStr">
        <is>
          <t>VÄSTERNORRLANDS LÄN</t>
        </is>
      </c>
      <c r="E732" t="inlineStr">
        <is>
          <t>SUNDSVALL</t>
        </is>
      </c>
      <c r="G732" t="n">
        <v>4.2</v>
      </c>
      <c r="H732" t="n">
        <v>0</v>
      </c>
      <c r="I732" t="n">
        <v>0</v>
      </c>
      <c r="J732" t="n">
        <v>0</v>
      </c>
      <c r="K732" t="n">
        <v>0</v>
      </c>
      <c r="L732" t="n">
        <v>0</v>
      </c>
      <c r="M732" t="n">
        <v>0</v>
      </c>
      <c r="N732" t="n">
        <v>0</v>
      </c>
      <c r="O732" t="n">
        <v>0</v>
      </c>
      <c r="P732" t="n">
        <v>0</v>
      </c>
      <c r="Q732" t="n">
        <v>0</v>
      </c>
      <c r="R732" s="2" t="inlineStr"/>
    </row>
    <row r="733" ht="15" customHeight="1">
      <c r="A733" t="inlineStr">
        <is>
          <t>A 199-2024</t>
        </is>
      </c>
      <c r="B733" s="1" t="n">
        <v>45294.63547453703</v>
      </c>
      <c r="C733" s="1" t="n">
        <v>45881</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46716-2022</t>
        </is>
      </c>
      <c r="B734" s="1" t="n">
        <v>44851</v>
      </c>
      <c r="C734" s="1" t="n">
        <v>45881</v>
      </c>
      <c r="D734" t="inlineStr">
        <is>
          <t>VÄSTERNORRLANDS LÄN</t>
        </is>
      </c>
      <c r="E734" t="inlineStr">
        <is>
          <t>SUNDSVALL</t>
        </is>
      </c>
      <c r="G734" t="n">
        <v>2.1</v>
      </c>
      <c r="H734" t="n">
        <v>0</v>
      </c>
      <c r="I734" t="n">
        <v>0</v>
      </c>
      <c r="J734" t="n">
        <v>0</v>
      </c>
      <c r="K734" t="n">
        <v>0</v>
      </c>
      <c r="L734" t="n">
        <v>0</v>
      </c>
      <c r="M734" t="n">
        <v>0</v>
      </c>
      <c r="N734" t="n">
        <v>0</v>
      </c>
      <c r="O734" t="n">
        <v>0</v>
      </c>
      <c r="P734" t="n">
        <v>0</v>
      </c>
      <c r="Q734" t="n">
        <v>0</v>
      </c>
      <c r="R734" s="2" t="inlineStr"/>
    </row>
    <row r="735" ht="15" customHeight="1">
      <c r="A735" t="inlineStr">
        <is>
          <t>A 36885-2023</t>
        </is>
      </c>
      <c r="B735" s="1" t="n">
        <v>45154</v>
      </c>
      <c r="C735" s="1" t="n">
        <v>45881</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58032-2021</t>
        </is>
      </c>
      <c r="B736" s="1" t="n">
        <v>44487</v>
      </c>
      <c r="C736" s="1" t="n">
        <v>45881</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100-2024</t>
        </is>
      </c>
      <c r="B737" s="1" t="n">
        <v>45293.92984953704</v>
      </c>
      <c r="C737" s="1" t="n">
        <v>45881</v>
      </c>
      <c r="D737" t="inlineStr">
        <is>
          <t>VÄSTERNORRLANDS LÄN</t>
        </is>
      </c>
      <c r="E737" t="inlineStr">
        <is>
          <t>SUNDSVALL</t>
        </is>
      </c>
      <c r="G737" t="n">
        <v>2.2</v>
      </c>
      <c r="H737" t="n">
        <v>0</v>
      </c>
      <c r="I737" t="n">
        <v>0</v>
      </c>
      <c r="J737" t="n">
        <v>0</v>
      </c>
      <c r="K737" t="n">
        <v>0</v>
      </c>
      <c r="L737" t="n">
        <v>0</v>
      </c>
      <c r="M737" t="n">
        <v>0</v>
      </c>
      <c r="N737" t="n">
        <v>0</v>
      </c>
      <c r="O737" t="n">
        <v>0</v>
      </c>
      <c r="P737" t="n">
        <v>0</v>
      </c>
      <c r="Q737" t="n">
        <v>0</v>
      </c>
      <c r="R737" s="2" t="inlineStr"/>
    </row>
    <row r="738" ht="15" customHeight="1">
      <c r="A738" t="inlineStr">
        <is>
          <t>A 32380-2023</t>
        </is>
      </c>
      <c r="B738" s="1" t="n">
        <v>45120.58898148148</v>
      </c>
      <c r="C738" s="1" t="n">
        <v>45881</v>
      </c>
      <c r="D738" t="inlineStr">
        <is>
          <t>VÄSTERNORRLANDS LÄN</t>
        </is>
      </c>
      <c r="E738" t="inlineStr">
        <is>
          <t>SUNDSVALL</t>
        </is>
      </c>
      <c r="G738" t="n">
        <v>1.2</v>
      </c>
      <c r="H738" t="n">
        <v>0</v>
      </c>
      <c r="I738" t="n">
        <v>0</v>
      </c>
      <c r="J738" t="n">
        <v>0</v>
      </c>
      <c r="K738" t="n">
        <v>0</v>
      </c>
      <c r="L738" t="n">
        <v>0</v>
      </c>
      <c r="M738" t="n">
        <v>0</v>
      </c>
      <c r="N738" t="n">
        <v>0</v>
      </c>
      <c r="O738" t="n">
        <v>0</v>
      </c>
      <c r="P738" t="n">
        <v>0</v>
      </c>
      <c r="Q738" t="n">
        <v>0</v>
      </c>
      <c r="R738" s="2" t="inlineStr"/>
    </row>
    <row r="739" ht="15" customHeight="1">
      <c r="A739" t="inlineStr">
        <is>
          <t>A 22564-2023</t>
        </is>
      </c>
      <c r="B739" s="1" t="n">
        <v>45071.44974537037</v>
      </c>
      <c r="C739" s="1" t="n">
        <v>45881</v>
      </c>
      <c r="D739" t="inlineStr">
        <is>
          <t>VÄSTERNORRLANDS LÄN</t>
        </is>
      </c>
      <c r="E739" t="inlineStr">
        <is>
          <t>SUNDSVALL</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20073-2025</t>
        </is>
      </c>
      <c r="B740" s="1" t="n">
        <v>45772.44826388889</v>
      </c>
      <c r="C740" s="1" t="n">
        <v>45881</v>
      </c>
      <c r="D740" t="inlineStr">
        <is>
          <t>VÄSTERNORRLANDS LÄN</t>
        </is>
      </c>
      <c r="E740" t="inlineStr">
        <is>
          <t>SUNDSVALL</t>
        </is>
      </c>
      <c r="F740" t="inlineStr">
        <is>
          <t>Naturvårdsverket</t>
        </is>
      </c>
      <c r="G740" t="n">
        <v>2.1</v>
      </c>
      <c r="H740" t="n">
        <v>0</v>
      </c>
      <c r="I740" t="n">
        <v>0</v>
      </c>
      <c r="J740" t="n">
        <v>0</v>
      </c>
      <c r="K740" t="n">
        <v>0</v>
      </c>
      <c r="L740" t="n">
        <v>0</v>
      </c>
      <c r="M740" t="n">
        <v>0</v>
      </c>
      <c r="N740" t="n">
        <v>0</v>
      </c>
      <c r="O740" t="n">
        <v>0</v>
      </c>
      <c r="P740" t="n">
        <v>0</v>
      </c>
      <c r="Q740" t="n">
        <v>0</v>
      </c>
      <c r="R740" s="2" t="inlineStr"/>
    </row>
    <row r="741" ht="15" customHeight="1">
      <c r="A741" t="inlineStr">
        <is>
          <t>A 5296-2025</t>
        </is>
      </c>
      <c r="B741" s="1" t="n">
        <v>45692.45554398148</v>
      </c>
      <c r="C741" s="1" t="n">
        <v>45881</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25695-2024</t>
        </is>
      </c>
      <c r="B742" s="1" t="n">
        <v>45463</v>
      </c>
      <c r="C742" s="1" t="n">
        <v>45881</v>
      </c>
      <c r="D742" t="inlineStr">
        <is>
          <t>VÄSTERNORRLANDS LÄN</t>
        </is>
      </c>
      <c r="E742" t="inlineStr">
        <is>
          <t>SUNDSVALL</t>
        </is>
      </c>
      <c r="F742" t="inlineStr">
        <is>
          <t>SCA</t>
        </is>
      </c>
      <c r="G742" t="n">
        <v>7.9</v>
      </c>
      <c r="H742" t="n">
        <v>0</v>
      </c>
      <c r="I742" t="n">
        <v>0</v>
      </c>
      <c r="J742" t="n">
        <v>0</v>
      </c>
      <c r="K742" t="n">
        <v>0</v>
      </c>
      <c r="L742" t="n">
        <v>0</v>
      </c>
      <c r="M742" t="n">
        <v>0</v>
      </c>
      <c r="N742" t="n">
        <v>0</v>
      </c>
      <c r="O742" t="n">
        <v>0</v>
      </c>
      <c r="P742" t="n">
        <v>0</v>
      </c>
      <c r="Q742" t="n">
        <v>0</v>
      </c>
      <c r="R742" s="2" t="inlineStr"/>
    </row>
    <row r="743" ht="15" customHeight="1">
      <c r="A743" t="inlineStr">
        <is>
          <t>A 18286-2025</t>
        </is>
      </c>
      <c r="B743" s="1" t="n">
        <v>45762.40010416666</v>
      </c>
      <c r="C743" s="1" t="n">
        <v>45881</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13180-2025</t>
        </is>
      </c>
      <c r="B744" s="1" t="n">
        <v>45735.38108796296</v>
      </c>
      <c r="C744" s="1" t="n">
        <v>45881</v>
      </c>
      <c r="D744" t="inlineStr">
        <is>
          <t>VÄSTERNORRLANDS LÄN</t>
        </is>
      </c>
      <c r="E744" t="inlineStr">
        <is>
          <t>SUNDSVALL</t>
        </is>
      </c>
      <c r="G744" t="n">
        <v>0.8</v>
      </c>
      <c r="H744" t="n">
        <v>0</v>
      </c>
      <c r="I744" t="n">
        <v>0</v>
      </c>
      <c r="J744" t="n">
        <v>0</v>
      </c>
      <c r="K744" t="n">
        <v>0</v>
      </c>
      <c r="L744" t="n">
        <v>0</v>
      </c>
      <c r="M744" t="n">
        <v>0</v>
      </c>
      <c r="N744" t="n">
        <v>0</v>
      </c>
      <c r="O744" t="n">
        <v>0</v>
      </c>
      <c r="P744" t="n">
        <v>0</v>
      </c>
      <c r="Q744" t="n">
        <v>0</v>
      </c>
      <c r="R744" s="2" t="inlineStr"/>
    </row>
    <row r="745" ht="15" customHeight="1">
      <c r="A745" t="inlineStr">
        <is>
          <t>A 4800-2023</t>
        </is>
      </c>
      <c r="B745" s="1" t="n">
        <v>44952</v>
      </c>
      <c r="C745" s="1" t="n">
        <v>45881</v>
      </c>
      <c r="D745" t="inlineStr">
        <is>
          <t>VÄSTERNORRLANDS LÄN</t>
        </is>
      </c>
      <c r="E745" t="inlineStr">
        <is>
          <t>SUNDSVALL</t>
        </is>
      </c>
      <c r="G745" t="n">
        <v>0.3</v>
      </c>
      <c r="H745" t="n">
        <v>0</v>
      </c>
      <c r="I745" t="n">
        <v>0</v>
      </c>
      <c r="J745" t="n">
        <v>0</v>
      </c>
      <c r="K745" t="n">
        <v>0</v>
      </c>
      <c r="L745" t="n">
        <v>0</v>
      </c>
      <c r="M745" t="n">
        <v>0</v>
      </c>
      <c r="N745" t="n">
        <v>0</v>
      </c>
      <c r="O745" t="n">
        <v>0</v>
      </c>
      <c r="P745" t="n">
        <v>0</v>
      </c>
      <c r="Q745" t="n">
        <v>0</v>
      </c>
      <c r="R745" s="2" t="inlineStr"/>
    </row>
    <row r="746" ht="15" customHeight="1">
      <c r="A746" t="inlineStr">
        <is>
          <t>A 36007-2021</t>
        </is>
      </c>
      <c r="B746" s="1" t="n">
        <v>44389.37854166667</v>
      </c>
      <c r="C746" s="1" t="n">
        <v>45881</v>
      </c>
      <c r="D746" t="inlineStr">
        <is>
          <t>VÄSTERNORRLANDS LÄN</t>
        </is>
      </c>
      <c r="E746" t="inlineStr">
        <is>
          <t>SUNDSVALL</t>
        </is>
      </c>
      <c r="G746" t="n">
        <v>6.4</v>
      </c>
      <c r="H746" t="n">
        <v>0</v>
      </c>
      <c r="I746" t="n">
        <v>0</v>
      </c>
      <c r="J746" t="n">
        <v>0</v>
      </c>
      <c r="K746" t="n">
        <v>0</v>
      </c>
      <c r="L746" t="n">
        <v>0</v>
      </c>
      <c r="M746" t="n">
        <v>0</v>
      </c>
      <c r="N746" t="n">
        <v>0</v>
      </c>
      <c r="O746" t="n">
        <v>0</v>
      </c>
      <c r="P746" t="n">
        <v>0</v>
      </c>
      <c r="Q746" t="n">
        <v>0</v>
      </c>
      <c r="R746" s="2" t="inlineStr"/>
    </row>
    <row r="747" ht="15" customHeight="1">
      <c r="A747" t="inlineStr">
        <is>
          <t>A 38096-2020</t>
        </is>
      </c>
      <c r="B747" s="1" t="n">
        <v>44057</v>
      </c>
      <c r="C747" s="1" t="n">
        <v>45881</v>
      </c>
      <c r="D747" t="inlineStr">
        <is>
          <t>VÄSTERNORRLANDS LÄN</t>
        </is>
      </c>
      <c r="E747" t="inlineStr">
        <is>
          <t>SUNDSVALL</t>
        </is>
      </c>
      <c r="F747" t="inlineStr">
        <is>
          <t>Naturvårdsverket</t>
        </is>
      </c>
      <c r="G747" t="n">
        <v>7.9</v>
      </c>
      <c r="H747" t="n">
        <v>0</v>
      </c>
      <c r="I747" t="n">
        <v>0</v>
      </c>
      <c r="J747" t="n">
        <v>0</v>
      </c>
      <c r="K747" t="n">
        <v>0</v>
      </c>
      <c r="L747" t="n">
        <v>0</v>
      </c>
      <c r="M747" t="n">
        <v>0</v>
      </c>
      <c r="N747" t="n">
        <v>0</v>
      </c>
      <c r="O747" t="n">
        <v>0</v>
      </c>
      <c r="P747" t="n">
        <v>0</v>
      </c>
      <c r="Q747" t="n">
        <v>0</v>
      </c>
      <c r="R747" s="2" t="inlineStr"/>
    </row>
    <row r="748" ht="15" customHeight="1">
      <c r="A748" t="inlineStr">
        <is>
          <t>A 42507-2023</t>
        </is>
      </c>
      <c r="B748" s="1" t="n">
        <v>45180.95899305555</v>
      </c>
      <c r="C748" s="1" t="n">
        <v>45881</v>
      </c>
      <c r="D748" t="inlineStr">
        <is>
          <t>VÄSTERNORRLANDS LÄN</t>
        </is>
      </c>
      <c r="E748" t="inlineStr">
        <is>
          <t>SUNDSVALL</t>
        </is>
      </c>
      <c r="G748" t="n">
        <v>6.1</v>
      </c>
      <c r="H748" t="n">
        <v>0</v>
      </c>
      <c r="I748" t="n">
        <v>0</v>
      </c>
      <c r="J748" t="n">
        <v>0</v>
      </c>
      <c r="K748" t="n">
        <v>0</v>
      </c>
      <c r="L748" t="n">
        <v>0</v>
      </c>
      <c r="M748" t="n">
        <v>0</v>
      </c>
      <c r="N748" t="n">
        <v>0</v>
      </c>
      <c r="O748" t="n">
        <v>0</v>
      </c>
      <c r="P748" t="n">
        <v>0</v>
      </c>
      <c r="Q748" t="n">
        <v>0</v>
      </c>
      <c r="R748" s="2" t="inlineStr"/>
    </row>
    <row r="749" ht="15" customHeight="1">
      <c r="A749" t="inlineStr">
        <is>
          <t>A 56682-2023</t>
        </is>
      </c>
      <c r="B749" s="1" t="n">
        <v>45243</v>
      </c>
      <c r="C749" s="1" t="n">
        <v>45881</v>
      </c>
      <c r="D749" t="inlineStr">
        <is>
          <t>VÄSTERNORRLANDS LÄN</t>
        </is>
      </c>
      <c r="E749" t="inlineStr">
        <is>
          <t>SUNDSVALL</t>
        </is>
      </c>
      <c r="G749" t="n">
        <v>7.5</v>
      </c>
      <c r="H749" t="n">
        <v>0</v>
      </c>
      <c r="I749" t="n">
        <v>0</v>
      </c>
      <c r="J749" t="n">
        <v>0</v>
      </c>
      <c r="K749" t="n">
        <v>0</v>
      </c>
      <c r="L749" t="n">
        <v>0</v>
      </c>
      <c r="M749" t="n">
        <v>0</v>
      </c>
      <c r="N749" t="n">
        <v>0</v>
      </c>
      <c r="O749" t="n">
        <v>0</v>
      </c>
      <c r="P749" t="n">
        <v>0</v>
      </c>
      <c r="Q749" t="n">
        <v>0</v>
      </c>
      <c r="R749" s="2" t="inlineStr"/>
    </row>
    <row r="750" ht="15" customHeight="1">
      <c r="A750" t="inlineStr">
        <is>
          <t>A 54998-2022</t>
        </is>
      </c>
      <c r="B750" s="1" t="n">
        <v>44881</v>
      </c>
      <c r="C750" s="1" t="n">
        <v>45881</v>
      </c>
      <c r="D750" t="inlineStr">
        <is>
          <t>VÄSTERNORRLANDS LÄN</t>
        </is>
      </c>
      <c r="E750" t="inlineStr">
        <is>
          <t>SUNDSVALL</t>
        </is>
      </c>
      <c r="G750" t="n">
        <v>1.6</v>
      </c>
      <c r="H750" t="n">
        <v>0</v>
      </c>
      <c r="I750" t="n">
        <v>0</v>
      </c>
      <c r="J750" t="n">
        <v>0</v>
      </c>
      <c r="K750" t="n">
        <v>0</v>
      </c>
      <c r="L750" t="n">
        <v>0</v>
      </c>
      <c r="M750" t="n">
        <v>0</v>
      </c>
      <c r="N750" t="n">
        <v>0</v>
      </c>
      <c r="O750" t="n">
        <v>0</v>
      </c>
      <c r="P750" t="n">
        <v>0</v>
      </c>
      <c r="Q750" t="n">
        <v>0</v>
      </c>
      <c r="R750" s="2" t="inlineStr"/>
    </row>
    <row r="751" ht="15" customHeight="1">
      <c r="A751" t="inlineStr">
        <is>
          <t>A 19036-2025</t>
        </is>
      </c>
      <c r="B751" s="1" t="n">
        <v>45764.67304398148</v>
      </c>
      <c r="C751" s="1" t="n">
        <v>45881</v>
      </c>
      <c r="D751" t="inlineStr">
        <is>
          <t>VÄSTERNORRLANDS LÄN</t>
        </is>
      </c>
      <c r="E751" t="inlineStr">
        <is>
          <t>SUNDSVALL</t>
        </is>
      </c>
      <c r="G751" t="n">
        <v>0.3</v>
      </c>
      <c r="H751" t="n">
        <v>0</v>
      </c>
      <c r="I751" t="n">
        <v>0</v>
      </c>
      <c r="J751" t="n">
        <v>0</v>
      </c>
      <c r="K751" t="n">
        <v>0</v>
      </c>
      <c r="L751" t="n">
        <v>0</v>
      </c>
      <c r="M751" t="n">
        <v>0</v>
      </c>
      <c r="N751" t="n">
        <v>0</v>
      </c>
      <c r="O751" t="n">
        <v>0</v>
      </c>
      <c r="P751" t="n">
        <v>0</v>
      </c>
      <c r="Q751" t="n">
        <v>0</v>
      </c>
      <c r="R751" s="2" t="inlineStr"/>
    </row>
    <row r="752" ht="15" customHeight="1">
      <c r="A752" t="inlineStr">
        <is>
          <t>A 17437-2023</t>
        </is>
      </c>
      <c r="B752" s="1" t="n">
        <v>45035.92703703704</v>
      </c>
      <c r="C752" s="1" t="n">
        <v>45881</v>
      </c>
      <c r="D752" t="inlineStr">
        <is>
          <t>VÄSTERNORRLANDS LÄN</t>
        </is>
      </c>
      <c r="E752" t="inlineStr">
        <is>
          <t>SUNDSVALL</t>
        </is>
      </c>
      <c r="G752" t="n">
        <v>13.7</v>
      </c>
      <c r="H752" t="n">
        <v>0</v>
      </c>
      <c r="I752" t="n">
        <v>0</v>
      </c>
      <c r="J752" t="n">
        <v>0</v>
      </c>
      <c r="K752" t="n">
        <v>0</v>
      </c>
      <c r="L752" t="n">
        <v>0</v>
      </c>
      <c r="M752" t="n">
        <v>0</v>
      </c>
      <c r="N752" t="n">
        <v>0</v>
      </c>
      <c r="O752" t="n">
        <v>0</v>
      </c>
      <c r="P752" t="n">
        <v>0</v>
      </c>
      <c r="Q752" t="n">
        <v>0</v>
      </c>
      <c r="R752" s="2" t="inlineStr"/>
    </row>
    <row r="753" ht="15" customHeight="1">
      <c r="A753" t="inlineStr">
        <is>
          <t>A 3546-2022</t>
        </is>
      </c>
      <c r="B753" s="1" t="n">
        <v>44585</v>
      </c>
      <c r="C753" s="1" t="n">
        <v>45881</v>
      </c>
      <c r="D753" t="inlineStr">
        <is>
          <t>VÄSTERNORRLANDS LÄN</t>
        </is>
      </c>
      <c r="E753" t="inlineStr">
        <is>
          <t>SUNDSVALL</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27693-2023</t>
        </is>
      </c>
      <c r="B754" s="1" t="n">
        <v>45097.9384375</v>
      </c>
      <c r="C754" s="1" t="n">
        <v>45881</v>
      </c>
      <c r="D754" t="inlineStr">
        <is>
          <t>VÄSTERNORRLANDS LÄN</t>
        </is>
      </c>
      <c r="E754" t="inlineStr">
        <is>
          <t>SUNDSVALL</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12743-2023</t>
        </is>
      </c>
      <c r="B755" s="1" t="n">
        <v>45000.94775462963</v>
      </c>
      <c r="C755" s="1" t="n">
        <v>45881</v>
      </c>
      <c r="D755" t="inlineStr">
        <is>
          <t>VÄSTERNORRLANDS LÄN</t>
        </is>
      </c>
      <c r="E755" t="inlineStr">
        <is>
          <t>SUNDSVALL</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64917-2021</t>
        </is>
      </c>
      <c r="B756" s="1" t="n">
        <v>44512</v>
      </c>
      <c r="C756" s="1" t="n">
        <v>45881</v>
      </c>
      <c r="D756" t="inlineStr">
        <is>
          <t>VÄSTERNORRLANDS LÄN</t>
        </is>
      </c>
      <c r="E756" t="inlineStr">
        <is>
          <t>SUNDSVALL</t>
        </is>
      </c>
      <c r="F756" t="inlineStr">
        <is>
          <t>Kommuner</t>
        </is>
      </c>
      <c r="G756" t="n">
        <v>4.1</v>
      </c>
      <c r="H756" t="n">
        <v>0</v>
      </c>
      <c r="I756" t="n">
        <v>0</v>
      </c>
      <c r="J756" t="n">
        <v>0</v>
      </c>
      <c r="K756" t="n">
        <v>0</v>
      </c>
      <c r="L756" t="n">
        <v>0</v>
      </c>
      <c r="M756" t="n">
        <v>0</v>
      </c>
      <c r="N756" t="n">
        <v>0</v>
      </c>
      <c r="O756" t="n">
        <v>0</v>
      </c>
      <c r="P756" t="n">
        <v>0</v>
      </c>
      <c r="Q756" t="n">
        <v>0</v>
      </c>
      <c r="R756" s="2" t="inlineStr"/>
    </row>
    <row r="757" ht="15" customHeight="1">
      <c r="A757" t="inlineStr">
        <is>
          <t>A 7003-2023</t>
        </is>
      </c>
      <c r="B757" s="1" t="n">
        <v>44967.92920138889</v>
      </c>
      <c r="C757" s="1" t="n">
        <v>45881</v>
      </c>
      <c r="D757" t="inlineStr">
        <is>
          <t>VÄSTERNORRLANDS LÄN</t>
        </is>
      </c>
      <c r="E757" t="inlineStr">
        <is>
          <t>SUNDSVALL</t>
        </is>
      </c>
      <c r="G757" t="n">
        <v>2.3</v>
      </c>
      <c r="H757" t="n">
        <v>0</v>
      </c>
      <c r="I757" t="n">
        <v>0</v>
      </c>
      <c r="J757" t="n">
        <v>0</v>
      </c>
      <c r="K757" t="n">
        <v>0</v>
      </c>
      <c r="L757" t="n">
        <v>0</v>
      </c>
      <c r="M757" t="n">
        <v>0</v>
      </c>
      <c r="N757" t="n">
        <v>0</v>
      </c>
      <c r="O757" t="n">
        <v>0</v>
      </c>
      <c r="P757" t="n">
        <v>0</v>
      </c>
      <c r="Q757" t="n">
        <v>0</v>
      </c>
      <c r="R757" s="2" t="inlineStr"/>
    </row>
    <row r="758" ht="15" customHeight="1">
      <c r="A758" t="inlineStr">
        <is>
          <t>A 61492-2023</t>
        </is>
      </c>
      <c r="B758" s="1" t="n">
        <v>45264</v>
      </c>
      <c r="C758" s="1" t="n">
        <v>45881</v>
      </c>
      <c r="D758" t="inlineStr">
        <is>
          <t>VÄSTERNORRLANDS LÄN</t>
        </is>
      </c>
      <c r="E758" t="inlineStr">
        <is>
          <t>SUNDSVALL</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59341-2023</t>
        </is>
      </c>
      <c r="B759" s="1" t="n">
        <v>45253.65173611111</v>
      </c>
      <c r="C759" s="1" t="n">
        <v>45881</v>
      </c>
      <c r="D759" t="inlineStr">
        <is>
          <t>VÄSTERNORRLANDS LÄN</t>
        </is>
      </c>
      <c r="E759" t="inlineStr">
        <is>
          <t>SUNDSVALL</t>
        </is>
      </c>
      <c r="G759" t="n">
        <v>1.9</v>
      </c>
      <c r="H759" t="n">
        <v>0</v>
      </c>
      <c r="I759" t="n">
        <v>0</v>
      </c>
      <c r="J759" t="n">
        <v>0</v>
      </c>
      <c r="K759" t="n">
        <v>0</v>
      </c>
      <c r="L759" t="n">
        <v>0</v>
      </c>
      <c r="M759" t="n">
        <v>0</v>
      </c>
      <c r="N759" t="n">
        <v>0</v>
      </c>
      <c r="O759" t="n">
        <v>0</v>
      </c>
      <c r="P759" t="n">
        <v>0</v>
      </c>
      <c r="Q759" t="n">
        <v>0</v>
      </c>
      <c r="R759" s="2" t="inlineStr"/>
    </row>
    <row r="760" ht="15" customHeight="1">
      <c r="A760" t="inlineStr">
        <is>
          <t>A 51360-2022</t>
        </is>
      </c>
      <c r="B760" s="1" t="n">
        <v>44869</v>
      </c>
      <c r="C760" s="1" t="n">
        <v>45881</v>
      </c>
      <c r="D760" t="inlineStr">
        <is>
          <t>VÄSTERNORRLANDS LÄN</t>
        </is>
      </c>
      <c r="E760" t="inlineStr">
        <is>
          <t>SUNDSVALL</t>
        </is>
      </c>
      <c r="G760" t="n">
        <v>30.9</v>
      </c>
      <c r="H760" t="n">
        <v>0</v>
      </c>
      <c r="I760" t="n">
        <v>0</v>
      </c>
      <c r="J760" t="n">
        <v>0</v>
      </c>
      <c r="K760" t="n">
        <v>0</v>
      </c>
      <c r="L760" t="n">
        <v>0</v>
      </c>
      <c r="M760" t="n">
        <v>0</v>
      </c>
      <c r="N760" t="n">
        <v>0</v>
      </c>
      <c r="O760" t="n">
        <v>0</v>
      </c>
      <c r="P760" t="n">
        <v>0</v>
      </c>
      <c r="Q760" t="n">
        <v>0</v>
      </c>
      <c r="R760" s="2" t="inlineStr"/>
    </row>
    <row r="761" ht="15" customHeight="1">
      <c r="A761" t="inlineStr">
        <is>
          <t>A 51050-2024</t>
        </is>
      </c>
      <c r="B761" s="1" t="n">
        <v>45603.4465625</v>
      </c>
      <c r="C761" s="1" t="n">
        <v>45881</v>
      </c>
      <c r="D761" t="inlineStr">
        <is>
          <t>VÄSTERNORRLANDS LÄN</t>
        </is>
      </c>
      <c r="E761" t="inlineStr">
        <is>
          <t>SUNDSVALL</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31440-2024</t>
        </is>
      </c>
      <c r="B762" s="1" t="n">
        <v>45505</v>
      </c>
      <c r="C762" s="1" t="n">
        <v>45881</v>
      </c>
      <c r="D762" t="inlineStr">
        <is>
          <t>VÄSTERNORRLANDS LÄN</t>
        </is>
      </c>
      <c r="E762" t="inlineStr">
        <is>
          <t>SUNDSVALL</t>
        </is>
      </c>
      <c r="G762" t="n">
        <v>3.9</v>
      </c>
      <c r="H762" t="n">
        <v>0</v>
      </c>
      <c r="I762" t="n">
        <v>0</v>
      </c>
      <c r="J762" t="n">
        <v>0</v>
      </c>
      <c r="K762" t="n">
        <v>0</v>
      </c>
      <c r="L762" t="n">
        <v>0</v>
      </c>
      <c r="M762" t="n">
        <v>0</v>
      </c>
      <c r="N762" t="n">
        <v>0</v>
      </c>
      <c r="O762" t="n">
        <v>0</v>
      </c>
      <c r="P762" t="n">
        <v>0</v>
      </c>
      <c r="Q762" t="n">
        <v>0</v>
      </c>
      <c r="R762" s="2" t="inlineStr"/>
    </row>
    <row r="763" ht="15" customHeight="1">
      <c r="A763" t="inlineStr">
        <is>
          <t>A 25988-2023</t>
        </is>
      </c>
      <c r="B763" s="1" t="n">
        <v>45090.9250462963</v>
      </c>
      <c r="C763" s="1" t="n">
        <v>45881</v>
      </c>
      <c r="D763" t="inlineStr">
        <is>
          <t>VÄSTERNORRLANDS LÄN</t>
        </is>
      </c>
      <c r="E763" t="inlineStr">
        <is>
          <t>SUNDSVALL</t>
        </is>
      </c>
      <c r="G763" t="n">
        <v>0.7</v>
      </c>
      <c r="H763" t="n">
        <v>0</v>
      </c>
      <c r="I763" t="n">
        <v>0</v>
      </c>
      <c r="J763" t="n">
        <v>0</v>
      </c>
      <c r="K763" t="n">
        <v>0</v>
      </c>
      <c r="L763" t="n">
        <v>0</v>
      </c>
      <c r="M763" t="n">
        <v>0</v>
      </c>
      <c r="N763" t="n">
        <v>0</v>
      </c>
      <c r="O763" t="n">
        <v>0</v>
      </c>
      <c r="P763" t="n">
        <v>0</v>
      </c>
      <c r="Q763" t="n">
        <v>0</v>
      </c>
      <c r="R763" s="2" t="inlineStr"/>
    </row>
    <row r="764" ht="15" customHeight="1">
      <c r="A764" t="inlineStr">
        <is>
          <t>A 60165-2022</t>
        </is>
      </c>
      <c r="B764" s="1" t="n">
        <v>44909</v>
      </c>
      <c r="C764" s="1" t="n">
        <v>45881</v>
      </c>
      <c r="D764" t="inlineStr">
        <is>
          <t>VÄSTERNORRLANDS LÄN</t>
        </is>
      </c>
      <c r="E764" t="inlineStr">
        <is>
          <t>SUNDSVALL</t>
        </is>
      </c>
      <c r="G764" t="n">
        <v>6.2</v>
      </c>
      <c r="H764" t="n">
        <v>0</v>
      </c>
      <c r="I764" t="n">
        <v>0</v>
      </c>
      <c r="J764" t="n">
        <v>0</v>
      </c>
      <c r="K764" t="n">
        <v>0</v>
      </c>
      <c r="L764" t="n">
        <v>0</v>
      </c>
      <c r="M764" t="n">
        <v>0</v>
      </c>
      <c r="N764" t="n">
        <v>0</v>
      </c>
      <c r="O764" t="n">
        <v>0</v>
      </c>
      <c r="P764" t="n">
        <v>0</v>
      </c>
      <c r="Q764" t="n">
        <v>0</v>
      </c>
      <c r="R764" s="2" t="inlineStr"/>
    </row>
    <row r="765" ht="15" customHeight="1">
      <c r="A765" t="inlineStr">
        <is>
          <t>A 38665-2022</t>
        </is>
      </c>
      <c r="B765" s="1" t="n">
        <v>44813</v>
      </c>
      <c r="C765" s="1" t="n">
        <v>45881</v>
      </c>
      <c r="D765" t="inlineStr">
        <is>
          <t>VÄSTERNORRLANDS LÄN</t>
        </is>
      </c>
      <c r="E765" t="inlineStr">
        <is>
          <t>SUNDSVALL</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712-2023</t>
        </is>
      </c>
      <c r="B766" s="1" t="n">
        <v>44930.92733796296</v>
      </c>
      <c r="C766" s="1" t="n">
        <v>45881</v>
      </c>
      <c r="D766" t="inlineStr">
        <is>
          <t>VÄSTERNORRLANDS LÄN</t>
        </is>
      </c>
      <c r="E766" t="inlineStr">
        <is>
          <t>SUNDSVALL</t>
        </is>
      </c>
      <c r="G766" t="n">
        <v>6.2</v>
      </c>
      <c r="H766" t="n">
        <v>0</v>
      </c>
      <c r="I766" t="n">
        <v>0</v>
      </c>
      <c r="J766" t="n">
        <v>0</v>
      </c>
      <c r="K766" t="n">
        <v>0</v>
      </c>
      <c r="L766" t="n">
        <v>0</v>
      </c>
      <c r="M766" t="n">
        <v>0</v>
      </c>
      <c r="N766" t="n">
        <v>0</v>
      </c>
      <c r="O766" t="n">
        <v>0</v>
      </c>
      <c r="P766" t="n">
        <v>0</v>
      </c>
      <c r="Q766" t="n">
        <v>0</v>
      </c>
      <c r="R766" s="2" t="inlineStr"/>
    </row>
    <row r="767" ht="15" customHeight="1">
      <c r="A767" t="inlineStr">
        <is>
          <t>A 512-2023</t>
        </is>
      </c>
      <c r="B767" s="1" t="n">
        <v>44930</v>
      </c>
      <c r="C767" s="1" t="n">
        <v>45881</v>
      </c>
      <c r="D767" t="inlineStr">
        <is>
          <t>VÄSTERNORRLANDS LÄN</t>
        </is>
      </c>
      <c r="E767" t="inlineStr">
        <is>
          <t>SUNDSVALL</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5721-2024</t>
        </is>
      </c>
      <c r="B768" s="1" t="n">
        <v>45334</v>
      </c>
      <c r="C768" s="1" t="n">
        <v>45881</v>
      </c>
      <c r="D768" t="inlineStr">
        <is>
          <t>VÄSTERNORRLANDS LÄN</t>
        </is>
      </c>
      <c r="E768" t="inlineStr">
        <is>
          <t>SUNDSVALL</t>
        </is>
      </c>
      <c r="G768" t="n">
        <v>1.9</v>
      </c>
      <c r="H768" t="n">
        <v>0</v>
      </c>
      <c r="I768" t="n">
        <v>0</v>
      </c>
      <c r="J768" t="n">
        <v>0</v>
      </c>
      <c r="K768" t="n">
        <v>0</v>
      </c>
      <c r="L768" t="n">
        <v>0</v>
      </c>
      <c r="M768" t="n">
        <v>0</v>
      </c>
      <c r="N768" t="n">
        <v>0</v>
      </c>
      <c r="O768" t="n">
        <v>0</v>
      </c>
      <c r="P768" t="n">
        <v>0</v>
      </c>
      <c r="Q768" t="n">
        <v>0</v>
      </c>
      <c r="R768" s="2" t="inlineStr"/>
    </row>
    <row r="769" ht="15" customHeight="1">
      <c r="A769" t="inlineStr">
        <is>
          <t>A 31317-2024</t>
        </is>
      </c>
      <c r="B769" s="1" t="n">
        <v>45504</v>
      </c>
      <c r="C769" s="1" t="n">
        <v>45881</v>
      </c>
      <c r="D769" t="inlineStr">
        <is>
          <t>VÄSTERNORRLANDS LÄN</t>
        </is>
      </c>
      <c r="E769" t="inlineStr">
        <is>
          <t>SUNDSVALL</t>
        </is>
      </c>
      <c r="G769" t="n">
        <v>0.9</v>
      </c>
      <c r="H769" t="n">
        <v>0</v>
      </c>
      <c r="I769" t="n">
        <v>0</v>
      </c>
      <c r="J769" t="n">
        <v>0</v>
      </c>
      <c r="K769" t="n">
        <v>0</v>
      </c>
      <c r="L769" t="n">
        <v>0</v>
      </c>
      <c r="M769" t="n">
        <v>0</v>
      </c>
      <c r="N769" t="n">
        <v>0</v>
      </c>
      <c r="O769" t="n">
        <v>0</v>
      </c>
      <c r="P769" t="n">
        <v>0</v>
      </c>
      <c r="Q769" t="n">
        <v>0</v>
      </c>
      <c r="R769" s="2" t="inlineStr"/>
    </row>
    <row r="770" ht="15" customHeight="1">
      <c r="A770" t="inlineStr">
        <is>
          <t>A 6673-2025</t>
        </is>
      </c>
      <c r="B770" s="1" t="n">
        <v>45700.47215277778</v>
      </c>
      <c r="C770" s="1" t="n">
        <v>45881</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35010-2023</t>
        </is>
      </c>
      <c r="B771" s="1" t="n">
        <v>45142</v>
      </c>
      <c r="C771" s="1" t="n">
        <v>45881</v>
      </c>
      <c r="D771" t="inlineStr">
        <is>
          <t>VÄSTERNORRLANDS LÄN</t>
        </is>
      </c>
      <c r="E771" t="inlineStr">
        <is>
          <t>SUNDSVALL</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59910-2023</t>
        </is>
      </c>
      <c r="B772" s="1" t="n">
        <v>45257.63450231482</v>
      </c>
      <c r="C772" s="1" t="n">
        <v>45881</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26661-2024</t>
        </is>
      </c>
      <c r="B773" s="1" t="n">
        <v>45469</v>
      </c>
      <c r="C773" s="1" t="n">
        <v>45881</v>
      </c>
      <c r="D773" t="inlineStr">
        <is>
          <t>VÄSTERNORRLANDS LÄN</t>
        </is>
      </c>
      <c r="E773" t="inlineStr">
        <is>
          <t>SUNDSVALL</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16768-2023</t>
        </is>
      </c>
      <c r="B774" s="1" t="n">
        <v>45030</v>
      </c>
      <c r="C774" s="1" t="n">
        <v>45881</v>
      </c>
      <c r="D774" t="inlineStr">
        <is>
          <t>VÄSTERNORRLANDS LÄN</t>
        </is>
      </c>
      <c r="E774" t="inlineStr">
        <is>
          <t>SUNDSVALL</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25011-2022</t>
        </is>
      </c>
      <c r="B775" s="1" t="n">
        <v>44728.92876157408</v>
      </c>
      <c r="C775" s="1" t="n">
        <v>45881</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27895-2024</t>
        </is>
      </c>
      <c r="B776" s="1" t="n">
        <v>45475.92822916667</v>
      </c>
      <c r="C776" s="1" t="n">
        <v>45881</v>
      </c>
      <c r="D776" t="inlineStr">
        <is>
          <t>VÄSTERNORRLANDS LÄN</t>
        </is>
      </c>
      <c r="E776" t="inlineStr">
        <is>
          <t>SUNDSVALL</t>
        </is>
      </c>
      <c r="G776" t="n">
        <v>2.5</v>
      </c>
      <c r="H776" t="n">
        <v>0</v>
      </c>
      <c r="I776" t="n">
        <v>0</v>
      </c>
      <c r="J776" t="n">
        <v>0</v>
      </c>
      <c r="K776" t="n">
        <v>0</v>
      </c>
      <c r="L776" t="n">
        <v>0</v>
      </c>
      <c r="M776" t="n">
        <v>0</v>
      </c>
      <c r="N776" t="n">
        <v>0</v>
      </c>
      <c r="O776" t="n">
        <v>0</v>
      </c>
      <c r="P776" t="n">
        <v>0</v>
      </c>
      <c r="Q776" t="n">
        <v>0</v>
      </c>
      <c r="R776" s="2" t="inlineStr"/>
    </row>
    <row r="777" ht="15" customHeight="1">
      <c r="A777" t="inlineStr">
        <is>
          <t>A 13302-2025</t>
        </is>
      </c>
      <c r="B777" s="1" t="n">
        <v>45735.5747337963</v>
      </c>
      <c r="C777" s="1" t="n">
        <v>45881</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27959-2021</t>
        </is>
      </c>
      <c r="B778" s="1" t="n">
        <v>44354</v>
      </c>
      <c r="C778" s="1" t="n">
        <v>45881</v>
      </c>
      <c r="D778" t="inlineStr">
        <is>
          <t>VÄSTERNORRLANDS LÄN</t>
        </is>
      </c>
      <c r="E778" t="inlineStr">
        <is>
          <t>SUNDSVALL</t>
        </is>
      </c>
      <c r="G778" t="n">
        <v>1.3</v>
      </c>
      <c r="H778" t="n">
        <v>0</v>
      </c>
      <c r="I778" t="n">
        <v>0</v>
      </c>
      <c r="J778" t="n">
        <v>0</v>
      </c>
      <c r="K778" t="n">
        <v>0</v>
      </c>
      <c r="L778" t="n">
        <v>0</v>
      </c>
      <c r="M778" t="n">
        <v>0</v>
      </c>
      <c r="N778" t="n">
        <v>0</v>
      </c>
      <c r="O778" t="n">
        <v>0</v>
      </c>
      <c r="P778" t="n">
        <v>0</v>
      </c>
      <c r="Q778" t="n">
        <v>0</v>
      </c>
      <c r="R778" s="2" t="inlineStr"/>
    </row>
    <row r="779" ht="15" customHeight="1">
      <c r="A779" t="inlineStr">
        <is>
          <t>A 70173-2021</t>
        </is>
      </c>
      <c r="B779" s="1" t="n">
        <v>44533</v>
      </c>
      <c r="C779" s="1" t="n">
        <v>45881</v>
      </c>
      <c r="D779" t="inlineStr">
        <is>
          <t>VÄSTERNORRLANDS LÄN</t>
        </is>
      </c>
      <c r="E779" t="inlineStr">
        <is>
          <t>SUNDSVALL</t>
        </is>
      </c>
      <c r="G779" t="n">
        <v>2.3</v>
      </c>
      <c r="H779" t="n">
        <v>0</v>
      </c>
      <c r="I779" t="n">
        <v>0</v>
      </c>
      <c r="J779" t="n">
        <v>0</v>
      </c>
      <c r="K779" t="n">
        <v>0</v>
      </c>
      <c r="L779" t="n">
        <v>0</v>
      </c>
      <c r="M779" t="n">
        <v>0</v>
      </c>
      <c r="N779" t="n">
        <v>0</v>
      </c>
      <c r="O779" t="n">
        <v>0</v>
      </c>
      <c r="P779" t="n">
        <v>0</v>
      </c>
      <c r="Q779" t="n">
        <v>0</v>
      </c>
      <c r="R779" s="2" t="inlineStr"/>
    </row>
    <row r="780" ht="15" customHeight="1">
      <c r="A780" t="inlineStr">
        <is>
          <t>A 50203-2024</t>
        </is>
      </c>
      <c r="B780" s="1" t="n">
        <v>45600.49369212963</v>
      </c>
      <c r="C780" s="1" t="n">
        <v>45881</v>
      </c>
      <c r="D780" t="inlineStr">
        <is>
          <t>VÄSTERNORRLANDS LÄN</t>
        </is>
      </c>
      <c r="E780" t="inlineStr">
        <is>
          <t>SUNDSVALL</t>
        </is>
      </c>
      <c r="G780" t="n">
        <v>0.3</v>
      </c>
      <c r="H780" t="n">
        <v>0</v>
      </c>
      <c r="I780" t="n">
        <v>0</v>
      </c>
      <c r="J780" t="n">
        <v>0</v>
      </c>
      <c r="K780" t="n">
        <v>0</v>
      </c>
      <c r="L780" t="n">
        <v>0</v>
      </c>
      <c r="M780" t="n">
        <v>0</v>
      </c>
      <c r="N780" t="n">
        <v>0</v>
      </c>
      <c r="O780" t="n">
        <v>0</v>
      </c>
      <c r="P780" t="n">
        <v>0</v>
      </c>
      <c r="Q780" t="n">
        <v>0</v>
      </c>
      <c r="R780" s="2" t="inlineStr"/>
    </row>
    <row r="781" ht="15" customHeight="1">
      <c r="A781" t="inlineStr">
        <is>
          <t>A 29035-2023</t>
        </is>
      </c>
      <c r="B781" s="1" t="n">
        <v>45104</v>
      </c>
      <c r="C781" s="1" t="n">
        <v>45881</v>
      </c>
      <c r="D781" t="inlineStr">
        <is>
          <t>VÄSTERNORRLANDS LÄN</t>
        </is>
      </c>
      <c r="E781" t="inlineStr">
        <is>
          <t>SUNDSVALL</t>
        </is>
      </c>
      <c r="G781" t="n">
        <v>0.6</v>
      </c>
      <c r="H781" t="n">
        <v>0</v>
      </c>
      <c r="I781" t="n">
        <v>0</v>
      </c>
      <c r="J781" t="n">
        <v>0</v>
      </c>
      <c r="K781" t="n">
        <v>0</v>
      </c>
      <c r="L781" t="n">
        <v>0</v>
      </c>
      <c r="M781" t="n">
        <v>0</v>
      </c>
      <c r="N781" t="n">
        <v>0</v>
      </c>
      <c r="O781" t="n">
        <v>0</v>
      </c>
      <c r="P781" t="n">
        <v>0</v>
      </c>
      <c r="Q781" t="n">
        <v>0</v>
      </c>
      <c r="R781" s="2" t="inlineStr"/>
    </row>
    <row r="782" ht="15" customHeight="1">
      <c r="A782" t="inlineStr">
        <is>
          <t>A 38131-2023</t>
        </is>
      </c>
      <c r="B782" s="1" t="n">
        <v>45160</v>
      </c>
      <c r="C782" s="1" t="n">
        <v>45881</v>
      </c>
      <c r="D782" t="inlineStr">
        <is>
          <t>VÄSTERNORRLANDS LÄN</t>
        </is>
      </c>
      <c r="E782" t="inlineStr">
        <is>
          <t>SUNDSVALL</t>
        </is>
      </c>
      <c r="G782" t="n">
        <v>0.3</v>
      </c>
      <c r="H782" t="n">
        <v>0</v>
      </c>
      <c r="I782" t="n">
        <v>0</v>
      </c>
      <c r="J782" t="n">
        <v>0</v>
      </c>
      <c r="K782" t="n">
        <v>0</v>
      </c>
      <c r="L782" t="n">
        <v>0</v>
      </c>
      <c r="M782" t="n">
        <v>0</v>
      </c>
      <c r="N782" t="n">
        <v>0</v>
      </c>
      <c r="O782" t="n">
        <v>0</v>
      </c>
      <c r="P782" t="n">
        <v>0</v>
      </c>
      <c r="Q782" t="n">
        <v>0</v>
      </c>
      <c r="R782" s="2" t="inlineStr"/>
    </row>
    <row r="783" ht="15" customHeight="1">
      <c r="A783" t="inlineStr">
        <is>
          <t>A 1417-2023</t>
        </is>
      </c>
      <c r="B783" s="1" t="n">
        <v>44936</v>
      </c>
      <c r="C783" s="1" t="n">
        <v>45881</v>
      </c>
      <c r="D783" t="inlineStr">
        <is>
          <t>VÄSTERNORRLANDS LÄN</t>
        </is>
      </c>
      <c r="E783" t="inlineStr">
        <is>
          <t>SUNDSVALL</t>
        </is>
      </c>
      <c r="G783" t="n">
        <v>0.7</v>
      </c>
      <c r="H783" t="n">
        <v>0</v>
      </c>
      <c r="I783" t="n">
        <v>0</v>
      </c>
      <c r="J783" t="n">
        <v>0</v>
      </c>
      <c r="K783" t="n">
        <v>0</v>
      </c>
      <c r="L783" t="n">
        <v>0</v>
      </c>
      <c r="M783" t="n">
        <v>0</v>
      </c>
      <c r="N783" t="n">
        <v>0</v>
      </c>
      <c r="O783" t="n">
        <v>0</v>
      </c>
      <c r="P783" t="n">
        <v>0</v>
      </c>
      <c r="Q783" t="n">
        <v>0</v>
      </c>
      <c r="R783" s="2" t="inlineStr"/>
    </row>
    <row r="784" ht="15" customHeight="1">
      <c r="A784" t="inlineStr">
        <is>
          <t>A 28771-2024</t>
        </is>
      </c>
      <c r="B784" s="1" t="n">
        <v>45478</v>
      </c>
      <c r="C784" s="1" t="n">
        <v>45881</v>
      </c>
      <c r="D784" t="inlineStr">
        <is>
          <t>VÄSTERNORRLANDS LÄN</t>
        </is>
      </c>
      <c r="E784" t="inlineStr">
        <is>
          <t>SUNDSVALL</t>
        </is>
      </c>
      <c r="G784" t="n">
        <v>0.7</v>
      </c>
      <c r="H784" t="n">
        <v>0</v>
      </c>
      <c r="I784" t="n">
        <v>0</v>
      </c>
      <c r="J784" t="n">
        <v>0</v>
      </c>
      <c r="K784" t="n">
        <v>0</v>
      </c>
      <c r="L784" t="n">
        <v>0</v>
      </c>
      <c r="M784" t="n">
        <v>0</v>
      </c>
      <c r="N784" t="n">
        <v>0</v>
      </c>
      <c r="O784" t="n">
        <v>0</v>
      </c>
      <c r="P784" t="n">
        <v>0</v>
      </c>
      <c r="Q784" t="n">
        <v>0</v>
      </c>
      <c r="R784" s="2" t="inlineStr"/>
    </row>
    <row r="785" ht="15" customHeight="1">
      <c r="A785" t="inlineStr">
        <is>
          <t>A 7229-2024</t>
        </is>
      </c>
      <c r="B785" s="1" t="n">
        <v>45344</v>
      </c>
      <c r="C785" s="1" t="n">
        <v>45881</v>
      </c>
      <c r="D785" t="inlineStr">
        <is>
          <t>VÄSTERNORRLANDS LÄN</t>
        </is>
      </c>
      <c r="E785" t="inlineStr">
        <is>
          <t>SUNDSVALL</t>
        </is>
      </c>
      <c r="G785" t="n">
        <v>2.5</v>
      </c>
      <c r="H785" t="n">
        <v>0</v>
      </c>
      <c r="I785" t="n">
        <v>0</v>
      </c>
      <c r="J785" t="n">
        <v>0</v>
      </c>
      <c r="K785" t="n">
        <v>0</v>
      </c>
      <c r="L785" t="n">
        <v>0</v>
      </c>
      <c r="M785" t="n">
        <v>0</v>
      </c>
      <c r="N785" t="n">
        <v>0</v>
      </c>
      <c r="O785" t="n">
        <v>0</v>
      </c>
      <c r="P785" t="n">
        <v>0</v>
      </c>
      <c r="Q785" t="n">
        <v>0</v>
      </c>
      <c r="R785" s="2" t="inlineStr"/>
    </row>
    <row r="786" ht="15" customHeight="1">
      <c r="A786" t="inlineStr">
        <is>
          <t>A 48864-2021</t>
        </is>
      </c>
      <c r="B786" s="1" t="n">
        <v>44452.94085648148</v>
      </c>
      <c r="C786" s="1" t="n">
        <v>45881</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50405-2022</t>
        </is>
      </c>
      <c r="B787" s="1" t="n">
        <v>44861</v>
      </c>
      <c r="C787" s="1" t="n">
        <v>45881</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231-2024</t>
        </is>
      </c>
      <c r="B788" s="1" t="n">
        <v>45294</v>
      </c>
      <c r="C788" s="1" t="n">
        <v>45881</v>
      </c>
      <c r="D788" t="inlineStr">
        <is>
          <t>VÄSTERNORRLANDS LÄN</t>
        </is>
      </c>
      <c r="E788" t="inlineStr">
        <is>
          <t>SUNDSVALL</t>
        </is>
      </c>
      <c r="G788" t="n">
        <v>5.9</v>
      </c>
      <c r="H788" t="n">
        <v>0</v>
      </c>
      <c r="I788" t="n">
        <v>0</v>
      </c>
      <c r="J788" t="n">
        <v>0</v>
      </c>
      <c r="K788" t="n">
        <v>0</v>
      </c>
      <c r="L788" t="n">
        <v>0</v>
      </c>
      <c r="M788" t="n">
        <v>0</v>
      </c>
      <c r="N788" t="n">
        <v>0</v>
      </c>
      <c r="O788" t="n">
        <v>0</v>
      </c>
      <c r="P788" t="n">
        <v>0</v>
      </c>
      <c r="Q788" t="n">
        <v>0</v>
      </c>
      <c r="R788" s="2" t="inlineStr"/>
    </row>
    <row r="789" ht="15" customHeight="1">
      <c r="A789" t="inlineStr">
        <is>
          <t>A 37927-2023</t>
        </is>
      </c>
      <c r="B789" s="1" t="n">
        <v>45160.50259259259</v>
      </c>
      <c r="C789" s="1" t="n">
        <v>45881</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2585-2025</t>
        </is>
      </c>
      <c r="B790" s="1" t="n">
        <v>45674.68055555555</v>
      </c>
      <c r="C790" s="1" t="n">
        <v>45881</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12015-2022</t>
        </is>
      </c>
      <c r="B791" s="1" t="n">
        <v>44635.94351851852</v>
      </c>
      <c r="C791" s="1" t="n">
        <v>45881</v>
      </c>
      <c r="D791" t="inlineStr">
        <is>
          <t>VÄSTERNORRLANDS LÄN</t>
        </is>
      </c>
      <c r="E791" t="inlineStr">
        <is>
          <t>SUNDSVALL</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4583-2024</t>
        </is>
      </c>
      <c r="B792" s="1" t="n">
        <v>45327.92802083334</v>
      </c>
      <c r="C792" s="1" t="n">
        <v>45881</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23557-2024</t>
        </is>
      </c>
      <c r="B793" s="1" t="n">
        <v>45453.95444444445</v>
      </c>
      <c r="C793" s="1" t="n">
        <v>45881</v>
      </c>
      <c r="D793" t="inlineStr">
        <is>
          <t>VÄSTERNORRLANDS LÄN</t>
        </is>
      </c>
      <c r="E793" t="inlineStr">
        <is>
          <t>SUNDSVALL</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5650-2022</t>
        </is>
      </c>
      <c r="B794" s="1" t="n">
        <v>44595</v>
      </c>
      <c r="C794" s="1" t="n">
        <v>45881</v>
      </c>
      <c r="D794" t="inlineStr">
        <is>
          <t>VÄSTERNORRLANDS LÄN</t>
        </is>
      </c>
      <c r="E794" t="inlineStr">
        <is>
          <t>SUNDSVALL</t>
        </is>
      </c>
      <c r="G794" t="n">
        <v>1.3</v>
      </c>
      <c r="H794" t="n">
        <v>0</v>
      </c>
      <c r="I794" t="n">
        <v>0</v>
      </c>
      <c r="J794" t="n">
        <v>0</v>
      </c>
      <c r="K794" t="n">
        <v>0</v>
      </c>
      <c r="L794" t="n">
        <v>0</v>
      </c>
      <c r="M794" t="n">
        <v>0</v>
      </c>
      <c r="N794" t="n">
        <v>0</v>
      </c>
      <c r="O794" t="n">
        <v>0</v>
      </c>
      <c r="P794" t="n">
        <v>0</v>
      </c>
      <c r="Q794" t="n">
        <v>0</v>
      </c>
      <c r="R794" s="2" t="inlineStr"/>
    </row>
    <row r="795" ht="15" customHeight="1">
      <c r="A795" t="inlineStr">
        <is>
          <t>A 47030-2023</t>
        </is>
      </c>
      <c r="B795" s="1" t="n">
        <v>45196</v>
      </c>
      <c r="C795" s="1" t="n">
        <v>45881</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28784-2024</t>
        </is>
      </c>
      <c r="B796" s="1" t="n">
        <v>45478.60880787037</v>
      </c>
      <c r="C796" s="1" t="n">
        <v>45881</v>
      </c>
      <c r="D796" t="inlineStr">
        <is>
          <t>VÄSTERNORRLANDS LÄN</t>
        </is>
      </c>
      <c r="E796" t="inlineStr">
        <is>
          <t>SUNDSVALL</t>
        </is>
      </c>
      <c r="G796" t="n">
        <v>2.7</v>
      </c>
      <c r="H796" t="n">
        <v>0</v>
      </c>
      <c r="I796" t="n">
        <v>0</v>
      </c>
      <c r="J796" t="n">
        <v>0</v>
      </c>
      <c r="K796" t="n">
        <v>0</v>
      </c>
      <c r="L796" t="n">
        <v>0</v>
      </c>
      <c r="M796" t="n">
        <v>0</v>
      </c>
      <c r="N796" t="n">
        <v>0</v>
      </c>
      <c r="O796" t="n">
        <v>0</v>
      </c>
      <c r="P796" t="n">
        <v>0</v>
      </c>
      <c r="Q796" t="n">
        <v>0</v>
      </c>
      <c r="R796" s="2" t="inlineStr"/>
    </row>
    <row r="797" ht="15" customHeight="1">
      <c r="A797" t="inlineStr">
        <is>
          <t>A 28785-2024</t>
        </is>
      </c>
      <c r="B797" s="1" t="n">
        <v>45478</v>
      </c>
      <c r="C797" s="1" t="n">
        <v>45881</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40554-2020</t>
        </is>
      </c>
      <c r="B798" s="1" t="n">
        <v>44069</v>
      </c>
      <c r="C798" s="1" t="n">
        <v>45881</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63598-2020</t>
        </is>
      </c>
      <c r="B799" s="1" t="n">
        <v>44165</v>
      </c>
      <c r="C799" s="1" t="n">
        <v>45881</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52334-2022</t>
        </is>
      </c>
      <c r="B800" s="1" t="n">
        <v>44873</v>
      </c>
      <c r="C800" s="1" t="n">
        <v>45881</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20754-2024</t>
        </is>
      </c>
      <c r="B801" s="1" t="n">
        <v>45436</v>
      </c>
      <c r="C801" s="1" t="n">
        <v>45881</v>
      </c>
      <c r="D801" t="inlineStr">
        <is>
          <t>VÄSTERNORRLANDS LÄN</t>
        </is>
      </c>
      <c r="E801" t="inlineStr">
        <is>
          <t>SUNDSVALL</t>
        </is>
      </c>
      <c r="G801" t="n">
        <v>0.9</v>
      </c>
      <c r="H801" t="n">
        <v>0</v>
      </c>
      <c r="I801" t="n">
        <v>0</v>
      </c>
      <c r="J801" t="n">
        <v>0</v>
      </c>
      <c r="K801" t="n">
        <v>0</v>
      </c>
      <c r="L801" t="n">
        <v>0</v>
      </c>
      <c r="M801" t="n">
        <v>0</v>
      </c>
      <c r="N801" t="n">
        <v>0</v>
      </c>
      <c r="O801" t="n">
        <v>0</v>
      </c>
      <c r="P801" t="n">
        <v>0</v>
      </c>
      <c r="Q801" t="n">
        <v>0</v>
      </c>
      <c r="R801" s="2" t="inlineStr"/>
    </row>
    <row r="802" ht="15" customHeight="1">
      <c r="A802" t="inlineStr">
        <is>
          <t>A 58757-2024</t>
        </is>
      </c>
      <c r="B802" s="1" t="n">
        <v>45635.71940972222</v>
      </c>
      <c r="C802" s="1" t="n">
        <v>45881</v>
      </c>
      <c r="D802" t="inlineStr">
        <is>
          <t>VÄSTERNORRLANDS LÄN</t>
        </is>
      </c>
      <c r="E802" t="inlineStr">
        <is>
          <t>SUNDSVALL</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54789-2024</t>
        </is>
      </c>
      <c r="B803" s="1" t="n">
        <v>45618.4962962963</v>
      </c>
      <c r="C803" s="1" t="n">
        <v>45881</v>
      </c>
      <c r="D803" t="inlineStr">
        <is>
          <t>VÄSTERNORRLANDS LÄN</t>
        </is>
      </c>
      <c r="E803" t="inlineStr">
        <is>
          <t>SUNDSVALL</t>
        </is>
      </c>
      <c r="G803" t="n">
        <v>2.2</v>
      </c>
      <c r="H803" t="n">
        <v>0</v>
      </c>
      <c r="I803" t="n">
        <v>0</v>
      </c>
      <c r="J803" t="n">
        <v>0</v>
      </c>
      <c r="K803" t="n">
        <v>0</v>
      </c>
      <c r="L803" t="n">
        <v>0</v>
      </c>
      <c r="M803" t="n">
        <v>0</v>
      </c>
      <c r="N803" t="n">
        <v>0</v>
      </c>
      <c r="O803" t="n">
        <v>0</v>
      </c>
      <c r="P803" t="n">
        <v>0</v>
      </c>
      <c r="Q803" t="n">
        <v>0</v>
      </c>
      <c r="R803" s="2" t="inlineStr"/>
    </row>
    <row r="804" ht="15" customHeight="1">
      <c r="A804" t="inlineStr">
        <is>
          <t>A 9561-2024</t>
        </is>
      </c>
      <c r="B804" s="1" t="n">
        <v>45360</v>
      </c>
      <c r="C804" s="1" t="n">
        <v>45881</v>
      </c>
      <c r="D804" t="inlineStr">
        <is>
          <t>VÄSTERNORRLANDS LÄN</t>
        </is>
      </c>
      <c r="E804" t="inlineStr">
        <is>
          <t>SUNDSVALL</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11028-2025</t>
        </is>
      </c>
      <c r="B805" s="1" t="n">
        <v>45723.46983796296</v>
      </c>
      <c r="C805" s="1" t="n">
        <v>45881</v>
      </c>
      <c r="D805" t="inlineStr">
        <is>
          <t>VÄSTERNORRLANDS LÄN</t>
        </is>
      </c>
      <c r="E805" t="inlineStr">
        <is>
          <t>SUNDSVALL</t>
        </is>
      </c>
      <c r="G805" t="n">
        <v>2.9</v>
      </c>
      <c r="H805" t="n">
        <v>0</v>
      </c>
      <c r="I805" t="n">
        <v>0</v>
      </c>
      <c r="J805" t="n">
        <v>0</v>
      </c>
      <c r="K805" t="n">
        <v>0</v>
      </c>
      <c r="L805" t="n">
        <v>0</v>
      </c>
      <c r="M805" t="n">
        <v>0</v>
      </c>
      <c r="N805" t="n">
        <v>0</v>
      </c>
      <c r="O805" t="n">
        <v>0</v>
      </c>
      <c r="P805" t="n">
        <v>0</v>
      </c>
      <c r="Q805" t="n">
        <v>0</v>
      </c>
      <c r="R805" s="2" t="inlineStr"/>
    </row>
    <row r="806" ht="15" customHeight="1">
      <c r="A806" t="inlineStr">
        <is>
          <t>A 54560-2022</t>
        </is>
      </c>
      <c r="B806" s="1" t="n">
        <v>44882</v>
      </c>
      <c r="C806" s="1" t="n">
        <v>45881</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58967-2023</t>
        </is>
      </c>
      <c r="B807" s="1" t="n">
        <v>45250</v>
      </c>
      <c r="C807" s="1" t="n">
        <v>45881</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53949-2022</t>
        </is>
      </c>
      <c r="B808" s="1" t="n">
        <v>44880</v>
      </c>
      <c r="C808" s="1" t="n">
        <v>45881</v>
      </c>
      <c r="D808" t="inlineStr">
        <is>
          <t>VÄSTERNORRLANDS LÄN</t>
        </is>
      </c>
      <c r="E808" t="inlineStr">
        <is>
          <t>SUNDSVALL</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46970-2022</t>
        </is>
      </c>
      <c r="B809" s="1" t="n">
        <v>44851.95304398148</v>
      </c>
      <c r="C809" s="1" t="n">
        <v>45881</v>
      </c>
      <c r="D809" t="inlineStr">
        <is>
          <t>VÄSTERNORRLANDS LÄN</t>
        </is>
      </c>
      <c r="E809" t="inlineStr">
        <is>
          <t>SUNDSVALL</t>
        </is>
      </c>
      <c r="F809" t="inlineStr">
        <is>
          <t>SCA</t>
        </is>
      </c>
      <c r="G809" t="n">
        <v>7.4</v>
      </c>
      <c r="H809" t="n">
        <v>0</v>
      </c>
      <c r="I809" t="n">
        <v>0</v>
      </c>
      <c r="J809" t="n">
        <v>0</v>
      </c>
      <c r="K809" t="n">
        <v>0</v>
      </c>
      <c r="L809" t="n">
        <v>0</v>
      </c>
      <c r="M809" t="n">
        <v>0</v>
      </c>
      <c r="N809" t="n">
        <v>0</v>
      </c>
      <c r="O809" t="n">
        <v>0</v>
      </c>
      <c r="P809" t="n">
        <v>0</v>
      </c>
      <c r="Q809" t="n">
        <v>0</v>
      </c>
      <c r="R809" s="2" t="inlineStr"/>
    </row>
    <row r="810" ht="15" customHeight="1">
      <c r="A810" t="inlineStr">
        <is>
          <t>A 63665-2021</t>
        </is>
      </c>
      <c r="B810" s="1" t="n">
        <v>44508</v>
      </c>
      <c r="C810" s="1" t="n">
        <v>45881</v>
      </c>
      <c r="D810" t="inlineStr">
        <is>
          <t>VÄSTERNORRLANDS LÄN</t>
        </is>
      </c>
      <c r="E810" t="inlineStr">
        <is>
          <t>SUNDSVALL</t>
        </is>
      </c>
      <c r="G810" t="n">
        <v>0.7</v>
      </c>
      <c r="H810" t="n">
        <v>0</v>
      </c>
      <c r="I810" t="n">
        <v>0</v>
      </c>
      <c r="J810" t="n">
        <v>0</v>
      </c>
      <c r="K810" t="n">
        <v>0</v>
      </c>
      <c r="L810" t="n">
        <v>0</v>
      </c>
      <c r="M810" t="n">
        <v>0</v>
      </c>
      <c r="N810" t="n">
        <v>0</v>
      </c>
      <c r="O810" t="n">
        <v>0</v>
      </c>
      <c r="P810" t="n">
        <v>0</v>
      </c>
      <c r="Q810" t="n">
        <v>0</v>
      </c>
      <c r="R810" s="2" t="inlineStr"/>
    </row>
    <row r="811" ht="15" customHeight="1">
      <c r="A811" t="inlineStr">
        <is>
          <t>A 19334-2024</t>
        </is>
      </c>
      <c r="B811" s="1" t="n">
        <v>45428.97018518519</v>
      </c>
      <c r="C811" s="1" t="n">
        <v>45881</v>
      </c>
      <c r="D811" t="inlineStr">
        <is>
          <t>VÄSTERNORRLANDS LÄN</t>
        </is>
      </c>
      <c r="E811" t="inlineStr">
        <is>
          <t>SUNDSVALL</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64649-2021</t>
        </is>
      </c>
      <c r="B812" s="1" t="n">
        <v>44511.94659722222</v>
      </c>
      <c r="C812" s="1" t="n">
        <v>45881</v>
      </c>
      <c r="D812" t="inlineStr">
        <is>
          <t>VÄSTERNORRLANDS LÄN</t>
        </is>
      </c>
      <c r="E812" t="inlineStr">
        <is>
          <t>SUNDSVALL</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57163-2024</t>
        </is>
      </c>
      <c r="B813" s="1" t="n">
        <v>45629.41179398148</v>
      </c>
      <c r="C813" s="1" t="n">
        <v>45881</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12986-2025</t>
        </is>
      </c>
      <c r="B814" s="1" t="n">
        <v>45734.46916666667</v>
      </c>
      <c r="C814" s="1" t="n">
        <v>45881</v>
      </c>
      <c r="D814" t="inlineStr">
        <is>
          <t>VÄSTERNORRLANDS LÄN</t>
        </is>
      </c>
      <c r="E814" t="inlineStr">
        <is>
          <t>SUNDSVALL</t>
        </is>
      </c>
      <c r="F814" t="inlineStr">
        <is>
          <t>SCA</t>
        </is>
      </c>
      <c r="G814" t="n">
        <v>29.3</v>
      </c>
      <c r="H814" t="n">
        <v>0</v>
      </c>
      <c r="I814" t="n">
        <v>0</v>
      </c>
      <c r="J814" t="n">
        <v>0</v>
      </c>
      <c r="K814" t="n">
        <v>0</v>
      </c>
      <c r="L814" t="n">
        <v>0</v>
      </c>
      <c r="M814" t="n">
        <v>0</v>
      </c>
      <c r="N814" t="n">
        <v>0</v>
      </c>
      <c r="O814" t="n">
        <v>0</v>
      </c>
      <c r="P814" t="n">
        <v>0</v>
      </c>
      <c r="Q814" t="n">
        <v>0</v>
      </c>
      <c r="R814" s="2" t="inlineStr"/>
    </row>
    <row r="815" ht="15" customHeight="1">
      <c r="A815" t="inlineStr">
        <is>
          <t>A 58720-2024</t>
        </is>
      </c>
      <c r="B815" s="1" t="n">
        <v>45635.66298611111</v>
      </c>
      <c r="C815" s="1" t="n">
        <v>45881</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2330-2022</t>
        </is>
      </c>
      <c r="B816" s="1" t="n">
        <v>44578</v>
      </c>
      <c r="C816" s="1" t="n">
        <v>45881</v>
      </c>
      <c r="D816" t="inlineStr">
        <is>
          <t>VÄSTERNORRLANDS LÄN</t>
        </is>
      </c>
      <c r="E816" t="inlineStr">
        <is>
          <t>SUNDSVALL</t>
        </is>
      </c>
      <c r="G816" t="n">
        <v>6</v>
      </c>
      <c r="H816" t="n">
        <v>0</v>
      </c>
      <c r="I816" t="n">
        <v>0</v>
      </c>
      <c r="J816" t="n">
        <v>0</v>
      </c>
      <c r="K816" t="n">
        <v>0</v>
      </c>
      <c r="L816" t="n">
        <v>0</v>
      </c>
      <c r="M816" t="n">
        <v>0</v>
      </c>
      <c r="N816" t="n">
        <v>0</v>
      </c>
      <c r="O816" t="n">
        <v>0</v>
      </c>
      <c r="P816" t="n">
        <v>0</v>
      </c>
      <c r="Q816" t="n">
        <v>0</v>
      </c>
      <c r="R816" s="2" t="inlineStr"/>
    </row>
    <row r="817" ht="15" customHeight="1">
      <c r="A817" t="inlineStr">
        <is>
          <t>A 21144-2023</t>
        </is>
      </c>
      <c r="B817" s="1" t="n">
        <v>45057</v>
      </c>
      <c r="C817" s="1" t="n">
        <v>45881</v>
      </c>
      <c r="D817" t="inlineStr">
        <is>
          <t>VÄSTERNORRLANDS LÄN</t>
        </is>
      </c>
      <c r="E817" t="inlineStr">
        <is>
          <t>SUNDSVALL</t>
        </is>
      </c>
      <c r="G817" t="n">
        <v>0.9</v>
      </c>
      <c r="H817" t="n">
        <v>0</v>
      </c>
      <c r="I817" t="n">
        <v>0</v>
      </c>
      <c r="J817" t="n">
        <v>0</v>
      </c>
      <c r="K817" t="n">
        <v>0</v>
      </c>
      <c r="L817" t="n">
        <v>0</v>
      </c>
      <c r="M817" t="n">
        <v>0</v>
      </c>
      <c r="N817" t="n">
        <v>0</v>
      </c>
      <c r="O817" t="n">
        <v>0</v>
      </c>
      <c r="P817" t="n">
        <v>0</v>
      </c>
      <c r="Q817" t="n">
        <v>0</v>
      </c>
      <c r="R817" s="2" t="inlineStr"/>
    </row>
    <row r="818" ht="15" customHeight="1">
      <c r="A818" t="inlineStr">
        <is>
          <t>A 17490-2025</t>
        </is>
      </c>
      <c r="B818" s="1" t="n">
        <v>45757.51084490741</v>
      </c>
      <c r="C818" s="1" t="n">
        <v>45881</v>
      </c>
      <c r="D818" t="inlineStr">
        <is>
          <t>VÄSTERNORRLANDS LÄN</t>
        </is>
      </c>
      <c r="E818" t="inlineStr">
        <is>
          <t>SUNDSVALL</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8888-2024</t>
        </is>
      </c>
      <c r="B819" s="1" t="n">
        <v>45357</v>
      </c>
      <c r="C819" s="1" t="n">
        <v>45881</v>
      </c>
      <c r="D819" t="inlineStr">
        <is>
          <t>VÄSTERNORRLANDS LÄN</t>
        </is>
      </c>
      <c r="E819" t="inlineStr">
        <is>
          <t>SUNDSVALL</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6228-2023</t>
        </is>
      </c>
      <c r="B820" s="1" t="n">
        <v>44964</v>
      </c>
      <c r="C820" s="1" t="n">
        <v>45881</v>
      </c>
      <c r="D820" t="inlineStr">
        <is>
          <t>VÄSTERNORRLANDS LÄN</t>
        </is>
      </c>
      <c r="E820" t="inlineStr">
        <is>
          <t>SUNDSVALL</t>
        </is>
      </c>
      <c r="G820" t="n">
        <v>6.5</v>
      </c>
      <c r="H820" t="n">
        <v>0</v>
      </c>
      <c r="I820" t="n">
        <v>0</v>
      </c>
      <c r="J820" t="n">
        <v>0</v>
      </c>
      <c r="K820" t="n">
        <v>0</v>
      </c>
      <c r="L820" t="n">
        <v>0</v>
      </c>
      <c r="M820" t="n">
        <v>0</v>
      </c>
      <c r="N820" t="n">
        <v>0</v>
      </c>
      <c r="O820" t="n">
        <v>0</v>
      </c>
      <c r="P820" t="n">
        <v>0</v>
      </c>
      <c r="Q820" t="n">
        <v>0</v>
      </c>
      <c r="R820" s="2" t="inlineStr"/>
    </row>
    <row r="821" ht="15" customHeight="1">
      <c r="A821" t="inlineStr">
        <is>
          <t>A 57007-2022</t>
        </is>
      </c>
      <c r="B821" s="1" t="n">
        <v>44894.9578125</v>
      </c>
      <c r="C821" s="1" t="n">
        <v>45881</v>
      </c>
      <c r="D821" t="inlineStr">
        <is>
          <t>VÄSTERNORRLANDS LÄN</t>
        </is>
      </c>
      <c r="E821" t="inlineStr">
        <is>
          <t>SUNDSVALL</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50205-2024</t>
        </is>
      </c>
      <c r="B822" s="1" t="n">
        <v>45600.49386574074</v>
      </c>
      <c r="C822" s="1" t="n">
        <v>45881</v>
      </c>
      <c r="D822" t="inlineStr">
        <is>
          <t>VÄSTERNORRLANDS LÄN</t>
        </is>
      </c>
      <c r="E822" t="inlineStr">
        <is>
          <t>SUNDSVALL</t>
        </is>
      </c>
      <c r="G822" t="n">
        <v>4.5</v>
      </c>
      <c r="H822" t="n">
        <v>0</v>
      </c>
      <c r="I822" t="n">
        <v>0</v>
      </c>
      <c r="J822" t="n">
        <v>0</v>
      </c>
      <c r="K822" t="n">
        <v>0</v>
      </c>
      <c r="L822" t="n">
        <v>0</v>
      </c>
      <c r="M822" t="n">
        <v>0</v>
      </c>
      <c r="N822" t="n">
        <v>0</v>
      </c>
      <c r="O822" t="n">
        <v>0</v>
      </c>
      <c r="P822" t="n">
        <v>0</v>
      </c>
      <c r="Q822" t="n">
        <v>0</v>
      </c>
      <c r="R822" s="2" t="inlineStr"/>
    </row>
    <row r="823" ht="15" customHeight="1">
      <c r="A823" t="inlineStr">
        <is>
          <t>A 54052-2023</t>
        </is>
      </c>
      <c r="B823" s="1" t="n">
        <v>45231.96819444445</v>
      </c>
      <c r="C823" s="1" t="n">
        <v>45881</v>
      </c>
      <c r="D823" t="inlineStr">
        <is>
          <t>VÄSTERNORRLANDS LÄN</t>
        </is>
      </c>
      <c r="E823" t="inlineStr">
        <is>
          <t>SUNDSVALL</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54059-2023</t>
        </is>
      </c>
      <c r="B824" s="1" t="n">
        <v>45231.96899305555</v>
      </c>
      <c r="C824" s="1" t="n">
        <v>45881</v>
      </c>
      <c r="D824" t="inlineStr">
        <is>
          <t>VÄSTERNORRLANDS LÄN</t>
        </is>
      </c>
      <c r="E824" t="inlineStr">
        <is>
          <t>SUNDSVALL</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57521-2024</t>
        </is>
      </c>
      <c r="B825" s="1" t="n">
        <v>45629</v>
      </c>
      <c r="C825" s="1" t="n">
        <v>45881</v>
      </c>
      <c r="D825" t="inlineStr">
        <is>
          <t>VÄSTERNORRLANDS LÄN</t>
        </is>
      </c>
      <c r="E825" t="inlineStr">
        <is>
          <t>SUNDSVALL</t>
        </is>
      </c>
      <c r="G825" t="n">
        <v>2.1</v>
      </c>
      <c r="H825" t="n">
        <v>0</v>
      </c>
      <c r="I825" t="n">
        <v>0</v>
      </c>
      <c r="J825" t="n">
        <v>0</v>
      </c>
      <c r="K825" t="n">
        <v>0</v>
      </c>
      <c r="L825" t="n">
        <v>0</v>
      </c>
      <c r="M825" t="n">
        <v>0</v>
      </c>
      <c r="N825" t="n">
        <v>0</v>
      </c>
      <c r="O825" t="n">
        <v>0</v>
      </c>
      <c r="P825" t="n">
        <v>0</v>
      </c>
      <c r="Q825" t="n">
        <v>0</v>
      </c>
      <c r="R825" s="2" t="inlineStr"/>
    </row>
    <row r="826" ht="15" customHeight="1">
      <c r="A826" t="inlineStr">
        <is>
          <t>A 2785-2025</t>
        </is>
      </c>
      <c r="B826" s="1" t="n">
        <v>45677</v>
      </c>
      <c r="C826" s="1" t="n">
        <v>45881</v>
      </c>
      <c r="D826" t="inlineStr">
        <is>
          <t>VÄSTERNORRLANDS LÄN</t>
        </is>
      </c>
      <c r="E826" t="inlineStr">
        <is>
          <t>SUNDSVALL</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3944-2024</t>
        </is>
      </c>
      <c r="B827" s="1" t="n">
        <v>45322</v>
      </c>
      <c r="C827" s="1" t="n">
        <v>45881</v>
      </c>
      <c r="D827" t="inlineStr">
        <is>
          <t>VÄSTERNORRLANDS LÄN</t>
        </is>
      </c>
      <c r="E827" t="inlineStr">
        <is>
          <t>SUNDSVALL</t>
        </is>
      </c>
      <c r="G827" t="n">
        <v>0.3</v>
      </c>
      <c r="H827" t="n">
        <v>0</v>
      </c>
      <c r="I827" t="n">
        <v>0</v>
      </c>
      <c r="J827" t="n">
        <v>0</v>
      </c>
      <c r="K827" t="n">
        <v>0</v>
      </c>
      <c r="L827" t="n">
        <v>0</v>
      </c>
      <c r="M827" t="n">
        <v>0</v>
      </c>
      <c r="N827" t="n">
        <v>0</v>
      </c>
      <c r="O827" t="n">
        <v>0</v>
      </c>
      <c r="P827" t="n">
        <v>0</v>
      </c>
      <c r="Q827" t="n">
        <v>0</v>
      </c>
      <c r="R827" s="2" t="inlineStr"/>
    </row>
    <row r="828" ht="15" customHeight="1">
      <c r="A828" t="inlineStr">
        <is>
          <t>A 47280-2023</t>
        </is>
      </c>
      <c r="B828" s="1" t="n">
        <v>45196</v>
      </c>
      <c r="C828" s="1" t="n">
        <v>45881</v>
      </c>
      <c r="D828" t="inlineStr">
        <is>
          <t>VÄSTERNORRLANDS LÄN</t>
        </is>
      </c>
      <c r="E828" t="inlineStr">
        <is>
          <t>SUNDSVALL</t>
        </is>
      </c>
      <c r="G828" t="n">
        <v>1.5</v>
      </c>
      <c r="H828" t="n">
        <v>0</v>
      </c>
      <c r="I828" t="n">
        <v>0</v>
      </c>
      <c r="J828" t="n">
        <v>0</v>
      </c>
      <c r="K828" t="n">
        <v>0</v>
      </c>
      <c r="L828" t="n">
        <v>0</v>
      </c>
      <c r="M828" t="n">
        <v>0</v>
      </c>
      <c r="N828" t="n">
        <v>0</v>
      </c>
      <c r="O828" t="n">
        <v>0</v>
      </c>
      <c r="P828" t="n">
        <v>0</v>
      </c>
      <c r="Q828" t="n">
        <v>0</v>
      </c>
      <c r="R828" s="2" t="inlineStr"/>
    </row>
    <row r="829" ht="15" customHeight="1">
      <c r="A829" t="inlineStr">
        <is>
          <t>A 20660-2021</t>
        </is>
      </c>
      <c r="B829" s="1" t="n">
        <v>44316.43309027778</v>
      </c>
      <c r="C829" s="1" t="n">
        <v>45881</v>
      </c>
      <c r="D829" t="inlineStr">
        <is>
          <t>VÄSTERNORRLANDS LÄN</t>
        </is>
      </c>
      <c r="E829" t="inlineStr">
        <is>
          <t>SUNDSVALL</t>
        </is>
      </c>
      <c r="G829" t="n">
        <v>1.7</v>
      </c>
      <c r="H829" t="n">
        <v>0</v>
      </c>
      <c r="I829" t="n">
        <v>0</v>
      </c>
      <c r="J829" t="n">
        <v>0</v>
      </c>
      <c r="K829" t="n">
        <v>0</v>
      </c>
      <c r="L829" t="n">
        <v>0</v>
      </c>
      <c r="M829" t="n">
        <v>0</v>
      </c>
      <c r="N829" t="n">
        <v>0</v>
      </c>
      <c r="O829" t="n">
        <v>0</v>
      </c>
      <c r="P829" t="n">
        <v>0</v>
      </c>
      <c r="Q829" t="n">
        <v>0</v>
      </c>
      <c r="R829" s="2" t="inlineStr"/>
    </row>
    <row r="830" ht="15" customHeight="1">
      <c r="A830" t="inlineStr">
        <is>
          <t>A 15551-2025</t>
        </is>
      </c>
      <c r="B830" s="1" t="n">
        <v>45747.67410879629</v>
      </c>
      <c r="C830" s="1" t="n">
        <v>45881</v>
      </c>
      <c r="D830" t="inlineStr">
        <is>
          <t>VÄSTERNORRLANDS LÄN</t>
        </is>
      </c>
      <c r="E830" t="inlineStr">
        <is>
          <t>SUNDSVALL</t>
        </is>
      </c>
      <c r="G830" t="n">
        <v>2.3</v>
      </c>
      <c r="H830" t="n">
        <v>0</v>
      </c>
      <c r="I830" t="n">
        <v>0</v>
      </c>
      <c r="J830" t="n">
        <v>0</v>
      </c>
      <c r="K830" t="n">
        <v>0</v>
      </c>
      <c r="L830" t="n">
        <v>0</v>
      </c>
      <c r="M830" t="n">
        <v>0</v>
      </c>
      <c r="N830" t="n">
        <v>0</v>
      </c>
      <c r="O830" t="n">
        <v>0</v>
      </c>
      <c r="P830" t="n">
        <v>0</v>
      </c>
      <c r="Q830" t="n">
        <v>0</v>
      </c>
      <c r="R830" s="2" t="inlineStr"/>
    </row>
    <row r="831" ht="15" customHeight="1">
      <c r="A831" t="inlineStr">
        <is>
          <t>A 19091-2025</t>
        </is>
      </c>
      <c r="B831" s="1" t="n">
        <v>45767.47315972222</v>
      </c>
      <c r="C831" s="1" t="n">
        <v>45881</v>
      </c>
      <c r="D831" t="inlineStr">
        <is>
          <t>VÄSTERNORRLANDS LÄN</t>
        </is>
      </c>
      <c r="E831" t="inlineStr">
        <is>
          <t>SUNDSVALL</t>
        </is>
      </c>
      <c r="G831" t="n">
        <v>3.5</v>
      </c>
      <c r="H831" t="n">
        <v>0</v>
      </c>
      <c r="I831" t="n">
        <v>0</v>
      </c>
      <c r="J831" t="n">
        <v>0</v>
      </c>
      <c r="K831" t="n">
        <v>0</v>
      </c>
      <c r="L831" t="n">
        <v>0</v>
      </c>
      <c r="M831" t="n">
        <v>0</v>
      </c>
      <c r="N831" t="n">
        <v>0</v>
      </c>
      <c r="O831" t="n">
        <v>0</v>
      </c>
      <c r="P831" t="n">
        <v>0</v>
      </c>
      <c r="Q831" t="n">
        <v>0</v>
      </c>
      <c r="R831" s="2" t="inlineStr"/>
    </row>
    <row r="832" ht="15" customHeight="1">
      <c r="A832" t="inlineStr">
        <is>
          <t>A 7939-2025</t>
        </is>
      </c>
      <c r="B832" s="1" t="n">
        <v>45707.40217592593</v>
      </c>
      <c r="C832" s="1" t="n">
        <v>45881</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7959-2025</t>
        </is>
      </c>
      <c r="B833" s="1" t="n">
        <v>45707.43788194445</v>
      </c>
      <c r="C833" s="1" t="n">
        <v>45881</v>
      </c>
      <c r="D833" t="inlineStr">
        <is>
          <t>VÄSTERNORRLANDS LÄN</t>
        </is>
      </c>
      <c r="E833" t="inlineStr">
        <is>
          <t>SUNDSVALL</t>
        </is>
      </c>
      <c r="G833" t="n">
        <v>3.5</v>
      </c>
      <c r="H833" t="n">
        <v>0</v>
      </c>
      <c r="I833" t="n">
        <v>0</v>
      </c>
      <c r="J833" t="n">
        <v>0</v>
      </c>
      <c r="K833" t="n">
        <v>0</v>
      </c>
      <c r="L833" t="n">
        <v>0</v>
      </c>
      <c r="M833" t="n">
        <v>0</v>
      </c>
      <c r="N833" t="n">
        <v>0</v>
      </c>
      <c r="O833" t="n">
        <v>0</v>
      </c>
      <c r="P833" t="n">
        <v>0</v>
      </c>
      <c r="Q833" t="n">
        <v>0</v>
      </c>
      <c r="R833" s="2" t="inlineStr"/>
    </row>
    <row r="834" ht="15" customHeight="1">
      <c r="A834" t="inlineStr">
        <is>
          <t>A 7960-2025</t>
        </is>
      </c>
      <c r="B834" s="1" t="n">
        <v>45707.44020833333</v>
      </c>
      <c r="C834" s="1" t="n">
        <v>45881</v>
      </c>
      <c r="D834" t="inlineStr">
        <is>
          <t>VÄSTERNORRLANDS LÄN</t>
        </is>
      </c>
      <c r="E834" t="inlineStr">
        <is>
          <t>SUNDSVALL</t>
        </is>
      </c>
      <c r="G834" t="n">
        <v>2.4</v>
      </c>
      <c r="H834" t="n">
        <v>0</v>
      </c>
      <c r="I834" t="n">
        <v>0</v>
      </c>
      <c r="J834" t="n">
        <v>0</v>
      </c>
      <c r="K834" t="n">
        <v>0</v>
      </c>
      <c r="L834" t="n">
        <v>0</v>
      </c>
      <c r="M834" t="n">
        <v>0</v>
      </c>
      <c r="N834" t="n">
        <v>0</v>
      </c>
      <c r="O834" t="n">
        <v>0</v>
      </c>
      <c r="P834" t="n">
        <v>0</v>
      </c>
      <c r="Q834" t="n">
        <v>0</v>
      </c>
      <c r="R834" s="2" t="inlineStr"/>
    </row>
    <row r="835" ht="15" customHeight="1">
      <c r="A835" t="inlineStr">
        <is>
          <t>A 7962-2025</t>
        </is>
      </c>
      <c r="B835" s="1" t="n">
        <v>45707.44831018519</v>
      </c>
      <c r="C835" s="1" t="n">
        <v>45881</v>
      </c>
      <c r="D835" t="inlineStr">
        <is>
          <t>VÄSTERNORRLANDS LÄN</t>
        </is>
      </c>
      <c r="E835" t="inlineStr">
        <is>
          <t>SUNDSVALL</t>
        </is>
      </c>
      <c r="G835" t="n">
        <v>2.2</v>
      </c>
      <c r="H835" t="n">
        <v>0</v>
      </c>
      <c r="I835" t="n">
        <v>0</v>
      </c>
      <c r="J835" t="n">
        <v>0</v>
      </c>
      <c r="K835" t="n">
        <v>0</v>
      </c>
      <c r="L835" t="n">
        <v>0</v>
      </c>
      <c r="M835" t="n">
        <v>0</v>
      </c>
      <c r="N835" t="n">
        <v>0</v>
      </c>
      <c r="O835" t="n">
        <v>0</v>
      </c>
      <c r="P835" t="n">
        <v>0</v>
      </c>
      <c r="Q835" t="n">
        <v>0</v>
      </c>
      <c r="R835" s="2" t="inlineStr"/>
    </row>
    <row r="836" ht="15" customHeight="1">
      <c r="A836" t="inlineStr">
        <is>
          <t>A 7967-2025</t>
        </is>
      </c>
      <c r="B836" s="1" t="n">
        <v>45707.45425925926</v>
      </c>
      <c r="C836" s="1" t="n">
        <v>45881</v>
      </c>
      <c r="D836" t="inlineStr">
        <is>
          <t>VÄSTERNORRLANDS LÄN</t>
        </is>
      </c>
      <c r="E836" t="inlineStr">
        <is>
          <t>SUNDSVALL</t>
        </is>
      </c>
      <c r="G836" t="n">
        <v>4.7</v>
      </c>
      <c r="H836" t="n">
        <v>0</v>
      </c>
      <c r="I836" t="n">
        <v>0</v>
      </c>
      <c r="J836" t="n">
        <v>0</v>
      </c>
      <c r="K836" t="n">
        <v>0</v>
      </c>
      <c r="L836" t="n">
        <v>0</v>
      </c>
      <c r="M836" t="n">
        <v>0</v>
      </c>
      <c r="N836" t="n">
        <v>0</v>
      </c>
      <c r="O836" t="n">
        <v>0</v>
      </c>
      <c r="P836" t="n">
        <v>0</v>
      </c>
      <c r="Q836" t="n">
        <v>0</v>
      </c>
      <c r="R836" s="2" t="inlineStr"/>
    </row>
    <row r="837" ht="15" customHeight="1">
      <c r="A837" t="inlineStr">
        <is>
          <t>A 41753-2024</t>
        </is>
      </c>
      <c r="B837" s="1" t="n">
        <v>45561.34413194445</v>
      </c>
      <c r="C837" s="1" t="n">
        <v>45881</v>
      </c>
      <c r="D837" t="inlineStr">
        <is>
          <t>VÄSTERNORRLANDS LÄN</t>
        </is>
      </c>
      <c r="E837" t="inlineStr">
        <is>
          <t>SUNDSVALL</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54799-2024</t>
        </is>
      </c>
      <c r="B838" s="1" t="n">
        <v>45618.50144675926</v>
      </c>
      <c r="C838" s="1" t="n">
        <v>45881</v>
      </c>
      <c r="D838" t="inlineStr">
        <is>
          <t>VÄSTERNORRLANDS LÄN</t>
        </is>
      </c>
      <c r="E838" t="inlineStr">
        <is>
          <t>SUNDSVALL</t>
        </is>
      </c>
      <c r="G838" t="n">
        <v>0.9</v>
      </c>
      <c r="H838" t="n">
        <v>0</v>
      </c>
      <c r="I838" t="n">
        <v>0</v>
      </c>
      <c r="J838" t="n">
        <v>0</v>
      </c>
      <c r="K838" t="n">
        <v>0</v>
      </c>
      <c r="L838" t="n">
        <v>0</v>
      </c>
      <c r="M838" t="n">
        <v>0</v>
      </c>
      <c r="N838" t="n">
        <v>0</v>
      </c>
      <c r="O838" t="n">
        <v>0</v>
      </c>
      <c r="P838" t="n">
        <v>0</v>
      </c>
      <c r="Q838" t="n">
        <v>0</v>
      </c>
      <c r="R838" s="2" t="inlineStr"/>
    </row>
    <row r="839" ht="15" customHeight="1">
      <c r="A839" t="inlineStr">
        <is>
          <t>A 54801-2024</t>
        </is>
      </c>
      <c r="B839" s="1" t="n">
        <v>45618.50481481481</v>
      </c>
      <c r="C839" s="1" t="n">
        <v>45881</v>
      </c>
      <c r="D839" t="inlineStr">
        <is>
          <t>VÄSTERNORRLANDS LÄN</t>
        </is>
      </c>
      <c r="E839" t="inlineStr">
        <is>
          <t>SUNDSVALL</t>
        </is>
      </c>
      <c r="G839" t="n">
        <v>0.9</v>
      </c>
      <c r="H839" t="n">
        <v>0</v>
      </c>
      <c r="I839" t="n">
        <v>0</v>
      </c>
      <c r="J839" t="n">
        <v>0</v>
      </c>
      <c r="K839" t="n">
        <v>0</v>
      </c>
      <c r="L839" t="n">
        <v>0</v>
      </c>
      <c r="M839" t="n">
        <v>0</v>
      </c>
      <c r="N839" t="n">
        <v>0</v>
      </c>
      <c r="O839" t="n">
        <v>0</v>
      </c>
      <c r="P839" t="n">
        <v>0</v>
      </c>
      <c r="Q839" t="n">
        <v>0</v>
      </c>
      <c r="R839" s="2" t="inlineStr"/>
    </row>
    <row r="840" ht="15" customHeight="1">
      <c r="A840" t="inlineStr">
        <is>
          <t>A 59335-2022</t>
        </is>
      </c>
      <c r="B840" s="1" t="n">
        <v>44904.658125</v>
      </c>
      <c r="C840" s="1" t="n">
        <v>45881</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26229-2024</t>
        </is>
      </c>
      <c r="B841" s="1" t="n">
        <v>45468.6143287037</v>
      </c>
      <c r="C841" s="1" t="n">
        <v>45881</v>
      </c>
      <c r="D841" t="inlineStr">
        <is>
          <t>VÄSTERNORRLANDS LÄN</t>
        </is>
      </c>
      <c r="E841" t="inlineStr">
        <is>
          <t>SUNDSVALL</t>
        </is>
      </c>
      <c r="G841" t="n">
        <v>3.2</v>
      </c>
      <c r="H841" t="n">
        <v>0</v>
      </c>
      <c r="I841" t="n">
        <v>0</v>
      </c>
      <c r="J841" t="n">
        <v>0</v>
      </c>
      <c r="K841" t="n">
        <v>0</v>
      </c>
      <c r="L841" t="n">
        <v>0</v>
      </c>
      <c r="M841" t="n">
        <v>0</v>
      </c>
      <c r="N841" t="n">
        <v>0</v>
      </c>
      <c r="O841" t="n">
        <v>0</v>
      </c>
      <c r="P841" t="n">
        <v>0</v>
      </c>
      <c r="Q841" t="n">
        <v>0</v>
      </c>
      <c r="R841" s="2" t="inlineStr"/>
    </row>
    <row r="842" ht="15" customHeight="1">
      <c r="A842" t="inlineStr">
        <is>
          <t>A 32204-2023</t>
        </is>
      </c>
      <c r="B842" s="1" t="n">
        <v>45119.92628472222</v>
      </c>
      <c r="C842" s="1" t="n">
        <v>45881</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10716-2023</t>
        </is>
      </c>
      <c r="B843" s="1" t="n">
        <v>44988.64170138889</v>
      </c>
      <c r="C843" s="1" t="n">
        <v>45881</v>
      </c>
      <c r="D843" t="inlineStr">
        <is>
          <t>VÄSTERNORRLANDS LÄN</t>
        </is>
      </c>
      <c r="E843" t="inlineStr">
        <is>
          <t>SUNDSVALL</t>
        </is>
      </c>
      <c r="F843" t="inlineStr">
        <is>
          <t>Holmen skog AB</t>
        </is>
      </c>
      <c r="G843" t="n">
        <v>3.5</v>
      </c>
      <c r="H843" t="n">
        <v>0</v>
      </c>
      <c r="I843" t="n">
        <v>0</v>
      </c>
      <c r="J843" t="n">
        <v>0</v>
      </c>
      <c r="K843" t="n">
        <v>0</v>
      </c>
      <c r="L843" t="n">
        <v>0</v>
      </c>
      <c r="M843" t="n">
        <v>0</v>
      </c>
      <c r="N843" t="n">
        <v>0</v>
      </c>
      <c r="O843" t="n">
        <v>0</v>
      </c>
      <c r="P843" t="n">
        <v>0</v>
      </c>
      <c r="Q843" t="n">
        <v>0</v>
      </c>
      <c r="R843" s="2" t="inlineStr"/>
    </row>
    <row r="844" ht="15" customHeight="1">
      <c r="A844" t="inlineStr">
        <is>
          <t>A 17902-2024</t>
        </is>
      </c>
      <c r="B844" s="1" t="n">
        <v>45419</v>
      </c>
      <c r="C844" s="1" t="n">
        <v>45881</v>
      </c>
      <c r="D844" t="inlineStr">
        <is>
          <t>VÄSTERNORRLANDS LÄN</t>
        </is>
      </c>
      <c r="E844" t="inlineStr">
        <is>
          <t>SUNDSVALL</t>
        </is>
      </c>
      <c r="G844" t="n">
        <v>4.5</v>
      </c>
      <c r="H844" t="n">
        <v>0</v>
      </c>
      <c r="I844" t="n">
        <v>0</v>
      </c>
      <c r="J844" t="n">
        <v>0</v>
      </c>
      <c r="K844" t="n">
        <v>0</v>
      </c>
      <c r="L844" t="n">
        <v>0</v>
      </c>
      <c r="M844" t="n">
        <v>0</v>
      </c>
      <c r="N844" t="n">
        <v>0</v>
      </c>
      <c r="O844" t="n">
        <v>0</v>
      </c>
      <c r="P844" t="n">
        <v>0</v>
      </c>
      <c r="Q844" t="n">
        <v>0</v>
      </c>
      <c r="R844" s="2" t="inlineStr"/>
    </row>
    <row r="845" ht="15" customHeight="1">
      <c r="A845" t="inlineStr">
        <is>
          <t>A 45048-2023</t>
        </is>
      </c>
      <c r="B845" s="1" t="n">
        <v>45187</v>
      </c>
      <c r="C845" s="1" t="n">
        <v>45881</v>
      </c>
      <c r="D845" t="inlineStr">
        <is>
          <t>VÄSTERNORRLANDS LÄN</t>
        </is>
      </c>
      <c r="E845" t="inlineStr">
        <is>
          <t>SUNDSVALL</t>
        </is>
      </c>
      <c r="G845" t="n">
        <v>0.5</v>
      </c>
      <c r="H845" t="n">
        <v>0</v>
      </c>
      <c r="I845" t="n">
        <v>0</v>
      </c>
      <c r="J845" t="n">
        <v>0</v>
      </c>
      <c r="K845" t="n">
        <v>0</v>
      </c>
      <c r="L845" t="n">
        <v>0</v>
      </c>
      <c r="M845" t="n">
        <v>0</v>
      </c>
      <c r="N845" t="n">
        <v>0</v>
      </c>
      <c r="O845" t="n">
        <v>0</v>
      </c>
      <c r="P845" t="n">
        <v>0</v>
      </c>
      <c r="Q845" t="n">
        <v>0</v>
      </c>
      <c r="R845" s="2" t="inlineStr"/>
    </row>
    <row r="846" ht="15" customHeight="1">
      <c r="A846" t="inlineStr">
        <is>
          <t>A 45057-2023</t>
        </is>
      </c>
      <c r="B846" s="1" t="n">
        <v>45187</v>
      </c>
      <c r="C846" s="1" t="n">
        <v>45881</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21630-2023</t>
        </is>
      </c>
      <c r="B847" s="1" t="n">
        <v>45063</v>
      </c>
      <c r="C847" s="1" t="n">
        <v>45881</v>
      </c>
      <c r="D847" t="inlineStr">
        <is>
          <t>VÄSTERNORRLANDS LÄN</t>
        </is>
      </c>
      <c r="E847" t="inlineStr">
        <is>
          <t>SUNDSVALL</t>
        </is>
      </c>
      <c r="G847" t="n">
        <v>9</v>
      </c>
      <c r="H847" t="n">
        <v>0</v>
      </c>
      <c r="I847" t="n">
        <v>0</v>
      </c>
      <c r="J847" t="n">
        <v>0</v>
      </c>
      <c r="K847" t="n">
        <v>0</v>
      </c>
      <c r="L847" t="n">
        <v>0</v>
      </c>
      <c r="M847" t="n">
        <v>0</v>
      </c>
      <c r="N847" t="n">
        <v>0</v>
      </c>
      <c r="O847" t="n">
        <v>0</v>
      </c>
      <c r="P847" t="n">
        <v>0</v>
      </c>
      <c r="Q847" t="n">
        <v>0</v>
      </c>
      <c r="R847" s="2" t="inlineStr"/>
    </row>
    <row r="848" ht="15" customHeight="1">
      <c r="A848" t="inlineStr">
        <is>
          <t>A 7005-2023</t>
        </is>
      </c>
      <c r="B848" s="1" t="n">
        <v>44967.92928240741</v>
      </c>
      <c r="C848" s="1" t="n">
        <v>45881</v>
      </c>
      <c r="D848" t="inlineStr">
        <is>
          <t>VÄSTERNORRLANDS LÄN</t>
        </is>
      </c>
      <c r="E848" t="inlineStr">
        <is>
          <t>SUNDSVALL</t>
        </is>
      </c>
      <c r="G848" t="n">
        <v>3.5</v>
      </c>
      <c r="H848" t="n">
        <v>0</v>
      </c>
      <c r="I848" t="n">
        <v>0</v>
      </c>
      <c r="J848" t="n">
        <v>0</v>
      </c>
      <c r="K848" t="n">
        <v>0</v>
      </c>
      <c r="L848" t="n">
        <v>0</v>
      </c>
      <c r="M848" t="n">
        <v>0</v>
      </c>
      <c r="N848" t="n">
        <v>0</v>
      </c>
      <c r="O848" t="n">
        <v>0</v>
      </c>
      <c r="P848" t="n">
        <v>0</v>
      </c>
      <c r="Q848" t="n">
        <v>0</v>
      </c>
      <c r="R848" s="2" t="inlineStr"/>
    </row>
    <row r="849" ht="15" customHeight="1">
      <c r="A849" t="inlineStr">
        <is>
          <t>A 52196-2024</t>
        </is>
      </c>
      <c r="B849" s="1" t="n">
        <v>45607</v>
      </c>
      <c r="C849" s="1" t="n">
        <v>45881</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13335-2023</t>
        </is>
      </c>
      <c r="B850" s="1" t="n">
        <v>45005.4337037037</v>
      </c>
      <c r="C850" s="1" t="n">
        <v>45881</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23284-2023</t>
        </is>
      </c>
      <c r="B851" s="1" t="n">
        <v>45075</v>
      </c>
      <c r="C851" s="1" t="n">
        <v>45881</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35818-2023</t>
        </is>
      </c>
      <c r="B852" s="1" t="n">
        <v>45147</v>
      </c>
      <c r="C852" s="1" t="n">
        <v>45881</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20102-2025</t>
        </is>
      </c>
      <c r="B853" s="1" t="n">
        <v>45772.46934027778</v>
      </c>
      <c r="C853" s="1" t="n">
        <v>45881</v>
      </c>
      <c r="D853" t="inlineStr">
        <is>
          <t>VÄSTERNORRLANDS LÄN</t>
        </is>
      </c>
      <c r="E853" t="inlineStr">
        <is>
          <t>SUNDSVALL</t>
        </is>
      </c>
      <c r="F853" t="inlineStr">
        <is>
          <t>Naturvårdsverket</t>
        </is>
      </c>
      <c r="G853" t="n">
        <v>4.9</v>
      </c>
      <c r="H853" t="n">
        <v>0</v>
      </c>
      <c r="I853" t="n">
        <v>0</v>
      </c>
      <c r="J853" t="n">
        <v>0</v>
      </c>
      <c r="K853" t="n">
        <v>0</v>
      </c>
      <c r="L853" t="n">
        <v>0</v>
      </c>
      <c r="M853" t="n">
        <v>0</v>
      </c>
      <c r="N853" t="n">
        <v>0</v>
      </c>
      <c r="O853" t="n">
        <v>0</v>
      </c>
      <c r="P853" t="n">
        <v>0</v>
      </c>
      <c r="Q853" t="n">
        <v>0</v>
      </c>
      <c r="R853" s="2" t="inlineStr"/>
    </row>
    <row r="854" ht="15" customHeight="1">
      <c r="A854" t="inlineStr">
        <is>
          <t>A 55878-2022</t>
        </is>
      </c>
      <c r="B854" s="1" t="n">
        <v>44888</v>
      </c>
      <c r="C854" s="1" t="n">
        <v>45881</v>
      </c>
      <c r="D854" t="inlineStr">
        <is>
          <t>VÄSTERNORRLANDS LÄN</t>
        </is>
      </c>
      <c r="E854" t="inlineStr">
        <is>
          <t>SUNDSVALL</t>
        </is>
      </c>
      <c r="G854" t="n">
        <v>0.8</v>
      </c>
      <c r="H854" t="n">
        <v>0</v>
      </c>
      <c r="I854" t="n">
        <v>0</v>
      </c>
      <c r="J854" t="n">
        <v>0</v>
      </c>
      <c r="K854" t="n">
        <v>0</v>
      </c>
      <c r="L854" t="n">
        <v>0</v>
      </c>
      <c r="M854" t="n">
        <v>0</v>
      </c>
      <c r="N854" t="n">
        <v>0</v>
      </c>
      <c r="O854" t="n">
        <v>0</v>
      </c>
      <c r="P854" t="n">
        <v>0</v>
      </c>
      <c r="Q854" t="n">
        <v>0</v>
      </c>
      <c r="R854" s="2" t="inlineStr"/>
    </row>
    <row r="855" ht="15" customHeight="1">
      <c r="A855" t="inlineStr">
        <is>
          <t>A 55890-2022</t>
        </is>
      </c>
      <c r="B855" s="1" t="n">
        <v>44888</v>
      </c>
      <c r="C855" s="1" t="n">
        <v>45881</v>
      </c>
      <c r="D855" t="inlineStr">
        <is>
          <t>VÄSTERNORRLANDS LÄN</t>
        </is>
      </c>
      <c r="E855" t="inlineStr">
        <is>
          <t>SUNDSVALL</t>
        </is>
      </c>
      <c r="G855" t="n">
        <v>5.3</v>
      </c>
      <c r="H855" t="n">
        <v>0</v>
      </c>
      <c r="I855" t="n">
        <v>0</v>
      </c>
      <c r="J855" t="n">
        <v>0</v>
      </c>
      <c r="K855" t="n">
        <v>0</v>
      </c>
      <c r="L855" t="n">
        <v>0</v>
      </c>
      <c r="M855" t="n">
        <v>0</v>
      </c>
      <c r="N855" t="n">
        <v>0</v>
      </c>
      <c r="O855" t="n">
        <v>0</v>
      </c>
      <c r="P855" t="n">
        <v>0</v>
      </c>
      <c r="Q855" t="n">
        <v>0</v>
      </c>
      <c r="R855" s="2" t="inlineStr"/>
    </row>
    <row r="856" ht="15" customHeight="1">
      <c r="A856" t="inlineStr">
        <is>
          <t>A 18352-2023</t>
        </is>
      </c>
      <c r="B856" s="1" t="n">
        <v>45040</v>
      </c>
      <c r="C856" s="1" t="n">
        <v>45881</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55568-2024</t>
        </is>
      </c>
      <c r="B857" s="1" t="n">
        <v>45622.54879629629</v>
      </c>
      <c r="C857" s="1" t="n">
        <v>45881</v>
      </c>
      <c r="D857" t="inlineStr">
        <is>
          <t>VÄSTERNORRLANDS LÄN</t>
        </is>
      </c>
      <c r="E857" t="inlineStr">
        <is>
          <t>SUNDSVALL</t>
        </is>
      </c>
      <c r="F857" t="inlineStr">
        <is>
          <t>Holmen skog AB</t>
        </is>
      </c>
      <c r="G857" t="n">
        <v>2.1</v>
      </c>
      <c r="H857" t="n">
        <v>0</v>
      </c>
      <c r="I857" t="n">
        <v>0</v>
      </c>
      <c r="J857" t="n">
        <v>0</v>
      </c>
      <c r="K857" t="n">
        <v>0</v>
      </c>
      <c r="L857" t="n">
        <v>0</v>
      </c>
      <c r="M857" t="n">
        <v>0</v>
      </c>
      <c r="N857" t="n">
        <v>0</v>
      </c>
      <c r="O857" t="n">
        <v>0</v>
      </c>
      <c r="P857" t="n">
        <v>0</v>
      </c>
      <c r="Q857" t="n">
        <v>0</v>
      </c>
      <c r="R857" s="2" t="inlineStr"/>
    </row>
    <row r="858" ht="15" customHeight="1">
      <c r="A858" t="inlineStr">
        <is>
          <t>A 13551-2024</t>
        </is>
      </c>
      <c r="B858" s="1" t="n">
        <v>45387.95395833333</v>
      </c>
      <c r="C858" s="1" t="n">
        <v>45881</v>
      </c>
      <c r="D858" t="inlineStr">
        <is>
          <t>VÄSTERNORRLANDS LÄN</t>
        </is>
      </c>
      <c r="E858" t="inlineStr">
        <is>
          <t>SUNDSVALL</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29127-2022</t>
        </is>
      </c>
      <c r="B859" s="1" t="n">
        <v>44750.45601851852</v>
      </c>
      <c r="C859" s="1" t="n">
        <v>45881</v>
      </c>
      <c r="D859" t="inlineStr">
        <is>
          <t>VÄSTERNORRLANDS LÄN</t>
        </is>
      </c>
      <c r="E859" t="inlineStr">
        <is>
          <t>SUNDSVALL</t>
        </is>
      </c>
      <c r="G859" t="n">
        <v>7.4</v>
      </c>
      <c r="H859" t="n">
        <v>0</v>
      </c>
      <c r="I859" t="n">
        <v>0</v>
      </c>
      <c r="J859" t="n">
        <v>0</v>
      </c>
      <c r="K859" t="n">
        <v>0</v>
      </c>
      <c r="L859" t="n">
        <v>0</v>
      </c>
      <c r="M859" t="n">
        <v>0</v>
      </c>
      <c r="N859" t="n">
        <v>0</v>
      </c>
      <c r="O859" t="n">
        <v>0</v>
      </c>
      <c r="P859" t="n">
        <v>0</v>
      </c>
      <c r="Q859" t="n">
        <v>0</v>
      </c>
      <c r="R859" s="2" t="inlineStr"/>
      <c r="U859">
        <f>HYPERLINK("https://klasma.github.io/Logging_2281/knärot/A 29127-2022 karta knärot.png", "A 29127-2022")</f>
        <v/>
      </c>
      <c r="V859">
        <f>HYPERLINK("https://klasma.github.io/Logging_2281/klagomål/A 29127-2022 FSC-klagomål.docx", "A 29127-2022")</f>
        <v/>
      </c>
      <c r="W859">
        <f>HYPERLINK("https://klasma.github.io/Logging_2281/klagomålsmail/A 29127-2022 FSC-klagomål mail.docx", "A 29127-2022")</f>
        <v/>
      </c>
      <c r="X859">
        <f>HYPERLINK("https://klasma.github.io/Logging_2281/tillsyn/A 29127-2022 tillsynsbegäran.docx", "A 29127-2022")</f>
        <v/>
      </c>
      <c r="Y859">
        <f>HYPERLINK("https://klasma.github.io/Logging_2281/tillsynsmail/A 29127-2022 tillsynsbegäran mail.docx", "A 29127-2022")</f>
        <v/>
      </c>
    </row>
    <row r="860" ht="15" customHeight="1">
      <c r="A860" t="inlineStr">
        <is>
          <t>A 6239-2022</t>
        </is>
      </c>
      <c r="B860" s="1" t="n">
        <v>44599</v>
      </c>
      <c r="C860" s="1" t="n">
        <v>45881</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30686-2024</t>
        </is>
      </c>
      <c r="B861" s="1" t="n">
        <v>45495</v>
      </c>
      <c r="C861" s="1" t="n">
        <v>45881</v>
      </c>
      <c r="D861" t="inlineStr">
        <is>
          <t>VÄSTERNORRLANDS LÄN</t>
        </is>
      </c>
      <c r="E861" t="inlineStr">
        <is>
          <t>SUNDSVALL</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28794-2024</t>
        </is>
      </c>
      <c r="B862" s="1" t="n">
        <v>45478.61696759259</v>
      </c>
      <c r="C862" s="1" t="n">
        <v>45881</v>
      </c>
      <c r="D862" t="inlineStr">
        <is>
          <t>VÄSTERNORRLANDS LÄN</t>
        </is>
      </c>
      <c r="E862" t="inlineStr">
        <is>
          <t>SUNDSVALL</t>
        </is>
      </c>
      <c r="G862" t="n">
        <v>0.4</v>
      </c>
      <c r="H862" t="n">
        <v>0</v>
      </c>
      <c r="I862" t="n">
        <v>0</v>
      </c>
      <c r="J862" t="n">
        <v>0</v>
      </c>
      <c r="K862" t="n">
        <v>0</v>
      </c>
      <c r="L862" t="n">
        <v>0</v>
      </c>
      <c r="M862" t="n">
        <v>0</v>
      </c>
      <c r="N862" t="n">
        <v>0</v>
      </c>
      <c r="O862" t="n">
        <v>0</v>
      </c>
      <c r="P862" t="n">
        <v>0</v>
      </c>
      <c r="Q862" t="n">
        <v>0</v>
      </c>
      <c r="R862" s="2" t="inlineStr"/>
    </row>
    <row r="863" ht="15" customHeight="1">
      <c r="A863" t="inlineStr">
        <is>
          <t>A 43946-2023</t>
        </is>
      </c>
      <c r="B863" s="1" t="n">
        <v>45187</v>
      </c>
      <c r="C863" s="1" t="n">
        <v>45881</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1048-2024</t>
        </is>
      </c>
      <c r="B864" s="1" t="n">
        <v>45301</v>
      </c>
      <c r="C864" s="1" t="n">
        <v>45881</v>
      </c>
      <c r="D864" t="inlineStr">
        <is>
          <t>VÄSTERNORRLANDS LÄN</t>
        </is>
      </c>
      <c r="E864" t="inlineStr">
        <is>
          <t>SUNDSVALL</t>
        </is>
      </c>
      <c r="G864" t="n">
        <v>0.5</v>
      </c>
      <c r="H864" t="n">
        <v>0</v>
      </c>
      <c r="I864" t="n">
        <v>0</v>
      </c>
      <c r="J864" t="n">
        <v>0</v>
      </c>
      <c r="K864" t="n">
        <v>0</v>
      </c>
      <c r="L864" t="n">
        <v>0</v>
      </c>
      <c r="M864" t="n">
        <v>0</v>
      </c>
      <c r="N864" t="n">
        <v>0</v>
      </c>
      <c r="O864" t="n">
        <v>0</v>
      </c>
      <c r="P864" t="n">
        <v>0</v>
      </c>
      <c r="Q864" t="n">
        <v>0</v>
      </c>
      <c r="R864" s="2" t="inlineStr"/>
    </row>
    <row r="865" ht="15" customHeight="1">
      <c r="A865" t="inlineStr">
        <is>
          <t>A 3236-2024</t>
        </is>
      </c>
      <c r="B865" s="1" t="n">
        <v>45316.94725694445</v>
      </c>
      <c r="C865" s="1" t="n">
        <v>45881</v>
      </c>
      <c r="D865" t="inlineStr">
        <is>
          <t>VÄSTERNORRLANDS LÄN</t>
        </is>
      </c>
      <c r="E865" t="inlineStr">
        <is>
          <t>SUNDSVALL</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40473-2024</t>
        </is>
      </c>
      <c r="B866" s="1" t="n">
        <v>45555.53165509259</v>
      </c>
      <c r="C866" s="1" t="n">
        <v>45881</v>
      </c>
      <c r="D866" t="inlineStr">
        <is>
          <t>VÄSTERNORRLANDS LÄN</t>
        </is>
      </c>
      <c r="E866" t="inlineStr">
        <is>
          <t>SUNDSVALL</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63068-2023</t>
        </is>
      </c>
      <c r="B867" s="1" t="n">
        <v>45272</v>
      </c>
      <c r="C867" s="1" t="n">
        <v>45881</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14153-2024</t>
        </is>
      </c>
      <c r="B868" s="1" t="n">
        <v>45392</v>
      </c>
      <c r="C868" s="1" t="n">
        <v>45881</v>
      </c>
      <c r="D868" t="inlineStr">
        <is>
          <t>VÄSTERNORRLANDS LÄN</t>
        </is>
      </c>
      <c r="E868" t="inlineStr">
        <is>
          <t>SUNDSVALL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47769-2024</t>
        </is>
      </c>
      <c r="B869" s="1" t="n">
        <v>45588.56342592592</v>
      </c>
      <c r="C869" s="1" t="n">
        <v>45881</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38864-2024</t>
        </is>
      </c>
      <c r="B870" s="1" t="n">
        <v>45547.63525462963</v>
      </c>
      <c r="C870" s="1" t="n">
        <v>45881</v>
      </c>
      <c r="D870" t="inlineStr">
        <is>
          <t>VÄSTERNORRLANDS LÄN</t>
        </is>
      </c>
      <c r="E870" t="inlineStr">
        <is>
          <t>SUNDSVALL</t>
        </is>
      </c>
      <c r="F870" t="inlineStr">
        <is>
          <t>Holmen skog AB</t>
        </is>
      </c>
      <c r="G870" t="n">
        <v>3.6</v>
      </c>
      <c r="H870" t="n">
        <v>0</v>
      </c>
      <c r="I870" t="n">
        <v>0</v>
      </c>
      <c r="J870" t="n">
        <v>0</v>
      </c>
      <c r="K870" t="n">
        <v>0</v>
      </c>
      <c r="L870" t="n">
        <v>0</v>
      </c>
      <c r="M870" t="n">
        <v>0</v>
      </c>
      <c r="N870" t="n">
        <v>0</v>
      </c>
      <c r="O870" t="n">
        <v>0</v>
      </c>
      <c r="P870" t="n">
        <v>0</v>
      </c>
      <c r="Q870" t="n">
        <v>0</v>
      </c>
      <c r="R870" s="2" t="inlineStr"/>
    </row>
    <row r="871" ht="15" customHeight="1">
      <c r="A871" t="inlineStr">
        <is>
          <t>A 11668-2025</t>
        </is>
      </c>
      <c r="B871" s="1" t="n">
        <v>45727.51084490741</v>
      </c>
      <c r="C871" s="1" t="n">
        <v>45881</v>
      </c>
      <c r="D871" t="inlineStr">
        <is>
          <t>VÄSTERNORRLANDS LÄN</t>
        </is>
      </c>
      <c r="E871" t="inlineStr">
        <is>
          <t>SUNDSVALL</t>
        </is>
      </c>
      <c r="G871" t="n">
        <v>2.4</v>
      </c>
      <c r="H871" t="n">
        <v>0</v>
      </c>
      <c r="I871" t="n">
        <v>0</v>
      </c>
      <c r="J871" t="n">
        <v>0</v>
      </c>
      <c r="K871" t="n">
        <v>0</v>
      </c>
      <c r="L871" t="n">
        <v>0</v>
      </c>
      <c r="M871" t="n">
        <v>0</v>
      </c>
      <c r="N871" t="n">
        <v>0</v>
      </c>
      <c r="O871" t="n">
        <v>0</v>
      </c>
      <c r="P871" t="n">
        <v>0</v>
      </c>
      <c r="Q871" t="n">
        <v>0</v>
      </c>
      <c r="R871" s="2" t="inlineStr"/>
    </row>
    <row r="872" ht="15" customHeight="1">
      <c r="A872" t="inlineStr">
        <is>
          <t>A 59660-2023</t>
        </is>
      </c>
      <c r="B872" s="1" t="n">
        <v>45254</v>
      </c>
      <c r="C872" s="1" t="n">
        <v>45881</v>
      </c>
      <c r="D872" t="inlineStr">
        <is>
          <t>VÄSTERNORRLANDS LÄN</t>
        </is>
      </c>
      <c r="E872" t="inlineStr">
        <is>
          <t>SUNDSVALL</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59661-2023</t>
        </is>
      </c>
      <c r="B873" s="1" t="n">
        <v>45254</v>
      </c>
      <c r="C873" s="1" t="n">
        <v>45881</v>
      </c>
      <c r="D873" t="inlineStr">
        <is>
          <t>VÄSTERNORRLANDS LÄN</t>
        </is>
      </c>
      <c r="E873" t="inlineStr">
        <is>
          <t>SUNDSVALL</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9017-2025</t>
        </is>
      </c>
      <c r="B874" s="1" t="n">
        <v>45713.59416666667</v>
      </c>
      <c r="C874" s="1" t="n">
        <v>45881</v>
      </c>
      <c r="D874" t="inlineStr">
        <is>
          <t>VÄSTERNORRLANDS LÄN</t>
        </is>
      </c>
      <c r="E874" t="inlineStr">
        <is>
          <t>SUNDSVALL</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61474-2023</t>
        </is>
      </c>
      <c r="B875" s="1" t="n">
        <v>45264.92684027777</v>
      </c>
      <c r="C875" s="1" t="n">
        <v>45881</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61475-2023</t>
        </is>
      </c>
      <c r="B876" s="1" t="n">
        <v>45264.92688657407</v>
      </c>
      <c r="C876" s="1" t="n">
        <v>45881</v>
      </c>
      <c r="D876" t="inlineStr">
        <is>
          <t>VÄSTERNORRLANDS LÄN</t>
        </is>
      </c>
      <c r="E876" t="inlineStr">
        <is>
          <t>SUNDSVALL</t>
        </is>
      </c>
      <c r="G876" t="n">
        <v>2</v>
      </c>
      <c r="H876" t="n">
        <v>0</v>
      </c>
      <c r="I876" t="n">
        <v>0</v>
      </c>
      <c r="J876" t="n">
        <v>0</v>
      </c>
      <c r="K876" t="n">
        <v>0</v>
      </c>
      <c r="L876" t="n">
        <v>0</v>
      </c>
      <c r="M876" t="n">
        <v>0</v>
      </c>
      <c r="N876" t="n">
        <v>0</v>
      </c>
      <c r="O876" t="n">
        <v>0</v>
      </c>
      <c r="P876" t="n">
        <v>0</v>
      </c>
      <c r="Q876" t="n">
        <v>0</v>
      </c>
      <c r="R876" s="2" t="inlineStr"/>
    </row>
    <row r="877" ht="15" customHeight="1">
      <c r="A877" t="inlineStr">
        <is>
          <t>A 19586-2024</t>
        </is>
      </c>
      <c r="B877" s="1" t="n">
        <v>45429</v>
      </c>
      <c r="C877" s="1" t="n">
        <v>45881</v>
      </c>
      <c r="D877" t="inlineStr">
        <is>
          <t>VÄSTERNORRLANDS LÄN</t>
        </is>
      </c>
      <c r="E877" t="inlineStr">
        <is>
          <t>SUNDSVALL</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20364-2023</t>
        </is>
      </c>
      <c r="B878" s="1" t="n">
        <v>45054</v>
      </c>
      <c r="C878" s="1" t="n">
        <v>45881</v>
      </c>
      <c r="D878" t="inlineStr">
        <is>
          <t>VÄSTERNORRLANDS LÄN</t>
        </is>
      </c>
      <c r="E878" t="inlineStr">
        <is>
          <t>SUNDSVALL</t>
        </is>
      </c>
      <c r="G878" t="n">
        <v>0.9</v>
      </c>
      <c r="H878" t="n">
        <v>0</v>
      </c>
      <c r="I878" t="n">
        <v>0</v>
      </c>
      <c r="J878" t="n">
        <v>0</v>
      </c>
      <c r="K878" t="n">
        <v>0</v>
      </c>
      <c r="L878" t="n">
        <v>0</v>
      </c>
      <c r="M878" t="n">
        <v>0</v>
      </c>
      <c r="N878" t="n">
        <v>0</v>
      </c>
      <c r="O878" t="n">
        <v>0</v>
      </c>
      <c r="P878" t="n">
        <v>0</v>
      </c>
      <c r="Q878" t="n">
        <v>0</v>
      </c>
      <c r="R878" s="2" t="inlineStr"/>
    </row>
    <row r="879" ht="15" customHeight="1">
      <c r="A879" t="inlineStr">
        <is>
          <t>A 47157-2023</t>
        </is>
      </c>
      <c r="B879" s="1" t="n">
        <v>45201</v>
      </c>
      <c r="C879" s="1" t="n">
        <v>45881</v>
      </c>
      <c r="D879" t="inlineStr">
        <is>
          <t>VÄSTERNORRLANDS LÄN</t>
        </is>
      </c>
      <c r="E879" t="inlineStr">
        <is>
          <t>SUNDSVALL</t>
        </is>
      </c>
      <c r="G879" t="n">
        <v>3.9</v>
      </c>
      <c r="H879" t="n">
        <v>0</v>
      </c>
      <c r="I879" t="n">
        <v>0</v>
      </c>
      <c r="J879" t="n">
        <v>0</v>
      </c>
      <c r="K879" t="n">
        <v>0</v>
      </c>
      <c r="L879" t="n">
        <v>0</v>
      </c>
      <c r="M879" t="n">
        <v>0</v>
      </c>
      <c r="N879" t="n">
        <v>0</v>
      </c>
      <c r="O879" t="n">
        <v>0</v>
      </c>
      <c r="P879" t="n">
        <v>0</v>
      </c>
      <c r="Q879" t="n">
        <v>0</v>
      </c>
      <c r="R879" s="2" t="inlineStr"/>
    </row>
    <row r="880" ht="15" customHeight="1">
      <c r="A880" t="inlineStr">
        <is>
          <t>A 10200-2024</t>
        </is>
      </c>
      <c r="B880" s="1" t="n">
        <v>45364.92836805555</v>
      </c>
      <c r="C880" s="1" t="n">
        <v>45881</v>
      </c>
      <c r="D880" t="inlineStr">
        <is>
          <t>VÄSTERNORRLANDS LÄN</t>
        </is>
      </c>
      <c r="E880" t="inlineStr">
        <is>
          <t>SUNDSVALL</t>
        </is>
      </c>
      <c r="G880" t="n">
        <v>1.6</v>
      </c>
      <c r="H880" t="n">
        <v>0</v>
      </c>
      <c r="I880" t="n">
        <v>0</v>
      </c>
      <c r="J880" t="n">
        <v>0</v>
      </c>
      <c r="K880" t="n">
        <v>0</v>
      </c>
      <c r="L880" t="n">
        <v>0</v>
      </c>
      <c r="M880" t="n">
        <v>0</v>
      </c>
      <c r="N880" t="n">
        <v>0</v>
      </c>
      <c r="O880" t="n">
        <v>0</v>
      </c>
      <c r="P880" t="n">
        <v>0</v>
      </c>
      <c r="Q880" t="n">
        <v>0</v>
      </c>
      <c r="R880" s="2" t="inlineStr"/>
    </row>
    <row r="881" ht="15" customHeight="1">
      <c r="A881" t="inlineStr">
        <is>
          <t>A 8945-2024</t>
        </is>
      </c>
      <c r="B881" s="1" t="n">
        <v>45357</v>
      </c>
      <c r="C881" s="1" t="n">
        <v>45881</v>
      </c>
      <c r="D881" t="inlineStr">
        <is>
          <t>VÄSTERNORRLANDS LÄN</t>
        </is>
      </c>
      <c r="E881" t="inlineStr">
        <is>
          <t>SUNDSVALL</t>
        </is>
      </c>
      <c r="G881" t="n">
        <v>2.9</v>
      </c>
      <c r="H881" t="n">
        <v>0</v>
      </c>
      <c r="I881" t="n">
        <v>0</v>
      </c>
      <c r="J881" t="n">
        <v>0</v>
      </c>
      <c r="K881" t="n">
        <v>0</v>
      </c>
      <c r="L881" t="n">
        <v>0</v>
      </c>
      <c r="M881" t="n">
        <v>0</v>
      </c>
      <c r="N881" t="n">
        <v>0</v>
      </c>
      <c r="O881" t="n">
        <v>0</v>
      </c>
      <c r="P881" t="n">
        <v>0</v>
      </c>
      <c r="Q881" t="n">
        <v>0</v>
      </c>
      <c r="R881" s="2" t="inlineStr"/>
    </row>
    <row r="882" ht="15" customHeight="1">
      <c r="A882" t="inlineStr">
        <is>
          <t>A 17767-2025</t>
        </is>
      </c>
      <c r="B882" s="1" t="n">
        <v>45758.50361111111</v>
      </c>
      <c r="C882" s="1" t="n">
        <v>45881</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13445-2025</t>
        </is>
      </c>
      <c r="B883" s="1" t="n">
        <v>45736.34521990741</v>
      </c>
      <c r="C883" s="1" t="n">
        <v>45881</v>
      </c>
      <c r="D883" t="inlineStr">
        <is>
          <t>VÄSTERNORRLANDS LÄN</t>
        </is>
      </c>
      <c r="E883" t="inlineStr">
        <is>
          <t>SUNDSVALL</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13479-2025</t>
        </is>
      </c>
      <c r="B884" s="1" t="n">
        <v>45736.41797453703</v>
      </c>
      <c r="C884" s="1" t="n">
        <v>45881</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27759-2023</t>
        </is>
      </c>
      <c r="B885" s="1" t="n">
        <v>45093</v>
      </c>
      <c r="C885" s="1" t="n">
        <v>45881</v>
      </c>
      <c r="D885" t="inlineStr">
        <is>
          <t>VÄSTERNORRLANDS LÄN</t>
        </is>
      </c>
      <c r="E885" t="inlineStr">
        <is>
          <t>SUNDSVALL</t>
        </is>
      </c>
      <c r="G885" t="n">
        <v>3.5</v>
      </c>
      <c r="H885" t="n">
        <v>0</v>
      </c>
      <c r="I885" t="n">
        <v>0</v>
      </c>
      <c r="J885" t="n">
        <v>0</v>
      </c>
      <c r="K885" t="n">
        <v>0</v>
      </c>
      <c r="L885" t="n">
        <v>0</v>
      </c>
      <c r="M885" t="n">
        <v>0</v>
      </c>
      <c r="N885" t="n">
        <v>0</v>
      </c>
      <c r="O885" t="n">
        <v>0</v>
      </c>
      <c r="P885" t="n">
        <v>0</v>
      </c>
      <c r="Q885" t="n">
        <v>0</v>
      </c>
      <c r="R885" s="2" t="inlineStr"/>
    </row>
    <row r="886" ht="15" customHeight="1">
      <c r="A886" t="inlineStr">
        <is>
          <t>A 5421-2024</t>
        </is>
      </c>
      <c r="B886" s="1" t="n">
        <v>45331</v>
      </c>
      <c r="C886" s="1" t="n">
        <v>45881</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57077-2024</t>
        </is>
      </c>
      <c r="B887" s="1" t="n">
        <v>45629.35503472222</v>
      </c>
      <c r="C887" s="1" t="n">
        <v>45881</v>
      </c>
      <c r="D887" t="inlineStr">
        <is>
          <t>VÄSTERNORRLANDS LÄN</t>
        </is>
      </c>
      <c r="E887" t="inlineStr">
        <is>
          <t>SUNDSVALL</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61267-2023</t>
        </is>
      </c>
      <c r="B888" s="1" t="n">
        <v>45264</v>
      </c>
      <c r="C888" s="1" t="n">
        <v>45881</v>
      </c>
      <c r="D888" t="inlineStr">
        <is>
          <t>VÄSTERNORRLANDS LÄN</t>
        </is>
      </c>
      <c r="E888" t="inlineStr">
        <is>
          <t>SUNDSVALL</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965-2025</t>
        </is>
      </c>
      <c r="B889" s="1" t="n">
        <v>45666.38577546296</v>
      </c>
      <c r="C889" s="1" t="n">
        <v>45881</v>
      </c>
      <c r="D889" t="inlineStr">
        <is>
          <t>VÄSTERNORRLANDS LÄN</t>
        </is>
      </c>
      <c r="E889" t="inlineStr">
        <is>
          <t>SUNDSVALL</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2880-2025</t>
        </is>
      </c>
      <c r="B890" s="1" t="n">
        <v>45677</v>
      </c>
      <c r="C890" s="1" t="n">
        <v>45881</v>
      </c>
      <c r="D890" t="inlineStr">
        <is>
          <t>VÄSTERNORRLANDS LÄN</t>
        </is>
      </c>
      <c r="E890" t="inlineStr">
        <is>
          <t>SUNDSVALL</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2959-2025</t>
        </is>
      </c>
      <c r="B891" s="1" t="n">
        <v>45678.44880787037</v>
      </c>
      <c r="C891" s="1" t="n">
        <v>45881</v>
      </c>
      <c r="D891" t="inlineStr">
        <is>
          <t>VÄSTERNORRLANDS LÄN</t>
        </is>
      </c>
      <c r="E891" t="inlineStr">
        <is>
          <t>SUNDSVALL</t>
        </is>
      </c>
      <c r="F891" t="inlineStr">
        <is>
          <t>SCA</t>
        </is>
      </c>
      <c r="G891" t="n">
        <v>21.5</v>
      </c>
      <c r="H891" t="n">
        <v>0</v>
      </c>
      <c r="I891" t="n">
        <v>0</v>
      </c>
      <c r="J891" t="n">
        <v>0</v>
      </c>
      <c r="K891" t="n">
        <v>0</v>
      </c>
      <c r="L891" t="n">
        <v>0</v>
      </c>
      <c r="M891" t="n">
        <v>0</v>
      </c>
      <c r="N891" t="n">
        <v>0</v>
      </c>
      <c r="O891" t="n">
        <v>0</v>
      </c>
      <c r="P891" t="n">
        <v>0</v>
      </c>
      <c r="Q891" t="n">
        <v>0</v>
      </c>
      <c r="R891" s="2" t="inlineStr"/>
    </row>
    <row r="892" ht="15" customHeight="1">
      <c r="A892" t="inlineStr">
        <is>
          <t>A 24360-2023</t>
        </is>
      </c>
      <c r="B892" s="1" t="n">
        <v>45082</v>
      </c>
      <c r="C892" s="1" t="n">
        <v>45881</v>
      </c>
      <c r="D892" t="inlineStr">
        <is>
          <t>VÄSTERNORRLANDS LÄN</t>
        </is>
      </c>
      <c r="E892" t="inlineStr">
        <is>
          <t>SUNDSVALL</t>
        </is>
      </c>
      <c r="G892" t="n">
        <v>1.3</v>
      </c>
      <c r="H892" t="n">
        <v>0</v>
      </c>
      <c r="I892" t="n">
        <v>0</v>
      </c>
      <c r="J892" t="n">
        <v>0</v>
      </c>
      <c r="K892" t="n">
        <v>0</v>
      </c>
      <c r="L892" t="n">
        <v>0</v>
      </c>
      <c r="M892" t="n">
        <v>0</v>
      </c>
      <c r="N892" t="n">
        <v>0</v>
      </c>
      <c r="O892" t="n">
        <v>0</v>
      </c>
      <c r="P892" t="n">
        <v>0</v>
      </c>
      <c r="Q892" t="n">
        <v>0</v>
      </c>
      <c r="R892" s="2" t="inlineStr"/>
    </row>
    <row r="893" ht="15" customHeight="1">
      <c r="A893" t="inlineStr">
        <is>
          <t>A 13234-2024</t>
        </is>
      </c>
      <c r="B893" s="1" t="n">
        <v>45386</v>
      </c>
      <c r="C893" s="1" t="n">
        <v>45881</v>
      </c>
      <c r="D893" t="inlineStr">
        <is>
          <t>VÄSTERNORRLANDS LÄN</t>
        </is>
      </c>
      <c r="E893" t="inlineStr">
        <is>
          <t>SUNDSVALL</t>
        </is>
      </c>
      <c r="F893" t="inlineStr">
        <is>
          <t>Kommuner</t>
        </is>
      </c>
      <c r="G893" t="n">
        <v>5.8</v>
      </c>
      <c r="H893" t="n">
        <v>0</v>
      </c>
      <c r="I893" t="n">
        <v>0</v>
      </c>
      <c r="J893" t="n">
        <v>0</v>
      </c>
      <c r="K893" t="n">
        <v>0</v>
      </c>
      <c r="L893" t="n">
        <v>0</v>
      </c>
      <c r="M893" t="n">
        <v>0</v>
      </c>
      <c r="N893" t="n">
        <v>0</v>
      </c>
      <c r="O893" t="n">
        <v>0</v>
      </c>
      <c r="P893" t="n">
        <v>0</v>
      </c>
      <c r="Q893" t="n">
        <v>0</v>
      </c>
      <c r="R893" s="2" t="inlineStr"/>
    </row>
    <row r="894" ht="15" customHeight="1">
      <c r="A894" t="inlineStr">
        <is>
          <t>A 5949-2023</t>
        </is>
      </c>
      <c r="B894" s="1" t="n">
        <v>44963</v>
      </c>
      <c r="C894" s="1" t="n">
        <v>45881</v>
      </c>
      <c r="D894" t="inlineStr">
        <is>
          <t>VÄSTERNORRLANDS LÄN</t>
        </is>
      </c>
      <c r="E894" t="inlineStr">
        <is>
          <t>SUNDSVALL</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33004-2024</t>
        </is>
      </c>
      <c r="B895" s="1" t="n">
        <v>45517</v>
      </c>
      <c r="C895" s="1" t="n">
        <v>45881</v>
      </c>
      <c r="D895" t="inlineStr">
        <is>
          <t>VÄSTERNORRLANDS LÄN</t>
        </is>
      </c>
      <c r="E895" t="inlineStr">
        <is>
          <t>SUNDSVALL</t>
        </is>
      </c>
      <c r="G895" t="n">
        <v>1.4</v>
      </c>
      <c r="H895" t="n">
        <v>0</v>
      </c>
      <c r="I895" t="n">
        <v>0</v>
      </c>
      <c r="J895" t="n">
        <v>0</v>
      </c>
      <c r="K895" t="n">
        <v>0</v>
      </c>
      <c r="L895" t="n">
        <v>0</v>
      </c>
      <c r="M895" t="n">
        <v>0</v>
      </c>
      <c r="N895" t="n">
        <v>0</v>
      </c>
      <c r="O895" t="n">
        <v>0</v>
      </c>
      <c r="P895" t="n">
        <v>0</v>
      </c>
      <c r="Q895" t="n">
        <v>0</v>
      </c>
      <c r="R895" s="2" t="inlineStr"/>
    </row>
    <row r="896" ht="15" customHeight="1">
      <c r="A896" t="inlineStr">
        <is>
          <t>A 33042-2024</t>
        </is>
      </c>
      <c r="B896" s="1" t="n">
        <v>45517.61229166666</v>
      </c>
      <c r="C896" s="1" t="n">
        <v>45881</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34296-2024</t>
        </is>
      </c>
      <c r="B897" s="1" t="n">
        <v>45524</v>
      </c>
      <c r="C897" s="1" t="n">
        <v>45881</v>
      </c>
      <c r="D897" t="inlineStr">
        <is>
          <t>VÄSTERNORRLANDS LÄN</t>
        </is>
      </c>
      <c r="E897" t="inlineStr">
        <is>
          <t>SUNDSVALL</t>
        </is>
      </c>
      <c r="G897" t="n">
        <v>2.1</v>
      </c>
      <c r="H897" t="n">
        <v>0</v>
      </c>
      <c r="I897" t="n">
        <v>0</v>
      </c>
      <c r="J897" t="n">
        <v>0</v>
      </c>
      <c r="K897" t="n">
        <v>0</v>
      </c>
      <c r="L897" t="n">
        <v>0</v>
      </c>
      <c r="M897" t="n">
        <v>0</v>
      </c>
      <c r="N897" t="n">
        <v>0</v>
      </c>
      <c r="O897" t="n">
        <v>0</v>
      </c>
      <c r="P897" t="n">
        <v>0</v>
      </c>
      <c r="Q897" t="n">
        <v>0</v>
      </c>
      <c r="R897" s="2" t="inlineStr"/>
    </row>
    <row r="898" ht="15" customHeight="1">
      <c r="A898" t="inlineStr">
        <is>
          <t>A 8230-2024</t>
        </is>
      </c>
      <c r="B898" s="1" t="n">
        <v>45351.92850694444</v>
      </c>
      <c r="C898" s="1" t="n">
        <v>45881</v>
      </c>
      <c r="D898" t="inlineStr">
        <is>
          <t>VÄSTERNORRLANDS LÄN</t>
        </is>
      </c>
      <c r="E898" t="inlineStr">
        <is>
          <t>SUNDSVALL</t>
        </is>
      </c>
      <c r="G898" t="n">
        <v>0.8</v>
      </c>
      <c r="H898" t="n">
        <v>0</v>
      </c>
      <c r="I898" t="n">
        <v>0</v>
      </c>
      <c r="J898" t="n">
        <v>0</v>
      </c>
      <c r="K898" t="n">
        <v>0</v>
      </c>
      <c r="L898" t="n">
        <v>0</v>
      </c>
      <c r="M898" t="n">
        <v>0</v>
      </c>
      <c r="N898" t="n">
        <v>0</v>
      </c>
      <c r="O898" t="n">
        <v>0</v>
      </c>
      <c r="P898" t="n">
        <v>0</v>
      </c>
      <c r="Q898" t="n">
        <v>0</v>
      </c>
      <c r="R898" s="2" t="inlineStr"/>
    </row>
    <row r="899" ht="15" customHeight="1">
      <c r="A899" t="inlineStr">
        <is>
          <t>A 61021-2023</t>
        </is>
      </c>
      <c r="B899" s="1" t="n">
        <v>45261</v>
      </c>
      <c r="C899" s="1" t="n">
        <v>45881</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61476-2023</t>
        </is>
      </c>
      <c r="B900" s="1" t="n">
        <v>45264.92694444444</v>
      </c>
      <c r="C900" s="1" t="n">
        <v>45881</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21010-2023</t>
        </is>
      </c>
      <c r="B901" s="1" t="n">
        <v>45061</v>
      </c>
      <c r="C901" s="1" t="n">
        <v>45881</v>
      </c>
      <c r="D901" t="inlineStr">
        <is>
          <t>VÄSTERNORRLANDS LÄN</t>
        </is>
      </c>
      <c r="E901" t="inlineStr">
        <is>
          <t>SUNDSVALL</t>
        </is>
      </c>
      <c r="G901" t="n">
        <v>4.9</v>
      </c>
      <c r="H901" t="n">
        <v>0</v>
      </c>
      <c r="I901" t="n">
        <v>0</v>
      </c>
      <c r="J901" t="n">
        <v>0</v>
      </c>
      <c r="K901" t="n">
        <v>0</v>
      </c>
      <c r="L901" t="n">
        <v>0</v>
      </c>
      <c r="M901" t="n">
        <v>0</v>
      </c>
      <c r="N901" t="n">
        <v>0</v>
      </c>
      <c r="O901" t="n">
        <v>0</v>
      </c>
      <c r="P901" t="n">
        <v>0</v>
      </c>
      <c r="Q901" t="n">
        <v>0</v>
      </c>
      <c r="R901" s="2" t="inlineStr"/>
    </row>
    <row r="902" ht="15" customHeight="1">
      <c r="A902" t="inlineStr">
        <is>
          <t>A 54584-2024</t>
        </is>
      </c>
      <c r="B902" s="1" t="n">
        <v>45617.65747685185</v>
      </c>
      <c r="C902" s="1" t="n">
        <v>45881</v>
      </c>
      <c r="D902" t="inlineStr">
        <is>
          <t>VÄSTERNORRLANDS LÄN</t>
        </is>
      </c>
      <c r="E902" t="inlineStr">
        <is>
          <t>SUNDSVALL</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51431-2024</t>
        </is>
      </c>
      <c r="B903" s="1" t="n">
        <v>45604</v>
      </c>
      <c r="C903" s="1" t="n">
        <v>45881</v>
      </c>
      <c r="D903" t="inlineStr">
        <is>
          <t>VÄSTERNORRLANDS LÄN</t>
        </is>
      </c>
      <c r="E903" t="inlineStr">
        <is>
          <t>SUNDSVALL</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51433-2024</t>
        </is>
      </c>
      <c r="B904" s="1" t="n">
        <v>45604</v>
      </c>
      <c r="C904" s="1" t="n">
        <v>45881</v>
      </c>
      <c r="D904" t="inlineStr">
        <is>
          <t>VÄSTERNORRLANDS LÄN</t>
        </is>
      </c>
      <c r="E904" t="inlineStr">
        <is>
          <t>SUNDSVALL</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39347-2024</t>
        </is>
      </c>
      <c r="B905" s="1" t="n">
        <v>45551.44858796296</v>
      </c>
      <c r="C905" s="1" t="n">
        <v>45881</v>
      </c>
      <c r="D905" t="inlineStr">
        <is>
          <t>VÄSTERNORRLANDS LÄN</t>
        </is>
      </c>
      <c r="E905" t="inlineStr">
        <is>
          <t>SUNDSVALL</t>
        </is>
      </c>
      <c r="G905" t="n">
        <v>1.8</v>
      </c>
      <c r="H905" t="n">
        <v>0</v>
      </c>
      <c r="I905" t="n">
        <v>0</v>
      </c>
      <c r="J905" t="n">
        <v>0</v>
      </c>
      <c r="K905" t="n">
        <v>0</v>
      </c>
      <c r="L905" t="n">
        <v>0</v>
      </c>
      <c r="M905" t="n">
        <v>0</v>
      </c>
      <c r="N905" t="n">
        <v>0</v>
      </c>
      <c r="O905" t="n">
        <v>0</v>
      </c>
      <c r="P905" t="n">
        <v>0</v>
      </c>
      <c r="Q905" t="n">
        <v>0</v>
      </c>
      <c r="R905" s="2" t="inlineStr"/>
    </row>
    <row r="906" ht="15" customHeight="1">
      <c r="A906" t="inlineStr">
        <is>
          <t>A 1428-2024</t>
        </is>
      </c>
      <c r="B906" s="1" t="n">
        <v>45303</v>
      </c>
      <c r="C906" s="1" t="n">
        <v>45881</v>
      </c>
      <c r="D906" t="inlineStr">
        <is>
          <t>VÄSTERNORRLANDS LÄN</t>
        </is>
      </c>
      <c r="E906" t="inlineStr">
        <is>
          <t>SUNDSVALL</t>
        </is>
      </c>
      <c r="G906" t="n">
        <v>1.1</v>
      </c>
      <c r="H906" t="n">
        <v>0</v>
      </c>
      <c r="I906" t="n">
        <v>0</v>
      </c>
      <c r="J906" t="n">
        <v>0</v>
      </c>
      <c r="K906" t="n">
        <v>0</v>
      </c>
      <c r="L906" t="n">
        <v>0</v>
      </c>
      <c r="M906" t="n">
        <v>0</v>
      </c>
      <c r="N906" t="n">
        <v>0</v>
      </c>
      <c r="O906" t="n">
        <v>0</v>
      </c>
      <c r="P906" t="n">
        <v>0</v>
      </c>
      <c r="Q906" t="n">
        <v>0</v>
      </c>
      <c r="R906" s="2" t="inlineStr"/>
    </row>
    <row r="907" ht="15" customHeight="1">
      <c r="A907" t="inlineStr">
        <is>
          <t>A 21997-2023</t>
        </is>
      </c>
      <c r="B907" s="1" t="n">
        <v>45068</v>
      </c>
      <c r="C907" s="1" t="n">
        <v>45881</v>
      </c>
      <c r="D907" t="inlineStr">
        <is>
          <t>VÄSTERNORRLANDS LÄN</t>
        </is>
      </c>
      <c r="E907" t="inlineStr">
        <is>
          <t>SUNDSVALL</t>
        </is>
      </c>
      <c r="G907" t="n">
        <v>4.1</v>
      </c>
      <c r="H907" t="n">
        <v>0</v>
      </c>
      <c r="I907" t="n">
        <v>0</v>
      </c>
      <c r="J907" t="n">
        <v>0</v>
      </c>
      <c r="K907" t="n">
        <v>0</v>
      </c>
      <c r="L907" t="n">
        <v>0</v>
      </c>
      <c r="M907" t="n">
        <v>0</v>
      </c>
      <c r="N907" t="n">
        <v>0</v>
      </c>
      <c r="O907" t="n">
        <v>0</v>
      </c>
      <c r="P907" t="n">
        <v>0</v>
      </c>
      <c r="Q907" t="n">
        <v>0</v>
      </c>
      <c r="R907" s="2" t="inlineStr"/>
    </row>
    <row r="908" ht="15" customHeight="1">
      <c r="A908" t="inlineStr">
        <is>
          <t>A 43190-2023</t>
        </is>
      </c>
      <c r="B908" s="1" t="n">
        <v>45180</v>
      </c>
      <c r="C908" s="1" t="n">
        <v>45881</v>
      </c>
      <c r="D908" t="inlineStr">
        <is>
          <t>VÄSTERNORRLANDS LÄN</t>
        </is>
      </c>
      <c r="E908" t="inlineStr">
        <is>
          <t>SUNDSVALL</t>
        </is>
      </c>
      <c r="G908" t="n">
        <v>4.2</v>
      </c>
      <c r="H908" t="n">
        <v>0</v>
      </c>
      <c r="I908" t="n">
        <v>0</v>
      </c>
      <c r="J908" t="n">
        <v>0</v>
      </c>
      <c r="K908" t="n">
        <v>0</v>
      </c>
      <c r="L908" t="n">
        <v>0</v>
      </c>
      <c r="M908" t="n">
        <v>0</v>
      </c>
      <c r="N908" t="n">
        <v>0</v>
      </c>
      <c r="O908" t="n">
        <v>0</v>
      </c>
      <c r="P908" t="n">
        <v>0</v>
      </c>
      <c r="Q908" t="n">
        <v>0</v>
      </c>
      <c r="R908" s="2" t="inlineStr"/>
    </row>
    <row r="909" ht="15" customHeight="1">
      <c r="A909" t="inlineStr">
        <is>
          <t>A 30560-2024</t>
        </is>
      </c>
      <c r="B909" s="1" t="n">
        <v>45492.92827546296</v>
      </c>
      <c r="C909" s="1" t="n">
        <v>45881</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60650-2022</t>
        </is>
      </c>
      <c r="B910" s="1" t="n">
        <v>44911</v>
      </c>
      <c r="C910" s="1" t="n">
        <v>45881</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38303-2024</t>
        </is>
      </c>
      <c r="B911" s="1" t="n">
        <v>45545.63769675926</v>
      </c>
      <c r="C911" s="1" t="n">
        <v>45881</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33041-2023</t>
        </is>
      </c>
      <c r="B912" s="1" t="n">
        <v>45125</v>
      </c>
      <c r="C912" s="1" t="n">
        <v>45881</v>
      </c>
      <c r="D912" t="inlineStr">
        <is>
          <t>VÄSTERNORRLANDS LÄN</t>
        </is>
      </c>
      <c r="E912" t="inlineStr">
        <is>
          <t>SUNDSVALL</t>
        </is>
      </c>
      <c r="F912" t="inlineStr">
        <is>
          <t>SCA</t>
        </is>
      </c>
      <c r="G912" t="n">
        <v>7.2</v>
      </c>
      <c r="H912" t="n">
        <v>0</v>
      </c>
      <c r="I912" t="n">
        <v>0</v>
      </c>
      <c r="J912" t="n">
        <v>0</v>
      </c>
      <c r="K912" t="n">
        <v>0</v>
      </c>
      <c r="L912" t="n">
        <v>0</v>
      </c>
      <c r="M912" t="n">
        <v>0</v>
      </c>
      <c r="N912" t="n">
        <v>0</v>
      </c>
      <c r="O912" t="n">
        <v>0</v>
      </c>
      <c r="P912" t="n">
        <v>0</v>
      </c>
      <c r="Q912" t="n">
        <v>0</v>
      </c>
      <c r="R912" s="2" t="inlineStr"/>
    </row>
    <row r="913" ht="15" customHeight="1">
      <c r="A913" t="inlineStr">
        <is>
          <t>A 33044-2023</t>
        </is>
      </c>
      <c r="B913" s="1" t="n">
        <v>45125</v>
      </c>
      <c r="C913" s="1" t="n">
        <v>45881</v>
      </c>
      <c r="D913" t="inlineStr">
        <is>
          <t>VÄSTERNORRLANDS LÄN</t>
        </is>
      </c>
      <c r="E913" t="inlineStr">
        <is>
          <t>SUNDSVALL</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32652-2024</t>
        </is>
      </c>
      <c r="B914" s="1" t="n">
        <v>45513</v>
      </c>
      <c r="C914" s="1" t="n">
        <v>45881</v>
      </c>
      <c r="D914" t="inlineStr">
        <is>
          <t>VÄSTERNORRLANDS LÄN</t>
        </is>
      </c>
      <c r="E914" t="inlineStr">
        <is>
          <t>SUNDSVALL</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45053-2020</t>
        </is>
      </c>
      <c r="B915" s="1" t="n">
        <v>44084</v>
      </c>
      <c r="C915" s="1" t="n">
        <v>45881</v>
      </c>
      <c r="D915" t="inlineStr">
        <is>
          <t>VÄSTERNORRLANDS LÄN</t>
        </is>
      </c>
      <c r="E915" t="inlineStr">
        <is>
          <t>SUNDSVALL</t>
        </is>
      </c>
      <c r="G915" t="n">
        <v>16.6</v>
      </c>
      <c r="H915" t="n">
        <v>0</v>
      </c>
      <c r="I915" t="n">
        <v>0</v>
      </c>
      <c r="J915" t="n">
        <v>0</v>
      </c>
      <c r="K915" t="n">
        <v>0</v>
      </c>
      <c r="L915" t="n">
        <v>0</v>
      </c>
      <c r="M915" t="n">
        <v>0</v>
      </c>
      <c r="N915" t="n">
        <v>0</v>
      </c>
      <c r="O915" t="n">
        <v>0</v>
      </c>
      <c r="P915" t="n">
        <v>0</v>
      </c>
      <c r="Q915" t="n">
        <v>0</v>
      </c>
      <c r="R915" s="2" t="inlineStr"/>
    </row>
    <row r="916" ht="15" customHeight="1">
      <c r="A916" t="inlineStr">
        <is>
          <t>A 20134-2025</t>
        </is>
      </c>
      <c r="B916" s="1" t="n">
        <v>45772.51105324074</v>
      </c>
      <c r="C916" s="1" t="n">
        <v>45881</v>
      </c>
      <c r="D916" t="inlineStr">
        <is>
          <t>VÄSTERNORRLANDS LÄN</t>
        </is>
      </c>
      <c r="E916" t="inlineStr">
        <is>
          <t>SUNDSVALL</t>
        </is>
      </c>
      <c r="F916" t="inlineStr">
        <is>
          <t>Naturvårdsverket</t>
        </is>
      </c>
      <c r="G916" t="n">
        <v>9.5</v>
      </c>
      <c r="H916" t="n">
        <v>0</v>
      </c>
      <c r="I916" t="n">
        <v>0</v>
      </c>
      <c r="J916" t="n">
        <v>0</v>
      </c>
      <c r="K916" t="n">
        <v>0</v>
      </c>
      <c r="L916" t="n">
        <v>0</v>
      </c>
      <c r="M916" t="n">
        <v>0</v>
      </c>
      <c r="N916" t="n">
        <v>0</v>
      </c>
      <c r="O916" t="n">
        <v>0</v>
      </c>
      <c r="P916" t="n">
        <v>0</v>
      </c>
      <c r="Q916" t="n">
        <v>0</v>
      </c>
      <c r="R916" s="2" t="inlineStr"/>
    </row>
    <row r="917" ht="15" customHeight="1">
      <c r="A917" t="inlineStr">
        <is>
          <t>A 63840-2020</t>
        </is>
      </c>
      <c r="B917" s="1" t="n">
        <v>44166</v>
      </c>
      <c r="C917" s="1" t="n">
        <v>45881</v>
      </c>
      <c r="D917" t="inlineStr">
        <is>
          <t>VÄSTERNORRLANDS LÄN</t>
        </is>
      </c>
      <c r="E917" t="inlineStr">
        <is>
          <t>SUNDSVALL</t>
        </is>
      </c>
      <c r="G917" t="n">
        <v>0.2</v>
      </c>
      <c r="H917" t="n">
        <v>0</v>
      </c>
      <c r="I917" t="n">
        <v>0</v>
      </c>
      <c r="J917" t="n">
        <v>0</v>
      </c>
      <c r="K917" t="n">
        <v>0</v>
      </c>
      <c r="L917" t="n">
        <v>0</v>
      </c>
      <c r="M917" t="n">
        <v>0</v>
      </c>
      <c r="N917" t="n">
        <v>0</v>
      </c>
      <c r="O917" t="n">
        <v>0</v>
      </c>
      <c r="P917" t="n">
        <v>0</v>
      </c>
      <c r="Q917" t="n">
        <v>0</v>
      </c>
      <c r="R917" s="2" t="inlineStr"/>
    </row>
    <row r="918" ht="15" customHeight="1">
      <c r="A918" t="inlineStr">
        <is>
          <t>A 44022-2023</t>
        </is>
      </c>
      <c r="B918" s="1" t="n">
        <v>45188.34800925926</v>
      </c>
      <c r="C918" s="1" t="n">
        <v>45881</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7946-2022</t>
        </is>
      </c>
      <c r="B919" s="1" t="n">
        <v>44608</v>
      </c>
      <c r="C919" s="1" t="n">
        <v>45881</v>
      </c>
      <c r="D919" t="inlineStr">
        <is>
          <t>VÄSTERNORRLANDS LÄN</t>
        </is>
      </c>
      <c r="E919" t="inlineStr">
        <is>
          <t>SUNDSVALL</t>
        </is>
      </c>
      <c r="G919" t="n">
        <v>5.8</v>
      </c>
      <c r="H919" t="n">
        <v>0</v>
      </c>
      <c r="I919" t="n">
        <v>0</v>
      </c>
      <c r="J919" t="n">
        <v>0</v>
      </c>
      <c r="K919" t="n">
        <v>0</v>
      </c>
      <c r="L919" t="n">
        <v>0</v>
      </c>
      <c r="M919" t="n">
        <v>0</v>
      </c>
      <c r="N919" t="n">
        <v>0</v>
      </c>
      <c r="O919" t="n">
        <v>0</v>
      </c>
      <c r="P919" t="n">
        <v>0</v>
      </c>
      <c r="Q919" t="n">
        <v>0</v>
      </c>
      <c r="R919" s="2" t="inlineStr"/>
    </row>
    <row r="920" ht="15" customHeight="1">
      <c r="A920" t="inlineStr">
        <is>
          <t>A 22139-2023</t>
        </is>
      </c>
      <c r="B920" s="1" t="n">
        <v>45068</v>
      </c>
      <c r="C920" s="1" t="n">
        <v>45881</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58290-2022</t>
        </is>
      </c>
      <c r="B921" s="1" t="n">
        <v>44901.50284722223</v>
      </c>
      <c r="C921" s="1" t="n">
        <v>45881</v>
      </c>
      <c r="D921" t="inlineStr">
        <is>
          <t>VÄSTERNORRLANDS LÄN</t>
        </is>
      </c>
      <c r="E921" t="inlineStr">
        <is>
          <t>SUNDSVALL</t>
        </is>
      </c>
      <c r="G921" t="n">
        <v>2.4</v>
      </c>
      <c r="H921" t="n">
        <v>0</v>
      </c>
      <c r="I921" t="n">
        <v>0</v>
      </c>
      <c r="J921" t="n">
        <v>0</v>
      </c>
      <c r="K921" t="n">
        <v>0</v>
      </c>
      <c r="L921" t="n">
        <v>0</v>
      </c>
      <c r="M921" t="n">
        <v>0</v>
      </c>
      <c r="N921" t="n">
        <v>0</v>
      </c>
      <c r="O921" t="n">
        <v>0</v>
      </c>
      <c r="P921" t="n">
        <v>0</v>
      </c>
      <c r="Q921" t="n">
        <v>0</v>
      </c>
      <c r="R921" s="2" t="inlineStr"/>
    </row>
    <row r="922" ht="15" customHeight="1">
      <c r="A922" t="inlineStr">
        <is>
          <t>A 25407-2023</t>
        </is>
      </c>
      <c r="B922" s="1" t="n">
        <v>45089.37394675926</v>
      </c>
      <c r="C922" s="1" t="n">
        <v>45881</v>
      </c>
      <c r="D922" t="inlineStr">
        <is>
          <t>VÄSTERNORRLANDS LÄN</t>
        </is>
      </c>
      <c r="E922" t="inlineStr">
        <is>
          <t>SUNDSVALL</t>
        </is>
      </c>
      <c r="G922" t="n">
        <v>1.4</v>
      </c>
      <c r="H922" t="n">
        <v>0</v>
      </c>
      <c r="I922" t="n">
        <v>0</v>
      </c>
      <c r="J922" t="n">
        <v>0</v>
      </c>
      <c r="K922" t="n">
        <v>0</v>
      </c>
      <c r="L922" t="n">
        <v>0</v>
      </c>
      <c r="M922" t="n">
        <v>0</v>
      </c>
      <c r="N922" t="n">
        <v>0</v>
      </c>
      <c r="O922" t="n">
        <v>0</v>
      </c>
      <c r="P922" t="n">
        <v>0</v>
      </c>
      <c r="Q922" t="n">
        <v>0</v>
      </c>
      <c r="R922" s="2" t="inlineStr"/>
    </row>
    <row r="923" ht="15" customHeight="1">
      <c r="A923" t="inlineStr">
        <is>
          <t>A 62083-2021</t>
        </is>
      </c>
      <c r="B923" s="1" t="n">
        <v>44502.60898148148</v>
      </c>
      <c r="C923" s="1" t="n">
        <v>45881</v>
      </c>
      <c r="D923" t="inlineStr">
        <is>
          <t>VÄSTERNORRLANDS LÄN</t>
        </is>
      </c>
      <c r="E923" t="inlineStr">
        <is>
          <t>SUNDSVALL</t>
        </is>
      </c>
      <c r="G923" t="n">
        <v>1.2</v>
      </c>
      <c r="H923" t="n">
        <v>0</v>
      </c>
      <c r="I923" t="n">
        <v>0</v>
      </c>
      <c r="J923" t="n">
        <v>0</v>
      </c>
      <c r="K923" t="n">
        <v>0</v>
      </c>
      <c r="L923" t="n">
        <v>0</v>
      </c>
      <c r="M923" t="n">
        <v>0</v>
      </c>
      <c r="N923" t="n">
        <v>0</v>
      </c>
      <c r="O923" t="n">
        <v>0</v>
      </c>
      <c r="P923" t="n">
        <v>0</v>
      </c>
      <c r="Q923" t="n">
        <v>0</v>
      </c>
      <c r="R923" s="2" t="inlineStr"/>
    </row>
    <row r="924" ht="15" customHeight="1">
      <c r="A924" t="inlineStr">
        <is>
          <t>A 15632-2025</t>
        </is>
      </c>
      <c r="B924" s="1" t="n">
        <v>45748.369375</v>
      </c>
      <c r="C924" s="1" t="n">
        <v>45881</v>
      </c>
      <c r="D924" t="inlineStr">
        <is>
          <t>VÄSTERNORRLANDS LÄN</t>
        </is>
      </c>
      <c r="E924" t="inlineStr">
        <is>
          <t>SUNDSVALL</t>
        </is>
      </c>
      <c r="G924" t="n">
        <v>4.8</v>
      </c>
      <c r="H924" t="n">
        <v>0</v>
      </c>
      <c r="I924" t="n">
        <v>0</v>
      </c>
      <c r="J924" t="n">
        <v>0</v>
      </c>
      <c r="K924" t="n">
        <v>0</v>
      </c>
      <c r="L924" t="n">
        <v>0</v>
      </c>
      <c r="M924" t="n">
        <v>0</v>
      </c>
      <c r="N924" t="n">
        <v>0</v>
      </c>
      <c r="O924" t="n">
        <v>0</v>
      </c>
      <c r="P924" t="n">
        <v>0</v>
      </c>
      <c r="Q924" t="n">
        <v>0</v>
      </c>
      <c r="R924" s="2" t="inlineStr"/>
    </row>
    <row r="925" ht="15" customHeight="1">
      <c r="A925" t="inlineStr">
        <is>
          <t>A 6777-2025</t>
        </is>
      </c>
      <c r="B925" s="1" t="n">
        <v>45700</v>
      </c>
      <c r="C925" s="1" t="n">
        <v>45881</v>
      </c>
      <c r="D925" t="inlineStr">
        <is>
          <t>VÄSTERNORRLANDS LÄN</t>
        </is>
      </c>
      <c r="E925" t="inlineStr">
        <is>
          <t>SUNDSVALL</t>
        </is>
      </c>
      <c r="G925" t="n">
        <v>3.1</v>
      </c>
      <c r="H925" t="n">
        <v>0</v>
      </c>
      <c r="I925" t="n">
        <v>0</v>
      </c>
      <c r="J925" t="n">
        <v>0</v>
      </c>
      <c r="K925" t="n">
        <v>0</v>
      </c>
      <c r="L925" t="n">
        <v>0</v>
      </c>
      <c r="M925" t="n">
        <v>0</v>
      </c>
      <c r="N925" t="n">
        <v>0</v>
      </c>
      <c r="O925" t="n">
        <v>0</v>
      </c>
      <c r="P925" t="n">
        <v>0</v>
      </c>
      <c r="Q925" t="n">
        <v>0</v>
      </c>
      <c r="R925" s="2" t="inlineStr"/>
    </row>
    <row r="926" ht="15" customHeight="1">
      <c r="A926" t="inlineStr">
        <is>
          <t>A 58037-2021</t>
        </is>
      </c>
      <c r="B926" s="1" t="n">
        <v>44487</v>
      </c>
      <c r="C926" s="1" t="n">
        <v>45881</v>
      </c>
      <c r="D926" t="inlineStr">
        <is>
          <t>VÄSTERNORRLANDS LÄN</t>
        </is>
      </c>
      <c r="E926" t="inlineStr">
        <is>
          <t>SUNDSVALL</t>
        </is>
      </c>
      <c r="G926" t="n">
        <v>2</v>
      </c>
      <c r="H926" t="n">
        <v>0</v>
      </c>
      <c r="I926" t="n">
        <v>0</v>
      </c>
      <c r="J926" t="n">
        <v>0</v>
      </c>
      <c r="K926" t="n">
        <v>0</v>
      </c>
      <c r="L926" t="n">
        <v>0</v>
      </c>
      <c r="M926" t="n">
        <v>0</v>
      </c>
      <c r="N926" t="n">
        <v>0</v>
      </c>
      <c r="O926" t="n">
        <v>0</v>
      </c>
      <c r="P926" t="n">
        <v>0</v>
      </c>
      <c r="Q926" t="n">
        <v>0</v>
      </c>
      <c r="R926" s="2" t="inlineStr"/>
    </row>
    <row r="927" ht="15" customHeight="1">
      <c r="A927" t="inlineStr">
        <is>
          <t>A 59440-2021</t>
        </is>
      </c>
      <c r="B927" s="1" t="n">
        <v>44491</v>
      </c>
      <c r="C927" s="1" t="n">
        <v>45881</v>
      </c>
      <c r="D927" t="inlineStr">
        <is>
          <t>VÄSTERNORRLANDS LÄN</t>
        </is>
      </c>
      <c r="E927" t="inlineStr">
        <is>
          <t>SUNDSVALL</t>
        </is>
      </c>
      <c r="G927" t="n">
        <v>4.9</v>
      </c>
      <c r="H927" t="n">
        <v>0</v>
      </c>
      <c r="I927" t="n">
        <v>0</v>
      </c>
      <c r="J927" t="n">
        <v>0</v>
      </c>
      <c r="K927" t="n">
        <v>0</v>
      </c>
      <c r="L927" t="n">
        <v>0</v>
      </c>
      <c r="M927" t="n">
        <v>0</v>
      </c>
      <c r="N927" t="n">
        <v>0</v>
      </c>
      <c r="O927" t="n">
        <v>0</v>
      </c>
      <c r="P927" t="n">
        <v>0</v>
      </c>
      <c r="Q927" t="n">
        <v>0</v>
      </c>
      <c r="R927" s="2" t="inlineStr"/>
    </row>
    <row r="928" ht="15" customHeight="1">
      <c r="A928" t="inlineStr">
        <is>
          <t>A 11724-2025</t>
        </is>
      </c>
      <c r="B928" s="1" t="n">
        <v>45727.61490740741</v>
      </c>
      <c r="C928" s="1" t="n">
        <v>45881</v>
      </c>
      <c r="D928" t="inlineStr">
        <is>
          <t>VÄSTERNORRLANDS LÄN</t>
        </is>
      </c>
      <c r="E928" t="inlineStr">
        <is>
          <t>SUNDSVALL</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56231-2023</t>
        </is>
      </c>
      <c r="B929" s="1" t="n">
        <v>45240.92366898148</v>
      </c>
      <c r="C929" s="1" t="n">
        <v>45881</v>
      </c>
      <c r="D929" t="inlineStr">
        <is>
          <t>VÄSTERNORRLANDS LÄN</t>
        </is>
      </c>
      <c r="E929" t="inlineStr">
        <is>
          <t>SUNDSVALL</t>
        </is>
      </c>
      <c r="G929" t="n">
        <v>18.4</v>
      </c>
      <c r="H929" t="n">
        <v>0</v>
      </c>
      <c r="I929" t="n">
        <v>0</v>
      </c>
      <c r="J929" t="n">
        <v>0</v>
      </c>
      <c r="K929" t="n">
        <v>0</v>
      </c>
      <c r="L929" t="n">
        <v>0</v>
      </c>
      <c r="M929" t="n">
        <v>0</v>
      </c>
      <c r="N929" t="n">
        <v>0</v>
      </c>
      <c r="O929" t="n">
        <v>0</v>
      </c>
      <c r="P929" t="n">
        <v>0</v>
      </c>
      <c r="Q929" t="n">
        <v>0</v>
      </c>
      <c r="R929" s="2" t="inlineStr"/>
    </row>
    <row r="930" ht="15" customHeight="1">
      <c r="A930" t="inlineStr">
        <is>
          <t>A 43002-2024</t>
        </is>
      </c>
      <c r="B930" s="1" t="n">
        <v>45567.37609953704</v>
      </c>
      <c r="C930" s="1" t="n">
        <v>45881</v>
      </c>
      <c r="D930" t="inlineStr">
        <is>
          <t>VÄSTERNORRLANDS LÄN</t>
        </is>
      </c>
      <c r="E930" t="inlineStr">
        <is>
          <t>SUNDSVALL</t>
        </is>
      </c>
      <c r="G930" t="n">
        <v>0.7</v>
      </c>
      <c r="H930" t="n">
        <v>0</v>
      </c>
      <c r="I930" t="n">
        <v>0</v>
      </c>
      <c r="J930" t="n">
        <v>0</v>
      </c>
      <c r="K930" t="n">
        <v>0</v>
      </c>
      <c r="L930" t="n">
        <v>0</v>
      </c>
      <c r="M930" t="n">
        <v>0</v>
      </c>
      <c r="N930" t="n">
        <v>0</v>
      </c>
      <c r="O930" t="n">
        <v>0</v>
      </c>
      <c r="P930" t="n">
        <v>0</v>
      </c>
      <c r="Q930" t="n">
        <v>0</v>
      </c>
      <c r="R930" s="2" t="inlineStr"/>
    </row>
    <row r="931" ht="15" customHeight="1">
      <c r="A931" t="inlineStr">
        <is>
          <t>A 64318-2023</t>
        </is>
      </c>
      <c r="B931" s="1" t="n">
        <v>45279</v>
      </c>
      <c r="C931" s="1" t="n">
        <v>45881</v>
      </c>
      <c r="D931" t="inlineStr">
        <is>
          <t>VÄSTERNORRLANDS LÄN</t>
        </is>
      </c>
      <c r="E931" t="inlineStr">
        <is>
          <t>SUNDSVALL</t>
        </is>
      </c>
      <c r="G931" t="n">
        <v>6</v>
      </c>
      <c r="H931" t="n">
        <v>0</v>
      </c>
      <c r="I931" t="n">
        <v>0</v>
      </c>
      <c r="J931" t="n">
        <v>0</v>
      </c>
      <c r="K931" t="n">
        <v>0</v>
      </c>
      <c r="L931" t="n">
        <v>0</v>
      </c>
      <c r="M931" t="n">
        <v>0</v>
      </c>
      <c r="N931" t="n">
        <v>0</v>
      </c>
      <c r="O931" t="n">
        <v>0</v>
      </c>
      <c r="P931" t="n">
        <v>0</v>
      </c>
      <c r="Q931" t="n">
        <v>0</v>
      </c>
      <c r="R931" s="2" t="inlineStr"/>
    </row>
    <row r="932" ht="15" customHeight="1">
      <c r="A932" t="inlineStr">
        <is>
          <t>A 50824-2022</t>
        </is>
      </c>
      <c r="B932" s="1" t="n">
        <v>44862</v>
      </c>
      <c r="C932" s="1" t="n">
        <v>45881</v>
      </c>
      <c r="D932" t="inlineStr">
        <is>
          <t>VÄSTERNORRLANDS LÄN</t>
        </is>
      </c>
      <c r="E932" t="inlineStr">
        <is>
          <t>SUNDSVALL</t>
        </is>
      </c>
      <c r="G932" t="n">
        <v>0.8</v>
      </c>
      <c r="H932" t="n">
        <v>0</v>
      </c>
      <c r="I932" t="n">
        <v>0</v>
      </c>
      <c r="J932" t="n">
        <v>0</v>
      </c>
      <c r="K932" t="n">
        <v>0</v>
      </c>
      <c r="L932" t="n">
        <v>0</v>
      </c>
      <c r="M932" t="n">
        <v>0</v>
      </c>
      <c r="N932" t="n">
        <v>0</v>
      </c>
      <c r="O932" t="n">
        <v>0</v>
      </c>
      <c r="P932" t="n">
        <v>0</v>
      </c>
      <c r="Q932" t="n">
        <v>0</v>
      </c>
      <c r="R932" s="2" t="inlineStr"/>
    </row>
    <row r="933" ht="15" customHeight="1">
      <c r="A933" t="inlineStr">
        <is>
          <t>A 19760-2025</t>
        </is>
      </c>
      <c r="B933" s="1" t="n">
        <v>45771.40658564815</v>
      </c>
      <c r="C933" s="1" t="n">
        <v>45881</v>
      </c>
      <c r="D933" t="inlineStr">
        <is>
          <t>VÄSTERNORRLANDS LÄN</t>
        </is>
      </c>
      <c r="E933" t="inlineStr">
        <is>
          <t>SUNDSVALL</t>
        </is>
      </c>
      <c r="F933" t="inlineStr">
        <is>
          <t>SCA</t>
        </is>
      </c>
      <c r="G933" t="n">
        <v>6.6</v>
      </c>
      <c r="H933" t="n">
        <v>0</v>
      </c>
      <c r="I933" t="n">
        <v>0</v>
      </c>
      <c r="J933" t="n">
        <v>0</v>
      </c>
      <c r="K933" t="n">
        <v>0</v>
      </c>
      <c r="L933" t="n">
        <v>0</v>
      </c>
      <c r="M933" t="n">
        <v>0</v>
      </c>
      <c r="N933" t="n">
        <v>0</v>
      </c>
      <c r="O933" t="n">
        <v>0</v>
      </c>
      <c r="P933" t="n">
        <v>0</v>
      </c>
      <c r="Q933" t="n">
        <v>0</v>
      </c>
      <c r="R933" s="2" t="inlineStr"/>
    </row>
    <row r="934" ht="15" customHeight="1">
      <c r="A934" t="inlineStr">
        <is>
          <t>A 39754-2024</t>
        </is>
      </c>
      <c r="B934" s="1" t="n">
        <v>45552.67739583334</v>
      </c>
      <c r="C934" s="1" t="n">
        <v>45881</v>
      </c>
      <c r="D934" t="inlineStr">
        <is>
          <t>VÄSTERNORRLANDS LÄN</t>
        </is>
      </c>
      <c r="E934" t="inlineStr">
        <is>
          <t>SUNDSVALL</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56192-2023</t>
        </is>
      </c>
      <c r="B935" s="1" t="n">
        <v>45240</v>
      </c>
      <c r="C935" s="1" t="n">
        <v>45881</v>
      </c>
      <c r="D935" t="inlineStr">
        <is>
          <t>VÄSTERNORRLANDS LÄN</t>
        </is>
      </c>
      <c r="E935" t="inlineStr">
        <is>
          <t>SUNDSVALL</t>
        </is>
      </c>
      <c r="G935" t="n">
        <v>6.2</v>
      </c>
      <c r="H935" t="n">
        <v>0</v>
      </c>
      <c r="I935" t="n">
        <v>0</v>
      </c>
      <c r="J935" t="n">
        <v>0</v>
      </c>
      <c r="K935" t="n">
        <v>0</v>
      </c>
      <c r="L935" t="n">
        <v>0</v>
      </c>
      <c r="M935" t="n">
        <v>0</v>
      </c>
      <c r="N935" t="n">
        <v>0</v>
      </c>
      <c r="O935" t="n">
        <v>0</v>
      </c>
      <c r="P935" t="n">
        <v>0</v>
      </c>
      <c r="Q935" t="n">
        <v>0</v>
      </c>
      <c r="R935" s="2" t="inlineStr"/>
    </row>
    <row r="936" ht="15" customHeight="1">
      <c r="A936" t="inlineStr">
        <is>
          <t>A 56195-2023</t>
        </is>
      </c>
      <c r="B936" s="1" t="n">
        <v>45240.66042824074</v>
      </c>
      <c r="C936" s="1" t="n">
        <v>45881</v>
      </c>
      <c r="D936" t="inlineStr">
        <is>
          <t>VÄSTERNORRLANDS LÄN</t>
        </is>
      </c>
      <c r="E936" t="inlineStr">
        <is>
          <t>SUNDSVALL</t>
        </is>
      </c>
      <c r="G936" t="n">
        <v>2.6</v>
      </c>
      <c r="H936" t="n">
        <v>0</v>
      </c>
      <c r="I936" t="n">
        <v>0</v>
      </c>
      <c r="J936" t="n">
        <v>0</v>
      </c>
      <c r="K936" t="n">
        <v>0</v>
      </c>
      <c r="L936" t="n">
        <v>0</v>
      </c>
      <c r="M936" t="n">
        <v>0</v>
      </c>
      <c r="N936" t="n">
        <v>0</v>
      </c>
      <c r="O936" t="n">
        <v>0</v>
      </c>
      <c r="P936" t="n">
        <v>0</v>
      </c>
      <c r="Q936" t="n">
        <v>0</v>
      </c>
      <c r="R936" s="2" t="inlineStr"/>
    </row>
    <row r="937" ht="15" customHeight="1">
      <c r="A937" t="inlineStr">
        <is>
          <t>A 27641-2023</t>
        </is>
      </c>
      <c r="B937" s="1" t="n">
        <v>45097</v>
      </c>
      <c r="C937" s="1" t="n">
        <v>45881</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58185-2022</t>
        </is>
      </c>
      <c r="B938" s="1" t="n">
        <v>44900</v>
      </c>
      <c r="C938" s="1" t="n">
        <v>45881</v>
      </c>
      <c r="D938" t="inlineStr">
        <is>
          <t>VÄSTERNORRLANDS LÄN</t>
        </is>
      </c>
      <c r="E938" t="inlineStr">
        <is>
          <t>SUNDSVALL</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10201-2024</t>
        </is>
      </c>
      <c r="B939" s="1" t="n">
        <v>45364.92842592593</v>
      </c>
      <c r="C939" s="1" t="n">
        <v>45881</v>
      </c>
      <c r="D939" t="inlineStr">
        <is>
          <t>VÄSTERNORRLANDS LÄN</t>
        </is>
      </c>
      <c r="E939" t="inlineStr">
        <is>
          <t>SUNDSVALL</t>
        </is>
      </c>
      <c r="G939" t="n">
        <v>3.7</v>
      </c>
      <c r="H939" t="n">
        <v>0</v>
      </c>
      <c r="I939" t="n">
        <v>0</v>
      </c>
      <c r="J939" t="n">
        <v>0</v>
      </c>
      <c r="K939" t="n">
        <v>0</v>
      </c>
      <c r="L939" t="n">
        <v>0</v>
      </c>
      <c r="M939" t="n">
        <v>0</v>
      </c>
      <c r="N939" t="n">
        <v>0</v>
      </c>
      <c r="O939" t="n">
        <v>0</v>
      </c>
      <c r="P939" t="n">
        <v>0</v>
      </c>
      <c r="Q939" t="n">
        <v>0</v>
      </c>
      <c r="R939" s="2" t="inlineStr"/>
    </row>
    <row r="940" ht="15" customHeight="1">
      <c r="A940" t="inlineStr">
        <is>
          <t>A 54578-2022</t>
        </is>
      </c>
      <c r="B940" s="1" t="n">
        <v>44882</v>
      </c>
      <c r="C940" s="1" t="n">
        <v>45881</v>
      </c>
      <c r="D940" t="inlineStr">
        <is>
          <t>VÄSTERNORRLANDS LÄN</t>
        </is>
      </c>
      <c r="E940" t="inlineStr">
        <is>
          <t>SUNDSVALL</t>
        </is>
      </c>
      <c r="G940" t="n">
        <v>2.8</v>
      </c>
      <c r="H940" t="n">
        <v>0</v>
      </c>
      <c r="I940" t="n">
        <v>0</v>
      </c>
      <c r="J940" t="n">
        <v>0</v>
      </c>
      <c r="K940" t="n">
        <v>0</v>
      </c>
      <c r="L940" t="n">
        <v>0</v>
      </c>
      <c r="M940" t="n">
        <v>0</v>
      </c>
      <c r="N940" t="n">
        <v>0</v>
      </c>
      <c r="O940" t="n">
        <v>0</v>
      </c>
      <c r="P940" t="n">
        <v>0</v>
      </c>
      <c r="Q940" t="n">
        <v>0</v>
      </c>
      <c r="R940" s="2" t="inlineStr"/>
    </row>
    <row r="941" ht="15" customHeight="1">
      <c r="A941" t="inlineStr">
        <is>
          <t>A 42771-2024</t>
        </is>
      </c>
      <c r="B941" s="1" t="n">
        <v>45566.51241898148</v>
      </c>
      <c r="C941" s="1" t="n">
        <v>45881</v>
      </c>
      <c r="D941" t="inlineStr">
        <is>
          <t>VÄSTERNORRLANDS LÄN</t>
        </is>
      </c>
      <c r="E941" t="inlineStr">
        <is>
          <t>SUNDSVALL</t>
        </is>
      </c>
      <c r="G941" t="n">
        <v>2.8</v>
      </c>
      <c r="H941" t="n">
        <v>0</v>
      </c>
      <c r="I941" t="n">
        <v>0</v>
      </c>
      <c r="J941" t="n">
        <v>0</v>
      </c>
      <c r="K941" t="n">
        <v>0</v>
      </c>
      <c r="L941" t="n">
        <v>0</v>
      </c>
      <c r="M941" t="n">
        <v>0</v>
      </c>
      <c r="N941" t="n">
        <v>0</v>
      </c>
      <c r="O941" t="n">
        <v>0</v>
      </c>
      <c r="P941" t="n">
        <v>0</v>
      </c>
      <c r="Q941" t="n">
        <v>0</v>
      </c>
      <c r="R941" s="2" t="inlineStr"/>
    </row>
    <row r="942" ht="15" customHeight="1">
      <c r="A942" t="inlineStr">
        <is>
          <t>A 45150-2023</t>
        </is>
      </c>
      <c r="B942" s="1" t="n">
        <v>45191</v>
      </c>
      <c r="C942" s="1" t="n">
        <v>45881</v>
      </c>
      <c r="D942" t="inlineStr">
        <is>
          <t>VÄSTERNORRLANDS LÄN</t>
        </is>
      </c>
      <c r="E942" t="inlineStr">
        <is>
          <t>SUNDSVALL</t>
        </is>
      </c>
      <c r="G942" t="n">
        <v>1.9</v>
      </c>
      <c r="H942" t="n">
        <v>0</v>
      </c>
      <c r="I942" t="n">
        <v>0</v>
      </c>
      <c r="J942" t="n">
        <v>0</v>
      </c>
      <c r="K942" t="n">
        <v>0</v>
      </c>
      <c r="L942" t="n">
        <v>0</v>
      </c>
      <c r="M942" t="n">
        <v>0</v>
      </c>
      <c r="N942" t="n">
        <v>0</v>
      </c>
      <c r="O942" t="n">
        <v>0</v>
      </c>
      <c r="P942" t="n">
        <v>0</v>
      </c>
      <c r="Q942" t="n">
        <v>0</v>
      </c>
      <c r="R942" s="2" t="inlineStr"/>
    </row>
    <row r="943" ht="15" customHeight="1">
      <c r="A943" t="inlineStr">
        <is>
          <t>A 52939-2023</t>
        </is>
      </c>
      <c r="B943" s="1" t="n">
        <v>45222</v>
      </c>
      <c r="C943" s="1" t="n">
        <v>45881</v>
      </c>
      <c r="D943" t="inlineStr">
        <is>
          <t>VÄSTERNORRLANDS LÄN</t>
        </is>
      </c>
      <c r="E943" t="inlineStr">
        <is>
          <t>SUNDSVALL</t>
        </is>
      </c>
      <c r="G943" t="n">
        <v>0.2</v>
      </c>
      <c r="H943" t="n">
        <v>0</v>
      </c>
      <c r="I943" t="n">
        <v>0</v>
      </c>
      <c r="J943" t="n">
        <v>0</v>
      </c>
      <c r="K943" t="n">
        <v>0</v>
      </c>
      <c r="L943" t="n">
        <v>0</v>
      </c>
      <c r="M943" t="n">
        <v>0</v>
      </c>
      <c r="N943" t="n">
        <v>0</v>
      </c>
      <c r="O943" t="n">
        <v>0</v>
      </c>
      <c r="P943" t="n">
        <v>0</v>
      </c>
      <c r="Q943" t="n">
        <v>0</v>
      </c>
      <c r="R943" s="2" t="inlineStr"/>
    </row>
    <row r="944" ht="15" customHeight="1">
      <c r="A944" t="inlineStr">
        <is>
          <t>A 3634-2023</t>
        </is>
      </c>
      <c r="B944" s="1" t="n">
        <v>44950</v>
      </c>
      <c r="C944" s="1" t="n">
        <v>45881</v>
      </c>
      <c r="D944" t="inlineStr">
        <is>
          <t>VÄSTERNORRLANDS LÄN</t>
        </is>
      </c>
      <c r="E944" t="inlineStr">
        <is>
          <t>SUNDSVALL</t>
        </is>
      </c>
      <c r="G944" t="n">
        <v>49.4</v>
      </c>
      <c r="H944" t="n">
        <v>0</v>
      </c>
      <c r="I944" t="n">
        <v>0</v>
      </c>
      <c r="J944" t="n">
        <v>0</v>
      </c>
      <c r="K944" t="n">
        <v>0</v>
      </c>
      <c r="L944" t="n">
        <v>0</v>
      </c>
      <c r="M944" t="n">
        <v>0</v>
      </c>
      <c r="N944" t="n">
        <v>0</v>
      </c>
      <c r="O944" t="n">
        <v>0</v>
      </c>
      <c r="P944" t="n">
        <v>0</v>
      </c>
      <c r="Q944" t="n">
        <v>0</v>
      </c>
      <c r="R944" s="2" t="inlineStr"/>
    </row>
    <row r="945" ht="15" customHeight="1">
      <c r="A945" t="inlineStr">
        <is>
          <t>A 3619-2024</t>
        </is>
      </c>
      <c r="B945" s="1" t="n">
        <v>45320.95262731481</v>
      </c>
      <c r="C945" s="1" t="n">
        <v>45881</v>
      </c>
      <c r="D945" t="inlineStr">
        <is>
          <t>VÄSTERNORRLANDS LÄN</t>
        </is>
      </c>
      <c r="E945" t="inlineStr">
        <is>
          <t>SUNDSVALL</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44758-2024</t>
        </is>
      </c>
      <c r="B946" s="1" t="n">
        <v>45574.61493055556</v>
      </c>
      <c r="C946" s="1" t="n">
        <v>45881</v>
      </c>
      <c r="D946" t="inlineStr">
        <is>
          <t>VÄSTERNORRLANDS LÄN</t>
        </is>
      </c>
      <c r="E946" t="inlineStr">
        <is>
          <t>SUNDSVALL</t>
        </is>
      </c>
      <c r="G946" t="n">
        <v>3.6</v>
      </c>
      <c r="H946" t="n">
        <v>0</v>
      </c>
      <c r="I946" t="n">
        <v>0</v>
      </c>
      <c r="J946" t="n">
        <v>0</v>
      </c>
      <c r="K946" t="n">
        <v>0</v>
      </c>
      <c r="L946" t="n">
        <v>0</v>
      </c>
      <c r="M946" t="n">
        <v>0</v>
      </c>
      <c r="N946" t="n">
        <v>0</v>
      </c>
      <c r="O946" t="n">
        <v>0</v>
      </c>
      <c r="P946" t="n">
        <v>0</v>
      </c>
      <c r="Q946" t="n">
        <v>0</v>
      </c>
      <c r="R946" s="2" t="inlineStr"/>
    </row>
    <row r="947" ht="15" customHeight="1">
      <c r="A947" t="inlineStr">
        <is>
          <t>A 9310-2024</t>
        </is>
      </c>
      <c r="B947" s="1" t="n">
        <v>45358</v>
      </c>
      <c r="C947" s="1" t="n">
        <v>45881</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14154-2024</t>
        </is>
      </c>
      <c r="B948" s="1" t="n">
        <v>45392.92877314815</v>
      </c>
      <c r="C948" s="1" t="n">
        <v>45881</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44609.94840277778</v>
      </c>
      <c r="C949" s="1" t="n">
        <v>45881</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5797-2021</t>
        </is>
      </c>
      <c r="B950" s="1" t="n">
        <v>44230</v>
      </c>
      <c r="C950" s="1" t="n">
        <v>45881</v>
      </c>
      <c r="D950" t="inlineStr">
        <is>
          <t>VÄSTERNORRLANDS LÄN</t>
        </is>
      </c>
      <c r="E950" t="inlineStr">
        <is>
          <t>SUNDSVALL</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15802-2022</t>
        </is>
      </c>
      <c r="B951" s="1" t="n">
        <v>44663.92585648148</v>
      </c>
      <c r="C951" s="1" t="n">
        <v>45881</v>
      </c>
      <c r="D951" t="inlineStr">
        <is>
          <t>VÄSTERNORRLANDS LÄN</t>
        </is>
      </c>
      <c r="E951" t="inlineStr">
        <is>
          <t>SUNDSVALL</t>
        </is>
      </c>
      <c r="G951" t="n">
        <v>4.6</v>
      </c>
      <c r="H951" t="n">
        <v>0</v>
      </c>
      <c r="I951" t="n">
        <v>0</v>
      </c>
      <c r="J951" t="n">
        <v>0</v>
      </c>
      <c r="K951" t="n">
        <v>0</v>
      </c>
      <c r="L951" t="n">
        <v>0</v>
      </c>
      <c r="M951" t="n">
        <v>0</v>
      </c>
      <c r="N951" t="n">
        <v>0</v>
      </c>
      <c r="O951" t="n">
        <v>0</v>
      </c>
      <c r="P951" t="n">
        <v>0</v>
      </c>
      <c r="Q951" t="n">
        <v>0</v>
      </c>
      <c r="R951" s="2" t="inlineStr"/>
    </row>
    <row r="952" ht="15" customHeight="1">
      <c r="A952" t="inlineStr">
        <is>
          <t>A 40317-2024</t>
        </is>
      </c>
      <c r="B952" s="1" t="n">
        <v>45554.793125</v>
      </c>
      <c r="C952" s="1" t="n">
        <v>45881</v>
      </c>
      <c r="D952" t="inlineStr">
        <is>
          <t>VÄSTERNORRLANDS LÄN</t>
        </is>
      </c>
      <c r="E952" t="inlineStr">
        <is>
          <t>SUNDSVALL</t>
        </is>
      </c>
      <c r="G952" t="n">
        <v>12.5</v>
      </c>
      <c r="H952" t="n">
        <v>0</v>
      </c>
      <c r="I952" t="n">
        <v>0</v>
      </c>
      <c r="J952" t="n">
        <v>0</v>
      </c>
      <c r="K952" t="n">
        <v>0</v>
      </c>
      <c r="L952" t="n">
        <v>0</v>
      </c>
      <c r="M952" t="n">
        <v>0</v>
      </c>
      <c r="N952" t="n">
        <v>0</v>
      </c>
      <c r="O952" t="n">
        <v>0</v>
      </c>
      <c r="P952" t="n">
        <v>0</v>
      </c>
      <c r="Q952" t="n">
        <v>0</v>
      </c>
      <c r="R952" s="2" t="inlineStr"/>
    </row>
    <row r="953" ht="15" customHeight="1">
      <c r="A953" t="inlineStr">
        <is>
          <t>A 55528-2022</t>
        </is>
      </c>
      <c r="B953" s="1" t="n">
        <v>44887</v>
      </c>
      <c r="C953" s="1" t="n">
        <v>45881</v>
      </c>
      <c r="D953" t="inlineStr">
        <is>
          <t>VÄSTERNORRLANDS LÄN</t>
        </is>
      </c>
      <c r="E953" t="inlineStr">
        <is>
          <t>SUNDSVALL</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59928-2023</t>
        </is>
      </c>
      <c r="B954" s="1" t="n">
        <v>45254</v>
      </c>
      <c r="C954" s="1" t="n">
        <v>45881</v>
      </c>
      <c r="D954" t="inlineStr">
        <is>
          <t>VÄSTERNORRLANDS LÄN</t>
        </is>
      </c>
      <c r="E954" t="inlineStr">
        <is>
          <t>SUNDSVALL</t>
        </is>
      </c>
      <c r="G954" t="n">
        <v>1.1</v>
      </c>
      <c r="H954" t="n">
        <v>0</v>
      </c>
      <c r="I954" t="n">
        <v>0</v>
      </c>
      <c r="J954" t="n">
        <v>0</v>
      </c>
      <c r="K954" t="n">
        <v>0</v>
      </c>
      <c r="L954" t="n">
        <v>0</v>
      </c>
      <c r="M954" t="n">
        <v>0</v>
      </c>
      <c r="N954" t="n">
        <v>0</v>
      </c>
      <c r="O954" t="n">
        <v>0</v>
      </c>
      <c r="P954" t="n">
        <v>0</v>
      </c>
      <c r="Q954" t="n">
        <v>0</v>
      </c>
      <c r="R954" s="2" t="inlineStr"/>
    </row>
    <row r="955" ht="15" customHeight="1">
      <c r="A955" t="inlineStr">
        <is>
          <t>A 45333-2023</t>
        </is>
      </c>
      <c r="B955" s="1" t="n">
        <v>45191</v>
      </c>
      <c r="C955" s="1" t="n">
        <v>45881</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65188-2023</t>
        </is>
      </c>
      <c r="B956" s="1" t="n">
        <v>45288</v>
      </c>
      <c r="C956" s="1" t="n">
        <v>45881</v>
      </c>
      <c r="D956" t="inlineStr">
        <is>
          <t>VÄSTERNORRLANDS LÄN</t>
        </is>
      </c>
      <c r="E956" t="inlineStr">
        <is>
          <t>SUNDSVALL</t>
        </is>
      </c>
      <c r="F956" t="inlineStr">
        <is>
          <t>SCA</t>
        </is>
      </c>
      <c r="G956" t="n">
        <v>16.9</v>
      </c>
      <c r="H956" t="n">
        <v>0</v>
      </c>
      <c r="I956" t="n">
        <v>0</v>
      </c>
      <c r="J956" t="n">
        <v>0</v>
      </c>
      <c r="K956" t="n">
        <v>0</v>
      </c>
      <c r="L956" t="n">
        <v>0</v>
      </c>
      <c r="M956" t="n">
        <v>0</v>
      </c>
      <c r="N956" t="n">
        <v>0</v>
      </c>
      <c r="O956" t="n">
        <v>0</v>
      </c>
      <c r="P956" t="n">
        <v>0</v>
      </c>
      <c r="Q956" t="n">
        <v>0</v>
      </c>
      <c r="R956" s="2" t="inlineStr"/>
    </row>
    <row r="957" ht="15" customHeight="1">
      <c r="A957" t="inlineStr">
        <is>
          <t>A 4813-2025</t>
        </is>
      </c>
      <c r="B957" s="1" t="n">
        <v>45688</v>
      </c>
      <c r="C957" s="1" t="n">
        <v>45881</v>
      </c>
      <c r="D957" t="inlineStr">
        <is>
          <t>VÄSTERNORRLANDS LÄN</t>
        </is>
      </c>
      <c r="E957" t="inlineStr">
        <is>
          <t>SUNDSVALL</t>
        </is>
      </c>
      <c r="G957" t="n">
        <v>4.4</v>
      </c>
      <c r="H957" t="n">
        <v>0</v>
      </c>
      <c r="I957" t="n">
        <v>0</v>
      </c>
      <c r="J957" t="n">
        <v>0</v>
      </c>
      <c r="K957" t="n">
        <v>0</v>
      </c>
      <c r="L957" t="n">
        <v>0</v>
      </c>
      <c r="M957" t="n">
        <v>0</v>
      </c>
      <c r="N957" t="n">
        <v>0</v>
      </c>
      <c r="O957" t="n">
        <v>0</v>
      </c>
      <c r="P957" t="n">
        <v>0</v>
      </c>
      <c r="Q957" t="n">
        <v>0</v>
      </c>
      <c r="R957" s="2" t="inlineStr"/>
    </row>
    <row r="958" ht="15" customHeight="1">
      <c r="A958" t="inlineStr">
        <is>
          <t>A 10528-2022</t>
        </is>
      </c>
      <c r="B958" s="1" t="n">
        <v>44623.92115740741</v>
      </c>
      <c r="C958" s="1" t="n">
        <v>45881</v>
      </c>
      <c r="D958" t="inlineStr">
        <is>
          <t>VÄSTERNORRLANDS LÄN</t>
        </is>
      </c>
      <c r="E958" t="inlineStr">
        <is>
          <t>SUNDSVALL</t>
        </is>
      </c>
      <c r="G958" t="n">
        <v>4.5</v>
      </c>
      <c r="H958" t="n">
        <v>0</v>
      </c>
      <c r="I958" t="n">
        <v>0</v>
      </c>
      <c r="J958" t="n">
        <v>0</v>
      </c>
      <c r="K958" t="n">
        <v>0</v>
      </c>
      <c r="L958" t="n">
        <v>0</v>
      </c>
      <c r="M958" t="n">
        <v>0</v>
      </c>
      <c r="N958" t="n">
        <v>0</v>
      </c>
      <c r="O958" t="n">
        <v>0</v>
      </c>
      <c r="P958" t="n">
        <v>0</v>
      </c>
      <c r="Q958" t="n">
        <v>0</v>
      </c>
      <c r="R958" s="2" t="inlineStr"/>
    </row>
    <row r="959" ht="15" customHeight="1">
      <c r="A959" t="inlineStr">
        <is>
          <t>A 64254-2023</t>
        </is>
      </c>
      <c r="B959" s="1" t="n">
        <v>45279</v>
      </c>
      <c r="C959" s="1" t="n">
        <v>45881</v>
      </c>
      <c r="D959" t="inlineStr">
        <is>
          <t>VÄSTERNORRLANDS LÄN</t>
        </is>
      </c>
      <c r="E959" t="inlineStr">
        <is>
          <t>SUNDSVALL</t>
        </is>
      </c>
      <c r="G959" t="n">
        <v>2.4</v>
      </c>
      <c r="H959" t="n">
        <v>0</v>
      </c>
      <c r="I959" t="n">
        <v>0</v>
      </c>
      <c r="J959" t="n">
        <v>0</v>
      </c>
      <c r="K959" t="n">
        <v>0</v>
      </c>
      <c r="L959" t="n">
        <v>0</v>
      </c>
      <c r="M959" t="n">
        <v>0</v>
      </c>
      <c r="N959" t="n">
        <v>0</v>
      </c>
      <c r="O959" t="n">
        <v>0</v>
      </c>
      <c r="P959" t="n">
        <v>0</v>
      </c>
      <c r="Q959" t="n">
        <v>0</v>
      </c>
      <c r="R959" s="2" t="inlineStr"/>
    </row>
    <row r="960" ht="15" customHeight="1">
      <c r="A960" t="inlineStr">
        <is>
          <t>A 31436-2024</t>
        </is>
      </c>
      <c r="B960" s="1" t="n">
        <v>45505</v>
      </c>
      <c r="C960" s="1" t="n">
        <v>45881</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58991-2024</t>
        </is>
      </c>
      <c r="B961" s="1" t="n">
        <v>45636.63574074074</v>
      </c>
      <c r="C961" s="1" t="n">
        <v>45881</v>
      </c>
      <c r="D961" t="inlineStr">
        <is>
          <t>VÄSTERNORRLANDS LÄN</t>
        </is>
      </c>
      <c r="E961" t="inlineStr">
        <is>
          <t>SUNDSVALL</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19724-2025</t>
        </is>
      </c>
      <c r="B962" s="1" t="n">
        <v>45771.3650462963</v>
      </c>
      <c r="C962" s="1" t="n">
        <v>45881</v>
      </c>
      <c r="D962" t="inlineStr">
        <is>
          <t>VÄSTERNORRLANDS LÄN</t>
        </is>
      </c>
      <c r="E962" t="inlineStr">
        <is>
          <t>SUNDSVALL</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10525-2023</t>
        </is>
      </c>
      <c r="B963" s="1" t="n">
        <v>44987.92320601852</v>
      </c>
      <c r="C963" s="1" t="n">
        <v>45881</v>
      </c>
      <c r="D963" t="inlineStr">
        <is>
          <t>VÄSTERNORRLANDS LÄN</t>
        </is>
      </c>
      <c r="E963" t="inlineStr">
        <is>
          <t>SUNDSVALL</t>
        </is>
      </c>
      <c r="G963" t="n">
        <v>7.2</v>
      </c>
      <c r="H963" t="n">
        <v>0</v>
      </c>
      <c r="I963" t="n">
        <v>0</v>
      </c>
      <c r="J963" t="n">
        <v>0</v>
      </c>
      <c r="K963" t="n">
        <v>0</v>
      </c>
      <c r="L963" t="n">
        <v>0</v>
      </c>
      <c r="M963" t="n">
        <v>0</v>
      </c>
      <c r="N963" t="n">
        <v>0</v>
      </c>
      <c r="O963" t="n">
        <v>0</v>
      </c>
      <c r="P963" t="n">
        <v>0</v>
      </c>
      <c r="Q963" t="n">
        <v>0</v>
      </c>
      <c r="R963" s="2" t="inlineStr"/>
    </row>
    <row r="964" ht="15" customHeight="1">
      <c r="A964" t="inlineStr">
        <is>
          <t>A 32032-2024</t>
        </is>
      </c>
      <c r="B964" s="1" t="n">
        <v>45510</v>
      </c>
      <c r="C964" s="1" t="n">
        <v>45881</v>
      </c>
      <c r="D964" t="inlineStr">
        <is>
          <t>VÄSTERNORRLANDS LÄN</t>
        </is>
      </c>
      <c r="E964" t="inlineStr">
        <is>
          <t>SUNDSVALL</t>
        </is>
      </c>
      <c r="G964" t="n">
        <v>10.8</v>
      </c>
      <c r="H964" t="n">
        <v>0</v>
      </c>
      <c r="I964" t="n">
        <v>0</v>
      </c>
      <c r="J964" t="n">
        <v>0</v>
      </c>
      <c r="K964" t="n">
        <v>0</v>
      </c>
      <c r="L964" t="n">
        <v>0</v>
      </c>
      <c r="M964" t="n">
        <v>0</v>
      </c>
      <c r="N964" t="n">
        <v>0</v>
      </c>
      <c r="O964" t="n">
        <v>0</v>
      </c>
      <c r="P964" t="n">
        <v>0</v>
      </c>
      <c r="Q964" t="n">
        <v>0</v>
      </c>
      <c r="R964" s="2" t="inlineStr"/>
    </row>
    <row r="965" ht="15" customHeight="1">
      <c r="A965" t="inlineStr">
        <is>
          <t>A 59576-2023</t>
        </is>
      </c>
      <c r="B965" s="1" t="n">
        <v>45253</v>
      </c>
      <c r="C965" s="1" t="n">
        <v>45881</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60613-2022</t>
        </is>
      </c>
      <c r="B966" s="1" t="n">
        <v>44911</v>
      </c>
      <c r="C966" s="1" t="n">
        <v>45881</v>
      </c>
      <c r="D966" t="inlineStr">
        <is>
          <t>VÄSTERNORRLANDS LÄN</t>
        </is>
      </c>
      <c r="E966" t="inlineStr">
        <is>
          <t>SUNDSVALL</t>
        </is>
      </c>
      <c r="F966" t="inlineStr">
        <is>
          <t>Kyrkan</t>
        </is>
      </c>
      <c r="G966" t="n">
        <v>1.9</v>
      </c>
      <c r="H966" t="n">
        <v>0</v>
      </c>
      <c r="I966" t="n">
        <v>0</v>
      </c>
      <c r="J966" t="n">
        <v>0</v>
      </c>
      <c r="K966" t="n">
        <v>0</v>
      </c>
      <c r="L966" t="n">
        <v>0</v>
      </c>
      <c r="M966" t="n">
        <v>0</v>
      </c>
      <c r="N966" t="n">
        <v>0</v>
      </c>
      <c r="O966" t="n">
        <v>0</v>
      </c>
      <c r="P966" t="n">
        <v>0</v>
      </c>
      <c r="Q966" t="n">
        <v>0</v>
      </c>
      <c r="R966" s="2" t="inlineStr"/>
    </row>
    <row r="967" ht="15" customHeight="1">
      <c r="A967" t="inlineStr">
        <is>
          <t>A 14040-2024</t>
        </is>
      </c>
      <c r="B967" s="1" t="n">
        <v>45392.53799768518</v>
      </c>
      <c r="C967" s="1" t="n">
        <v>45881</v>
      </c>
      <c r="D967" t="inlineStr">
        <is>
          <t>VÄSTERNORRLANDS LÄN</t>
        </is>
      </c>
      <c r="E967" t="inlineStr">
        <is>
          <t>SUNDSVALL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39710-2024</t>
        </is>
      </c>
      <c r="B968" s="1" t="n">
        <v>45552</v>
      </c>
      <c r="C968" s="1" t="n">
        <v>45881</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43040-2024</t>
        </is>
      </c>
      <c r="B969" s="1" t="n">
        <v>45567</v>
      </c>
      <c r="C969" s="1" t="n">
        <v>45881</v>
      </c>
      <c r="D969" t="inlineStr">
        <is>
          <t>VÄSTERNORRLANDS LÄN</t>
        </is>
      </c>
      <c r="E969" t="inlineStr">
        <is>
          <t>SUNDSVALL</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51011-2021</t>
        </is>
      </c>
      <c r="B970" s="1" t="n">
        <v>44460</v>
      </c>
      <c r="C970" s="1" t="n">
        <v>45881</v>
      </c>
      <c r="D970" t="inlineStr">
        <is>
          <t>VÄSTERNORRLANDS LÄN</t>
        </is>
      </c>
      <c r="E970" t="inlineStr">
        <is>
          <t>SUNDSVALL</t>
        </is>
      </c>
      <c r="G970" t="n">
        <v>0.4</v>
      </c>
      <c r="H970" t="n">
        <v>0</v>
      </c>
      <c r="I970" t="n">
        <v>0</v>
      </c>
      <c r="J970" t="n">
        <v>0</v>
      </c>
      <c r="K970" t="n">
        <v>0</v>
      </c>
      <c r="L970" t="n">
        <v>0</v>
      </c>
      <c r="M970" t="n">
        <v>0</v>
      </c>
      <c r="N970" t="n">
        <v>0</v>
      </c>
      <c r="O970" t="n">
        <v>0</v>
      </c>
      <c r="P970" t="n">
        <v>0</v>
      </c>
      <c r="Q970" t="n">
        <v>0</v>
      </c>
      <c r="R970" s="2" t="inlineStr"/>
    </row>
    <row r="971" ht="15" customHeight="1">
      <c r="A971" t="inlineStr">
        <is>
          <t>A 67232-2020</t>
        </is>
      </c>
      <c r="B971" s="1" t="n">
        <v>44180</v>
      </c>
      <c r="C971" s="1" t="n">
        <v>45881</v>
      </c>
      <c r="D971" t="inlineStr">
        <is>
          <t>VÄSTERNORRLANDS LÄN</t>
        </is>
      </c>
      <c r="E971" t="inlineStr">
        <is>
          <t>SUNDSVALL</t>
        </is>
      </c>
      <c r="G971" t="n">
        <v>1.9</v>
      </c>
      <c r="H971" t="n">
        <v>0</v>
      </c>
      <c r="I971" t="n">
        <v>0</v>
      </c>
      <c r="J971" t="n">
        <v>0</v>
      </c>
      <c r="K971" t="n">
        <v>0</v>
      </c>
      <c r="L971" t="n">
        <v>0</v>
      </c>
      <c r="M971" t="n">
        <v>0</v>
      </c>
      <c r="N971" t="n">
        <v>0</v>
      </c>
      <c r="O971" t="n">
        <v>0</v>
      </c>
      <c r="P971" t="n">
        <v>0</v>
      </c>
      <c r="Q971" t="n">
        <v>0</v>
      </c>
      <c r="R971" s="2" t="inlineStr"/>
    </row>
    <row r="972" ht="15" customHeight="1">
      <c r="A972" t="inlineStr">
        <is>
          <t>A 67233-2020</t>
        </is>
      </c>
      <c r="B972" s="1" t="n">
        <v>44180</v>
      </c>
      <c r="C972" s="1" t="n">
        <v>45881</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1371-2023</t>
        </is>
      </c>
      <c r="B973" s="1" t="n">
        <v>44936.66162037037</v>
      </c>
      <c r="C973" s="1" t="n">
        <v>45881</v>
      </c>
      <c r="D973" t="inlineStr">
        <is>
          <t>VÄSTERNORRLANDS LÄN</t>
        </is>
      </c>
      <c r="E973" t="inlineStr">
        <is>
          <t>SUNDSVALL</t>
        </is>
      </c>
      <c r="G973" t="n">
        <v>2.7</v>
      </c>
      <c r="H973" t="n">
        <v>0</v>
      </c>
      <c r="I973" t="n">
        <v>0</v>
      </c>
      <c r="J973" t="n">
        <v>0</v>
      </c>
      <c r="K973" t="n">
        <v>0</v>
      </c>
      <c r="L973" t="n">
        <v>0</v>
      </c>
      <c r="M973" t="n">
        <v>0</v>
      </c>
      <c r="N973" t="n">
        <v>0</v>
      </c>
      <c r="O973" t="n">
        <v>0</v>
      </c>
      <c r="P973" t="n">
        <v>0</v>
      </c>
      <c r="Q973" t="n">
        <v>0</v>
      </c>
      <c r="R973" s="2" t="inlineStr"/>
    </row>
    <row r="974" ht="15" customHeight="1">
      <c r="A974" t="inlineStr">
        <is>
          <t>A 9598-2025</t>
        </is>
      </c>
      <c r="B974" s="1" t="n">
        <v>45715</v>
      </c>
      <c r="C974" s="1" t="n">
        <v>45881</v>
      </c>
      <c r="D974" t="inlineStr">
        <is>
          <t>VÄSTERNORRLANDS LÄN</t>
        </is>
      </c>
      <c r="E974" t="inlineStr">
        <is>
          <t>SUNDSVALL</t>
        </is>
      </c>
      <c r="G974" t="n">
        <v>1.9</v>
      </c>
      <c r="H974" t="n">
        <v>0</v>
      </c>
      <c r="I974" t="n">
        <v>0</v>
      </c>
      <c r="J974" t="n">
        <v>0</v>
      </c>
      <c r="K974" t="n">
        <v>0</v>
      </c>
      <c r="L974" t="n">
        <v>0</v>
      </c>
      <c r="M974" t="n">
        <v>0</v>
      </c>
      <c r="N974" t="n">
        <v>0</v>
      </c>
      <c r="O974" t="n">
        <v>0</v>
      </c>
      <c r="P974" t="n">
        <v>0</v>
      </c>
      <c r="Q974" t="n">
        <v>0</v>
      </c>
      <c r="R974" s="2" t="inlineStr"/>
    </row>
    <row r="975" ht="15" customHeight="1">
      <c r="A975" t="inlineStr">
        <is>
          <t>A 13638-2025</t>
        </is>
      </c>
      <c r="B975" s="1" t="n">
        <v>45736.65696759259</v>
      </c>
      <c r="C975" s="1" t="n">
        <v>45881</v>
      </c>
      <c r="D975" t="inlineStr">
        <is>
          <t>VÄSTERNORRLANDS LÄN</t>
        </is>
      </c>
      <c r="E975" t="inlineStr">
        <is>
          <t>SUNDSVALL</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32128-2023</t>
        </is>
      </c>
      <c r="B976" s="1" t="n">
        <v>45107</v>
      </c>
      <c r="C976" s="1" t="n">
        <v>45881</v>
      </c>
      <c r="D976" t="inlineStr">
        <is>
          <t>VÄSTERNORRLANDS LÄN</t>
        </is>
      </c>
      <c r="E976" t="inlineStr">
        <is>
          <t>SUNDSVALL</t>
        </is>
      </c>
      <c r="G976" t="n">
        <v>13.3</v>
      </c>
      <c r="H976" t="n">
        <v>0</v>
      </c>
      <c r="I976" t="n">
        <v>0</v>
      </c>
      <c r="J976" t="n">
        <v>0</v>
      </c>
      <c r="K976" t="n">
        <v>0</v>
      </c>
      <c r="L976" t="n">
        <v>0</v>
      </c>
      <c r="M976" t="n">
        <v>0</v>
      </c>
      <c r="N976" t="n">
        <v>0</v>
      </c>
      <c r="O976" t="n">
        <v>0</v>
      </c>
      <c r="P976" t="n">
        <v>0</v>
      </c>
      <c r="Q976" t="n">
        <v>0</v>
      </c>
      <c r="R976" s="2" t="inlineStr"/>
    </row>
    <row r="977" ht="15" customHeight="1">
      <c r="A977" t="inlineStr">
        <is>
          <t>A 3197-2024</t>
        </is>
      </c>
      <c r="B977" s="1" t="n">
        <v>45316</v>
      </c>
      <c r="C977" s="1" t="n">
        <v>45881</v>
      </c>
      <c r="D977" t="inlineStr">
        <is>
          <t>VÄSTERNORRLANDS LÄN</t>
        </is>
      </c>
      <c r="E977" t="inlineStr">
        <is>
          <t>SUNDSVALL</t>
        </is>
      </c>
      <c r="G977" t="n">
        <v>5</v>
      </c>
      <c r="H977" t="n">
        <v>0</v>
      </c>
      <c r="I977" t="n">
        <v>0</v>
      </c>
      <c r="J977" t="n">
        <v>0</v>
      </c>
      <c r="K977" t="n">
        <v>0</v>
      </c>
      <c r="L977" t="n">
        <v>0</v>
      </c>
      <c r="M977" t="n">
        <v>0</v>
      </c>
      <c r="N977" t="n">
        <v>0</v>
      </c>
      <c r="O977" t="n">
        <v>0</v>
      </c>
      <c r="P977" t="n">
        <v>0</v>
      </c>
      <c r="Q977" t="n">
        <v>0</v>
      </c>
      <c r="R977" s="2" t="inlineStr"/>
    </row>
    <row r="978" ht="15" customHeight="1">
      <c r="A978" t="inlineStr">
        <is>
          <t>A 22624-2024</t>
        </is>
      </c>
      <c r="B978" s="1" t="n">
        <v>45447</v>
      </c>
      <c r="C978" s="1" t="n">
        <v>45881</v>
      </c>
      <c r="D978" t="inlineStr">
        <is>
          <t>VÄSTERNORRLANDS LÄN</t>
        </is>
      </c>
      <c r="E978" t="inlineStr">
        <is>
          <t>SUNDSVALL</t>
        </is>
      </c>
      <c r="G978" t="n">
        <v>3.3</v>
      </c>
      <c r="H978" t="n">
        <v>0</v>
      </c>
      <c r="I978" t="n">
        <v>0</v>
      </c>
      <c r="J978" t="n">
        <v>0</v>
      </c>
      <c r="K978" t="n">
        <v>0</v>
      </c>
      <c r="L978" t="n">
        <v>0</v>
      </c>
      <c r="M978" t="n">
        <v>0</v>
      </c>
      <c r="N978" t="n">
        <v>0</v>
      </c>
      <c r="O978" t="n">
        <v>0</v>
      </c>
      <c r="P978" t="n">
        <v>0</v>
      </c>
      <c r="Q978" t="n">
        <v>0</v>
      </c>
      <c r="R978" s="2" t="inlineStr"/>
    </row>
    <row r="979" ht="15" customHeight="1">
      <c r="A979" t="inlineStr">
        <is>
          <t>A 22627-2024</t>
        </is>
      </c>
      <c r="B979" s="1" t="n">
        <v>45447.6671412037</v>
      </c>
      <c r="C979" s="1" t="n">
        <v>45881</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28229-2024</t>
        </is>
      </c>
      <c r="B980" s="1" t="n">
        <v>45477.3791087963</v>
      </c>
      <c r="C980" s="1" t="n">
        <v>45881</v>
      </c>
      <c r="D980" t="inlineStr">
        <is>
          <t>VÄSTERNORRLANDS LÄN</t>
        </is>
      </c>
      <c r="E980" t="inlineStr">
        <is>
          <t>SUNDSVALL</t>
        </is>
      </c>
      <c r="F980" t="inlineStr">
        <is>
          <t>Holmen skog AB</t>
        </is>
      </c>
      <c r="G980" t="n">
        <v>2.1</v>
      </c>
      <c r="H980" t="n">
        <v>0</v>
      </c>
      <c r="I980" t="n">
        <v>0</v>
      </c>
      <c r="J980" t="n">
        <v>0</v>
      </c>
      <c r="K980" t="n">
        <v>0</v>
      </c>
      <c r="L980" t="n">
        <v>0</v>
      </c>
      <c r="M980" t="n">
        <v>0</v>
      </c>
      <c r="N980" t="n">
        <v>0</v>
      </c>
      <c r="O980" t="n">
        <v>0</v>
      </c>
      <c r="P980" t="n">
        <v>0</v>
      </c>
      <c r="Q980" t="n">
        <v>0</v>
      </c>
      <c r="R980" s="2" t="inlineStr"/>
    </row>
    <row r="981" ht="15" customHeight="1">
      <c r="A981" t="inlineStr">
        <is>
          <t>A 28244-2024</t>
        </is>
      </c>
      <c r="B981" s="1" t="n">
        <v>45477.40596064815</v>
      </c>
      <c r="C981" s="1" t="n">
        <v>45881</v>
      </c>
      <c r="D981" t="inlineStr">
        <is>
          <t>VÄSTERNORRLANDS LÄN</t>
        </is>
      </c>
      <c r="E981" t="inlineStr">
        <is>
          <t>SUNDSVALL</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64641-2021</t>
        </is>
      </c>
      <c r="B982" s="1" t="n">
        <v>44511</v>
      </c>
      <c r="C982" s="1" t="n">
        <v>45881</v>
      </c>
      <c r="D982" t="inlineStr">
        <is>
          <t>VÄSTERNORRLANDS LÄN</t>
        </is>
      </c>
      <c r="E982" t="inlineStr">
        <is>
          <t>SUNDSVALL</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23558-2024</t>
        </is>
      </c>
      <c r="B983" s="1" t="n">
        <v>45453.95451388889</v>
      </c>
      <c r="C983" s="1" t="n">
        <v>45881</v>
      </c>
      <c r="D983" t="inlineStr">
        <is>
          <t>VÄSTERNORRLANDS LÄN</t>
        </is>
      </c>
      <c r="E983" t="inlineStr">
        <is>
          <t>SUNDSVALL</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4871-2022</t>
        </is>
      </c>
      <c r="B984" s="1" t="n">
        <v>44592</v>
      </c>
      <c r="C984" s="1" t="n">
        <v>45881</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34543-2024</t>
        </is>
      </c>
      <c r="B985" s="1" t="n">
        <v>45525</v>
      </c>
      <c r="C985" s="1" t="n">
        <v>45881</v>
      </c>
      <c r="D985" t="inlineStr">
        <is>
          <t>VÄSTERNORRLANDS LÄN</t>
        </is>
      </c>
      <c r="E985" t="inlineStr">
        <is>
          <t>SUNDSVALL</t>
        </is>
      </c>
      <c r="G985" t="n">
        <v>0.2</v>
      </c>
      <c r="H985" t="n">
        <v>0</v>
      </c>
      <c r="I985" t="n">
        <v>0</v>
      </c>
      <c r="J985" t="n">
        <v>0</v>
      </c>
      <c r="K985" t="n">
        <v>0</v>
      </c>
      <c r="L985" t="n">
        <v>0</v>
      </c>
      <c r="M985" t="n">
        <v>0</v>
      </c>
      <c r="N985" t="n">
        <v>0</v>
      </c>
      <c r="O985" t="n">
        <v>0</v>
      </c>
      <c r="P985" t="n">
        <v>0</v>
      </c>
      <c r="Q985" t="n">
        <v>0</v>
      </c>
      <c r="R985" s="2" t="inlineStr"/>
    </row>
    <row r="986" ht="15" customHeight="1">
      <c r="A986" t="inlineStr">
        <is>
          <t>A 532-2025</t>
        </is>
      </c>
      <c r="B986" s="1" t="n">
        <v>45664</v>
      </c>
      <c r="C986" s="1" t="n">
        <v>45881</v>
      </c>
      <c r="D986" t="inlineStr">
        <is>
          <t>VÄSTERNORRLANDS LÄN</t>
        </is>
      </c>
      <c r="E986" t="inlineStr">
        <is>
          <t>SUNDSVALL</t>
        </is>
      </c>
      <c r="G986" t="n">
        <v>2.6</v>
      </c>
      <c r="H986" t="n">
        <v>0</v>
      </c>
      <c r="I986" t="n">
        <v>0</v>
      </c>
      <c r="J986" t="n">
        <v>0</v>
      </c>
      <c r="K986" t="n">
        <v>0</v>
      </c>
      <c r="L986" t="n">
        <v>0</v>
      </c>
      <c r="M986" t="n">
        <v>0</v>
      </c>
      <c r="N986" t="n">
        <v>0</v>
      </c>
      <c r="O986" t="n">
        <v>0</v>
      </c>
      <c r="P986" t="n">
        <v>0</v>
      </c>
      <c r="Q986" t="n">
        <v>0</v>
      </c>
      <c r="R986" s="2" t="inlineStr"/>
    </row>
    <row r="987" ht="15" customHeight="1">
      <c r="A987" t="inlineStr">
        <is>
          <t>A 21377-2023</t>
        </is>
      </c>
      <c r="B987" s="1" t="n">
        <v>45063</v>
      </c>
      <c r="C987" s="1" t="n">
        <v>45881</v>
      </c>
      <c r="D987" t="inlineStr">
        <is>
          <t>VÄSTERNORRLANDS LÄN</t>
        </is>
      </c>
      <c r="E987" t="inlineStr">
        <is>
          <t>SUNDSVALL</t>
        </is>
      </c>
      <c r="G987" t="n">
        <v>0.4</v>
      </c>
      <c r="H987" t="n">
        <v>0</v>
      </c>
      <c r="I987" t="n">
        <v>0</v>
      </c>
      <c r="J987" t="n">
        <v>0</v>
      </c>
      <c r="K987" t="n">
        <v>0</v>
      </c>
      <c r="L987" t="n">
        <v>0</v>
      </c>
      <c r="M987" t="n">
        <v>0</v>
      </c>
      <c r="N987" t="n">
        <v>0</v>
      </c>
      <c r="O987" t="n">
        <v>0</v>
      </c>
      <c r="P987" t="n">
        <v>0</v>
      </c>
      <c r="Q987" t="n">
        <v>0</v>
      </c>
      <c r="R987" s="2" t="inlineStr"/>
    </row>
    <row r="988" ht="15" customHeight="1">
      <c r="A988" t="inlineStr">
        <is>
          <t>A 21600-2023</t>
        </is>
      </c>
      <c r="B988" s="1" t="n">
        <v>45062</v>
      </c>
      <c r="C988" s="1" t="n">
        <v>45881</v>
      </c>
      <c r="D988" t="inlineStr">
        <is>
          <t>VÄSTERNORRLANDS LÄN</t>
        </is>
      </c>
      <c r="E988" t="inlineStr">
        <is>
          <t>SUNDSVALL</t>
        </is>
      </c>
      <c r="G988" t="n">
        <v>3.4</v>
      </c>
      <c r="H988" t="n">
        <v>0</v>
      </c>
      <c r="I988" t="n">
        <v>0</v>
      </c>
      <c r="J988" t="n">
        <v>0</v>
      </c>
      <c r="K988" t="n">
        <v>0</v>
      </c>
      <c r="L988" t="n">
        <v>0</v>
      </c>
      <c r="M988" t="n">
        <v>0</v>
      </c>
      <c r="N988" t="n">
        <v>0</v>
      </c>
      <c r="O988" t="n">
        <v>0</v>
      </c>
      <c r="P988" t="n">
        <v>0</v>
      </c>
      <c r="Q988" t="n">
        <v>0</v>
      </c>
      <c r="R988" s="2" t="inlineStr"/>
    </row>
    <row r="989" ht="15" customHeight="1">
      <c r="A989" t="inlineStr">
        <is>
          <t>A 37584-2024</t>
        </is>
      </c>
      <c r="B989" s="1" t="n">
        <v>45541.45975694444</v>
      </c>
      <c r="C989" s="1" t="n">
        <v>45881</v>
      </c>
      <c r="D989" t="inlineStr">
        <is>
          <t>VÄSTERNORRLANDS LÄN</t>
        </is>
      </c>
      <c r="E989" t="inlineStr">
        <is>
          <t>SUNDSVALL</t>
        </is>
      </c>
      <c r="G989" t="n">
        <v>4.1</v>
      </c>
      <c r="H989" t="n">
        <v>0</v>
      </c>
      <c r="I989" t="n">
        <v>0</v>
      </c>
      <c r="J989" t="n">
        <v>0</v>
      </c>
      <c r="K989" t="n">
        <v>0</v>
      </c>
      <c r="L989" t="n">
        <v>0</v>
      </c>
      <c r="M989" t="n">
        <v>0</v>
      </c>
      <c r="N989" t="n">
        <v>0</v>
      </c>
      <c r="O989" t="n">
        <v>0</v>
      </c>
      <c r="P989" t="n">
        <v>0</v>
      </c>
      <c r="Q989" t="n">
        <v>0</v>
      </c>
      <c r="R989" s="2" t="inlineStr"/>
    </row>
    <row r="990" ht="15" customHeight="1">
      <c r="A990" t="inlineStr">
        <is>
          <t>A 30748-2024</t>
        </is>
      </c>
      <c r="B990" s="1" t="n">
        <v>45496.6871875</v>
      </c>
      <c r="C990" s="1" t="n">
        <v>45881</v>
      </c>
      <c r="D990" t="inlineStr">
        <is>
          <t>VÄSTERNORRLANDS LÄN</t>
        </is>
      </c>
      <c r="E990" t="inlineStr">
        <is>
          <t>SUNDSVALL</t>
        </is>
      </c>
      <c r="G990" t="n">
        <v>3.3</v>
      </c>
      <c r="H990" t="n">
        <v>0</v>
      </c>
      <c r="I990" t="n">
        <v>0</v>
      </c>
      <c r="J990" t="n">
        <v>0</v>
      </c>
      <c r="K990" t="n">
        <v>0</v>
      </c>
      <c r="L990" t="n">
        <v>0</v>
      </c>
      <c r="M990" t="n">
        <v>0</v>
      </c>
      <c r="N990" t="n">
        <v>0</v>
      </c>
      <c r="O990" t="n">
        <v>0</v>
      </c>
      <c r="P990" t="n">
        <v>0</v>
      </c>
      <c r="Q990" t="n">
        <v>0</v>
      </c>
      <c r="R990" s="2" t="inlineStr"/>
    </row>
    <row r="991" ht="15" customHeight="1">
      <c r="A991" t="inlineStr">
        <is>
          <t>A 31712-2024</t>
        </is>
      </c>
      <c r="B991" s="1" t="n">
        <v>45508</v>
      </c>
      <c r="C991" s="1" t="n">
        <v>45881</v>
      </c>
      <c r="D991" t="inlineStr">
        <is>
          <t>VÄSTERNORRLANDS LÄN</t>
        </is>
      </c>
      <c r="E991" t="inlineStr">
        <is>
          <t>SUNDSVALL</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25148-2021</t>
        </is>
      </c>
      <c r="B992" s="1" t="n">
        <v>44341</v>
      </c>
      <c r="C992" s="1" t="n">
        <v>45881</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21196-2023</t>
        </is>
      </c>
      <c r="B993" s="1" t="n">
        <v>45062.48819444444</v>
      </c>
      <c r="C993" s="1" t="n">
        <v>45881</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33108-2024</t>
        </is>
      </c>
      <c r="B994" s="1" t="n">
        <v>45517</v>
      </c>
      <c r="C994" s="1" t="n">
        <v>45881</v>
      </c>
      <c r="D994" t="inlineStr">
        <is>
          <t>VÄSTERNORRLANDS LÄN</t>
        </is>
      </c>
      <c r="E994" t="inlineStr">
        <is>
          <t>SUNDSVALL</t>
        </is>
      </c>
      <c r="G994" t="n">
        <v>5.8</v>
      </c>
      <c r="H994" t="n">
        <v>0</v>
      </c>
      <c r="I994" t="n">
        <v>0</v>
      </c>
      <c r="J994" t="n">
        <v>0</v>
      </c>
      <c r="K994" t="n">
        <v>0</v>
      </c>
      <c r="L994" t="n">
        <v>0</v>
      </c>
      <c r="M994" t="n">
        <v>0</v>
      </c>
      <c r="N994" t="n">
        <v>0</v>
      </c>
      <c r="O994" t="n">
        <v>0</v>
      </c>
      <c r="P994" t="n">
        <v>0</v>
      </c>
      <c r="Q994" t="n">
        <v>0</v>
      </c>
      <c r="R994" s="2" t="inlineStr"/>
    </row>
    <row r="995" ht="15" customHeight="1">
      <c r="A995" t="inlineStr">
        <is>
          <t>A 20086-2022</t>
        </is>
      </c>
      <c r="B995" s="1" t="n">
        <v>44697</v>
      </c>
      <c r="C995" s="1" t="n">
        <v>45881</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61268-2023</t>
        </is>
      </c>
      <c r="B996" s="1" t="n">
        <v>45264</v>
      </c>
      <c r="C996" s="1" t="n">
        <v>45881</v>
      </c>
      <c r="D996" t="inlineStr">
        <is>
          <t>VÄSTERNORRLANDS LÄN</t>
        </is>
      </c>
      <c r="E996" t="inlineStr">
        <is>
          <t>SUNDSVALL</t>
        </is>
      </c>
      <c r="G996" t="n">
        <v>1.6</v>
      </c>
      <c r="H996" t="n">
        <v>0</v>
      </c>
      <c r="I996" t="n">
        <v>0</v>
      </c>
      <c r="J996" t="n">
        <v>0</v>
      </c>
      <c r="K996" t="n">
        <v>0</v>
      </c>
      <c r="L996" t="n">
        <v>0</v>
      </c>
      <c r="M996" t="n">
        <v>0</v>
      </c>
      <c r="N996" t="n">
        <v>0</v>
      </c>
      <c r="O996" t="n">
        <v>0</v>
      </c>
      <c r="P996" t="n">
        <v>0</v>
      </c>
      <c r="Q996" t="n">
        <v>0</v>
      </c>
      <c r="R996" s="2" t="inlineStr"/>
    </row>
    <row r="997" ht="15" customHeight="1">
      <c r="A997" t="inlineStr">
        <is>
          <t>A 70879-2021</t>
        </is>
      </c>
      <c r="B997" s="1" t="n">
        <v>44538</v>
      </c>
      <c r="C997" s="1" t="n">
        <v>45881</v>
      </c>
      <c r="D997" t="inlineStr">
        <is>
          <t>VÄSTERNORRLANDS LÄN</t>
        </is>
      </c>
      <c r="E997" t="inlineStr">
        <is>
          <t>SUNDSVALL</t>
        </is>
      </c>
      <c r="G997" t="n">
        <v>3.6</v>
      </c>
      <c r="H997" t="n">
        <v>0</v>
      </c>
      <c r="I997" t="n">
        <v>0</v>
      </c>
      <c r="J997" t="n">
        <v>0</v>
      </c>
      <c r="K997" t="n">
        <v>0</v>
      </c>
      <c r="L997" t="n">
        <v>0</v>
      </c>
      <c r="M997" t="n">
        <v>0</v>
      </c>
      <c r="N997" t="n">
        <v>0</v>
      </c>
      <c r="O997" t="n">
        <v>0</v>
      </c>
      <c r="P997" t="n">
        <v>0</v>
      </c>
      <c r="Q997" t="n">
        <v>0</v>
      </c>
      <c r="R997" s="2" t="inlineStr"/>
    </row>
    <row r="998" ht="15" customHeight="1">
      <c r="A998" t="inlineStr">
        <is>
          <t>A 19385-2022</t>
        </is>
      </c>
      <c r="B998" s="1" t="n">
        <v>44692.92344907407</v>
      </c>
      <c r="C998" s="1" t="n">
        <v>45881</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22729-2022</t>
        </is>
      </c>
      <c r="B999" s="1" t="n">
        <v>44714.65461805555</v>
      </c>
      <c r="C999" s="1" t="n">
        <v>45881</v>
      </c>
      <c r="D999" t="inlineStr">
        <is>
          <t>VÄSTERNORRLANDS LÄN</t>
        </is>
      </c>
      <c r="E999" t="inlineStr">
        <is>
          <t>SUNDSVALL</t>
        </is>
      </c>
      <c r="G999" t="n">
        <v>2.4</v>
      </c>
      <c r="H999" t="n">
        <v>0</v>
      </c>
      <c r="I999" t="n">
        <v>0</v>
      </c>
      <c r="J999" t="n">
        <v>0</v>
      </c>
      <c r="K999" t="n">
        <v>0</v>
      </c>
      <c r="L999" t="n">
        <v>0</v>
      </c>
      <c r="M999" t="n">
        <v>0</v>
      </c>
      <c r="N999" t="n">
        <v>0</v>
      </c>
      <c r="O999" t="n">
        <v>0</v>
      </c>
      <c r="P999" t="n">
        <v>0</v>
      </c>
      <c r="Q999" t="n">
        <v>0</v>
      </c>
      <c r="R999" s="2" t="inlineStr"/>
    </row>
    <row r="1000" ht="15" customHeight="1">
      <c r="A1000" t="inlineStr">
        <is>
          <t>A 27844-2023</t>
        </is>
      </c>
      <c r="B1000" s="1" t="n">
        <v>45098.55303240741</v>
      </c>
      <c r="C1000" s="1" t="n">
        <v>45881</v>
      </c>
      <c r="D1000" t="inlineStr">
        <is>
          <t>VÄSTERNORRLANDS LÄN</t>
        </is>
      </c>
      <c r="E1000" t="inlineStr">
        <is>
          <t>SUNDSVALL</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2589-2025</t>
        </is>
      </c>
      <c r="B1001" s="1" t="n">
        <v>45674.6950462963</v>
      </c>
      <c r="C1001" s="1" t="n">
        <v>45881</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70174-2021</t>
        </is>
      </c>
      <c r="B1002" s="1" t="n">
        <v>44533</v>
      </c>
      <c r="C1002" s="1" t="n">
        <v>45881</v>
      </c>
      <c r="D1002" t="inlineStr">
        <is>
          <t>VÄSTERNORRLANDS LÄN</t>
        </is>
      </c>
      <c r="E1002" t="inlineStr">
        <is>
          <t>SUNDSVALL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50737-2024</t>
        </is>
      </c>
      <c r="B1003" s="1" t="n">
        <v>45602.39856481482</v>
      </c>
      <c r="C1003" s="1" t="n">
        <v>45881</v>
      </c>
      <c r="D1003" t="inlineStr">
        <is>
          <t>VÄSTERNORRLANDS LÄN</t>
        </is>
      </c>
      <c r="E1003" t="inlineStr">
        <is>
          <t>SUNDSVALL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50205-2023</t>
        </is>
      </c>
      <c r="B1004" s="1" t="n">
        <v>45215.92600694444</v>
      </c>
      <c r="C1004" s="1" t="n">
        <v>45881</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47158-2023</t>
        </is>
      </c>
      <c r="B1005" s="1" t="n">
        <v>45201</v>
      </c>
      <c r="C1005" s="1" t="n">
        <v>45881</v>
      </c>
      <c r="D1005" t="inlineStr">
        <is>
          <t>VÄSTERNORRLANDS LÄN</t>
        </is>
      </c>
      <c r="E1005" t="inlineStr">
        <is>
          <t>SUNDSVALL</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7384-2024</t>
        </is>
      </c>
      <c r="B1006" s="1" t="n">
        <v>45345</v>
      </c>
      <c r="C1006" s="1" t="n">
        <v>45881</v>
      </c>
      <c r="D1006" t="inlineStr">
        <is>
          <t>VÄSTERNORRLANDS LÄN</t>
        </is>
      </c>
      <c r="E1006" t="inlineStr">
        <is>
          <t>SUNDSVALL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10047-2023</t>
        </is>
      </c>
      <c r="B1007" s="1" t="n">
        <v>44977</v>
      </c>
      <c r="C1007" s="1" t="n">
        <v>45881</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58419-2022</t>
        </is>
      </c>
      <c r="B1008" s="1" t="n">
        <v>44901</v>
      </c>
      <c r="C1008" s="1" t="n">
        <v>45881</v>
      </c>
      <c r="D1008" t="inlineStr">
        <is>
          <t>VÄSTERNORRLANDS LÄN</t>
        </is>
      </c>
      <c r="E1008" t="inlineStr">
        <is>
          <t>SUNDSVALL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39795-2023</t>
        </is>
      </c>
      <c r="B1009" s="1" t="n">
        <v>45167</v>
      </c>
      <c r="C1009" s="1" t="n">
        <v>45881</v>
      </c>
      <c r="D1009" t="inlineStr">
        <is>
          <t>VÄSTERNORRLANDS LÄN</t>
        </is>
      </c>
      <c r="E1009" t="inlineStr">
        <is>
          <t>SUNDSVALL</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62076-2022</t>
        </is>
      </c>
      <c r="B1010" s="1" t="n">
        <v>44918.9221412037</v>
      </c>
      <c r="C1010" s="1" t="n">
        <v>45881</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47283-2023</t>
        </is>
      </c>
      <c r="B1011" s="1" t="n">
        <v>45196</v>
      </c>
      <c r="C1011" s="1" t="n">
        <v>45881</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61049-2022</t>
        </is>
      </c>
      <c r="B1012" s="1" t="n">
        <v>44914.97056712963</v>
      </c>
      <c r="C1012" s="1" t="n">
        <v>45881</v>
      </c>
      <c r="D1012" t="inlineStr">
        <is>
          <t>VÄSTERNORRLANDS LÄN</t>
        </is>
      </c>
      <c r="E1012" t="inlineStr">
        <is>
          <t>SUNDSVALL</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27960-2023</t>
        </is>
      </c>
      <c r="B1013" s="1" t="n">
        <v>45098.68864583333</v>
      </c>
      <c r="C1013" s="1" t="n">
        <v>45881</v>
      </c>
      <c r="D1013" t="inlineStr">
        <is>
          <t>VÄSTERNORRLANDS LÄN</t>
        </is>
      </c>
      <c r="E1013" t="inlineStr">
        <is>
          <t>SUNDSVALL</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36203-2023</t>
        </is>
      </c>
      <c r="B1014" s="1" t="n">
        <v>45149</v>
      </c>
      <c r="C1014" s="1" t="n">
        <v>45881</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35218-2024</t>
        </is>
      </c>
      <c r="B1015" s="1" t="n">
        <v>45530.49400462963</v>
      </c>
      <c r="C1015" s="1" t="n">
        <v>45881</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30944-2024</t>
        </is>
      </c>
      <c r="B1016" s="1" t="n">
        <v>45499.35756944444</v>
      </c>
      <c r="C1016" s="1" t="n">
        <v>45881</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37416-2024</t>
        </is>
      </c>
      <c r="B1017" s="1" t="n">
        <v>45540.63575231482</v>
      </c>
      <c r="C1017" s="1" t="n">
        <v>45881</v>
      </c>
      <c r="D1017" t="inlineStr">
        <is>
          <t>VÄSTERNORRLANDS LÄN</t>
        </is>
      </c>
      <c r="E1017" t="inlineStr">
        <is>
          <t>SUNDSVALL</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62530-2023</t>
        </is>
      </c>
      <c r="B1018" s="1" t="n">
        <v>45268</v>
      </c>
      <c r="C1018" s="1" t="n">
        <v>45881</v>
      </c>
      <c r="D1018" t="inlineStr">
        <is>
          <t>VÄSTERNORRLANDS LÄN</t>
        </is>
      </c>
      <c r="E1018" t="inlineStr">
        <is>
          <t>SUNDSVALL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47518-2023</t>
        </is>
      </c>
      <c r="B1019" s="1" t="n">
        <v>45203.32945601852</v>
      </c>
      <c r="C1019" s="1" t="n">
        <v>45881</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57830-2022</t>
        </is>
      </c>
      <c r="B1020" s="1" t="n">
        <v>44897</v>
      </c>
      <c r="C1020" s="1" t="n">
        <v>45881</v>
      </c>
      <c r="D1020" t="inlineStr">
        <is>
          <t>VÄSTERNORRLANDS LÄN</t>
        </is>
      </c>
      <c r="E1020" t="inlineStr">
        <is>
          <t>SUNDSVALL</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48568-2023</t>
        </is>
      </c>
      <c r="B1021" s="1" t="n">
        <v>45208</v>
      </c>
      <c r="C1021" s="1" t="n">
        <v>45881</v>
      </c>
      <c r="D1021" t="inlineStr">
        <is>
          <t>VÄSTERNORRLANDS LÄN</t>
        </is>
      </c>
      <c r="E1021" t="inlineStr">
        <is>
          <t>SUNDSVALL</t>
        </is>
      </c>
      <c r="G1021" t="n">
        <v>29.2</v>
      </c>
      <c r="H1021" t="n">
        <v>0</v>
      </c>
      <c r="I1021" t="n">
        <v>0</v>
      </c>
      <c r="J1021" t="n">
        <v>0</v>
      </c>
      <c r="K1021" t="n">
        <v>0</v>
      </c>
      <c r="L1021" t="n">
        <v>0</v>
      </c>
      <c r="M1021" t="n">
        <v>0</v>
      </c>
      <c r="N1021" t="n">
        <v>0</v>
      </c>
      <c r="O1021" t="n">
        <v>0</v>
      </c>
      <c r="P1021" t="n">
        <v>0</v>
      </c>
      <c r="Q1021" t="n">
        <v>0</v>
      </c>
      <c r="R1021" s="2" t="inlineStr"/>
    </row>
    <row r="1022" ht="15" customHeight="1">
      <c r="A1022" t="inlineStr">
        <is>
          <t>A 1483-2023</t>
        </is>
      </c>
      <c r="B1022" s="1" t="n">
        <v>44937.46645833334</v>
      </c>
      <c r="C1022" s="1" t="n">
        <v>45881</v>
      </c>
      <c r="D1022" t="inlineStr">
        <is>
          <t>VÄSTERNORRLANDS LÄN</t>
        </is>
      </c>
      <c r="E1022" t="inlineStr">
        <is>
          <t>SUNDSVALL</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16298-2025</t>
        </is>
      </c>
      <c r="B1023" s="1" t="n">
        <v>45751.34554398148</v>
      </c>
      <c r="C1023" s="1" t="n">
        <v>45881</v>
      </c>
      <c r="D1023" t="inlineStr">
        <is>
          <t>VÄSTERNORRLANDS LÄN</t>
        </is>
      </c>
      <c r="E1023" t="inlineStr">
        <is>
          <t>SUNDSVALL</t>
        </is>
      </c>
      <c r="F1023" t="inlineStr">
        <is>
          <t>SCA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15780-2024</t>
        </is>
      </c>
      <c r="B1024" s="1" t="n">
        <v>45404</v>
      </c>
      <c r="C1024" s="1" t="n">
        <v>45881</v>
      </c>
      <c r="D1024" t="inlineStr">
        <is>
          <t>VÄSTERNORRLANDS LÄN</t>
        </is>
      </c>
      <c r="E1024" t="inlineStr">
        <is>
          <t>SUNDSVALL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27640-2023</t>
        </is>
      </c>
      <c r="B1025" s="1" t="n">
        <v>45097</v>
      </c>
      <c r="C1025" s="1" t="n">
        <v>45881</v>
      </c>
      <c r="D1025" t="inlineStr">
        <is>
          <t>VÄSTERNORRLANDS LÄN</t>
        </is>
      </c>
      <c r="E1025" t="inlineStr">
        <is>
          <t>SUNDSVALL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42728-2021</t>
        </is>
      </c>
      <c r="B1026" s="1" t="n">
        <v>44428.59997685185</v>
      </c>
      <c r="C1026" s="1" t="n">
        <v>45881</v>
      </c>
      <c r="D1026" t="inlineStr">
        <is>
          <t>VÄSTERNORRLANDS LÄN</t>
        </is>
      </c>
      <c r="E1026" t="inlineStr">
        <is>
          <t>SUNDSVALL</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47718-2024</t>
        </is>
      </c>
      <c r="B1027" s="1" t="n">
        <v>45588.48990740741</v>
      </c>
      <c r="C1027" s="1" t="n">
        <v>45881</v>
      </c>
      <c r="D1027" t="inlineStr">
        <is>
          <t>VÄSTERNORRLANDS LÄN</t>
        </is>
      </c>
      <c r="E1027" t="inlineStr">
        <is>
          <t>SUNDSVALL</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41196-2024</t>
        </is>
      </c>
      <c r="B1028" s="1" t="n">
        <v>45559.51123842593</v>
      </c>
      <c r="C1028" s="1" t="n">
        <v>45881</v>
      </c>
      <c r="D1028" t="inlineStr">
        <is>
          <t>VÄSTERNORRLANDS LÄN</t>
        </is>
      </c>
      <c r="E1028" t="inlineStr">
        <is>
          <t>SUNDSVALL</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59106-2020</t>
        </is>
      </c>
      <c r="B1029" s="1" t="n">
        <v>44147</v>
      </c>
      <c r="C1029" s="1" t="n">
        <v>45881</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44610-2024</t>
        </is>
      </c>
      <c r="B1030" s="1" t="n">
        <v>45574.5122337963</v>
      </c>
      <c r="C1030" s="1" t="n">
        <v>45881</v>
      </c>
      <c r="D1030" t="inlineStr">
        <is>
          <t>VÄSTERNORRLANDS LÄN</t>
        </is>
      </c>
      <c r="E1030" t="inlineStr">
        <is>
          <t>SUNDSVALL</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52898-2024</t>
        </is>
      </c>
      <c r="B1031" s="1" t="n">
        <v>45610.67748842593</v>
      </c>
      <c r="C1031" s="1" t="n">
        <v>45881</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30179-2024</t>
        </is>
      </c>
      <c r="B1032" s="1" t="n">
        <v>45489.92717592593</v>
      </c>
      <c r="C1032" s="1" t="n">
        <v>45881</v>
      </c>
      <c r="D1032" t="inlineStr">
        <is>
          <t>VÄSTERNORRLANDS LÄN</t>
        </is>
      </c>
      <c r="E1032" t="inlineStr">
        <is>
          <t>SUNDSVALL</t>
        </is>
      </c>
      <c r="F1032" t="inlineStr">
        <is>
          <t>Kyrkan</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30180-2024</t>
        </is>
      </c>
      <c r="B1033" s="1" t="n">
        <v>45489.92724537037</v>
      </c>
      <c r="C1033" s="1" t="n">
        <v>45881</v>
      </c>
      <c r="D1033" t="inlineStr">
        <is>
          <t>VÄSTERNORRLANDS LÄN</t>
        </is>
      </c>
      <c r="E1033" t="inlineStr">
        <is>
          <t>SUNDSVALL</t>
        </is>
      </c>
      <c r="F1033" t="inlineStr">
        <is>
          <t>Kyrkan</t>
        </is>
      </c>
      <c r="G1033" t="n">
        <v>52.1</v>
      </c>
      <c r="H1033" t="n">
        <v>0</v>
      </c>
      <c r="I1033" t="n">
        <v>0</v>
      </c>
      <c r="J1033" t="n">
        <v>0</v>
      </c>
      <c r="K1033" t="n">
        <v>0</v>
      </c>
      <c r="L1033" t="n">
        <v>0</v>
      </c>
      <c r="M1033" t="n">
        <v>0</v>
      </c>
      <c r="N1033" t="n">
        <v>0</v>
      </c>
      <c r="O1033" t="n">
        <v>0</v>
      </c>
      <c r="P1033" t="n">
        <v>0</v>
      </c>
      <c r="Q1033" t="n">
        <v>0</v>
      </c>
      <c r="R1033" s="2" t="inlineStr"/>
    </row>
    <row r="1034" ht="15" customHeight="1">
      <c r="A1034" t="inlineStr">
        <is>
          <t>A 58745-2023</t>
        </is>
      </c>
      <c r="B1034" s="1" t="n">
        <v>45251</v>
      </c>
      <c r="C1034" s="1" t="n">
        <v>45881</v>
      </c>
      <c r="D1034" t="inlineStr">
        <is>
          <t>VÄSTERNORRLANDS LÄN</t>
        </is>
      </c>
      <c r="E1034" t="inlineStr">
        <is>
          <t>SUNDSVALL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5362-2025</t>
        </is>
      </c>
      <c r="B1035" s="1" t="n">
        <v>45692.57824074074</v>
      </c>
      <c r="C1035" s="1" t="n">
        <v>45881</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22473-2023</t>
        </is>
      </c>
      <c r="B1036" s="1" t="n">
        <v>45070</v>
      </c>
      <c r="C1036" s="1" t="n">
        <v>45881</v>
      </c>
      <c r="D1036" t="inlineStr">
        <is>
          <t>VÄSTERNORRLANDS LÄN</t>
        </is>
      </c>
      <c r="E1036" t="inlineStr">
        <is>
          <t>SUNDSVALL</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19713-2025</t>
        </is>
      </c>
      <c r="B1037" s="1" t="n">
        <v>45771.34842592593</v>
      </c>
      <c r="C1037" s="1" t="n">
        <v>45881</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45515-2021</t>
        </is>
      </c>
      <c r="B1038" s="1" t="n">
        <v>44440.58136574074</v>
      </c>
      <c r="C1038" s="1" t="n">
        <v>45881</v>
      </c>
      <c r="D1038" t="inlineStr">
        <is>
          <t>VÄSTERNORRLANDS LÄN</t>
        </is>
      </c>
      <c r="E1038" t="inlineStr">
        <is>
          <t>SUNDSVALL</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3188-2025</t>
        </is>
      </c>
      <c r="B1039" s="1" t="n">
        <v>45679.40740740741</v>
      </c>
      <c r="C1039" s="1" t="n">
        <v>45881</v>
      </c>
      <c r="D1039" t="inlineStr">
        <is>
          <t>VÄSTERNORRLANDS LÄN</t>
        </is>
      </c>
      <c r="E1039" t="inlineStr">
        <is>
          <t>SUNDSVALL</t>
        </is>
      </c>
      <c r="F1039" t="inlineStr">
        <is>
          <t>SCA</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3215-2025</t>
        </is>
      </c>
      <c r="B1040" s="1" t="n">
        <v>45679</v>
      </c>
      <c r="C1040" s="1" t="n">
        <v>45881</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48441-2024</t>
        </is>
      </c>
      <c r="B1041" s="1" t="n">
        <v>45590.67782407408</v>
      </c>
      <c r="C1041" s="1" t="n">
        <v>45881</v>
      </c>
      <c r="D1041" t="inlineStr">
        <is>
          <t>VÄSTERNORRLANDS LÄN</t>
        </is>
      </c>
      <c r="E1041" t="inlineStr">
        <is>
          <t>SUNDSVALL</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48442-2024</t>
        </is>
      </c>
      <c r="B1042" s="1" t="n">
        <v>45590.67783564814</v>
      </c>
      <c r="C1042" s="1" t="n">
        <v>45881</v>
      </c>
      <c r="D1042" t="inlineStr">
        <is>
          <t>VÄSTERNORRLANDS LÄN</t>
        </is>
      </c>
      <c r="E1042" t="inlineStr">
        <is>
          <t>SUNDSVALL</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44934-2021</t>
        </is>
      </c>
      <c r="B1043" s="1" t="n">
        <v>44438</v>
      </c>
      <c r="C1043" s="1" t="n">
        <v>45881</v>
      </c>
      <c r="D1043" t="inlineStr">
        <is>
          <t>VÄSTERNORRLANDS LÄN</t>
        </is>
      </c>
      <c r="E1043" t="inlineStr">
        <is>
          <t>SUNDSVALL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8488-2025</t>
        </is>
      </c>
      <c r="B1044" s="1" t="n">
        <v>45709.50527777777</v>
      </c>
      <c r="C1044" s="1" t="n">
        <v>45881</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8234-2021</t>
        </is>
      </c>
      <c r="B1045" s="1" t="n">
        <v>44244.54785879629</v>
      </c>
      <c r="C1045" s="1" t="n">
        <v>45881</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48950-2024</t>
        </is>
      </c>
      <c r="B1046" s="1" t="n">
        <v>45594.42883101852</v>
      </c>
      <c r="C1046" s="1" t="n">
        <v>45881</v>
      </c>
      <c r="D1046" t="inlineStr">
        <is>
          <t>VÄSTERNORRLANDS LÄN</t>
        </is>
      </c>
      <c r="E1046" t="inlineStr">
        <is>
          <t>SUNDSVALL</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54570-2024</t>
        </is>
      </c>
      <c r="B1047" s="1" t="n">
        <v>45617.64739583333</v>
      </c>
      <c r="C1047" s="1" t="n">
        <v>45881</v>
      </c>
      <c r="D1047" t="inlineStr">
        <is>
          <t>VÄSTERNORRLANDS LÄN</t>
        </is>
      </c>
      <c r="E1047" t="inlineStr">
        <is>
          <t>SUNDSVALL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57363-2022</t>
        </is>
      </c>
      <c r="B1048" s="1" t="n">
        <v>44896.43229166666</v>
      </c>
      <c r="C1048" s="1" t="n">
        <v>45881</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6468-2024</t>
        </is>
      </c>
      <c r="B1049" s="1" t="n">
        <v>45338</v>
      </c>
      <c r="C1049" s="1" t="n">
        <v>45881</v>
      </c>
      <c r="D1049" t="inlineStr">
        <is>
          <t>VÄSTERNORRLANDS LÄN</t>
        </is>
      </c>
      <c r="E1049" t="inlineStr">
        <is>
          <t>SUNDSVALL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27735-2024</t>
        </is>
      </c>
      <c r="B1050" s="1" t="n">
        <v>45475</v>
      </c>
      <c r="C1050" s="1" t="n">
        <v>45881</v>
      </c>
      <c r="D1050" t="inlineStr">
        <is>
          <t>VÄSTERNORRLANDS LÄN</t>
        </is>
      </c>
      <c r="E1050" t="inlineStr">
        <is>
          <t>SUNDSVALL</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40319-2024</t>
        </is>
      </c>
      <c r="B1051" s="1" t="n">
        <v>45554.80418981481</v>
      </c>
      <c r="C1051" s="1" t="n">
        <v>45881</v>
      </c>
      <c r="D1051" t="inlineStr">
        <is>
          <t>VÄSTERNORRLANDS LÄN</t>
        </is>
      </c>
      <c r="E1051" t="inlineStr">
        <is>
          <t>SUNDSVALL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41287-2024</t>
        </is>
      </c>
      <c r="B1052" s="1" t="n">
        <v>45559</v>
      </c>
      <c r="C1052" s="1" t="n">
        <v>45881</v>
      </c>
      <c r="D1052" t="inlineStr">
        <is>
          <t>VÄSTERNORRLANDS LÄN</t>
        </is>
      </c>
      <c r="E1052" t="inlineStr">
        <is>
          <t>SUNDSVALL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7220-2024</t>
        </is>
      </c>
      <c r="B1053" s="1" t="n">
        <v>45344.63797453704</v>
      </c>
      <c r="C1053" s="1" t="n">
        <v>45881</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12101-2024</t>
        </is>
      </c>
      <c r="B1054" s="1" t="n">
        <v>45376</v>
      </c>
      <c r="C1054" s="1" t="n">
        <v>45881</v>
      </c>
      <c r="D1054" t="inlineStr">
        <is>
          <t>VÄSTERNORRLANDS LÄN</t>
        </is>
      </c>
      <c r="E1054" t="inlineStr">
        <is>
          <t>SUNDSVALL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38939-2024</t>
        </is>
      </c>
      <c r="B1055" s="1" t="n">
        <v>45548.34457175926</v>
      </c>
      <c r="C1055" s="1" t="n">
        <v>45881</v>
      </c>
      <c r="D1055" t="inlineStr">
        <is>
          <t>VÄSTERNORRLANDS LÄN</t>
        </is>
      </c>
      <c r="E1055" t="inlineStr">
        <is>
          <t>SUNDSVALL</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38942-2024</t>
        </is>
      </c>
      <c r="B1056" s="1" t="n">
        <v>45548.34482638889</v>
      </c>
      <c r="C1056" s="1" t="n">
        <v>45881</v>
      </c>
      <c r="D1056" t="inlineStr">
        <is>
          <t>VÄSTERNORRLANDS LÄN</t>
        </is>
      </c>
      <c r="E1056" t="inlineStr">
        <is>
          <t>SUNDSVALL</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34822-2024</t>
        </is>
      </c>
      <c r="B1057" s="1" t="n">
        <v>45526.71462962963</v>
      </c>
      <c r="C1057" s="1" t="n">
        <v>45881</v>
      </c>
      <c r="D1057" t="inlineStr">
        <is>
          <t>VÄSTERNORRLANDS LÄN</t>
        </is>
      </c>
      <c r="E1057" t="inlineStr">
        <is>
          <t>SUNDSVALL</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44035-2024</t>
        </is>
      </c>
      <c r="B1058" s="1" t="n">
        <v>45572.57914351852</v>
      </c>
      <c r="C1058" s="1" t="n">
        <v>45881</v>
      </c>
      <c r="D1058" t="inlineStr">
        <is>
          <t>VÄSTERNORRLANDS LÄN</t>
        </is>
      </c>
      <c r="E1058" t="inlineStr">
        <is>
          <t>SUNDSVALL</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36101-2024</t>
        </is>
      </c>
      <c r="B1059" s="1" t="n">
        <v>45533</v>
      </c>
      <c r="C1059" s="1" t="n">
        <v>45881</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16056-2024</t>
        </is>
      </c>
      <c r="B1060" s="1" t="n">
        <v>45406.04898148148</v>
      </c>
      <c r="C1060" s="1" t="n">
        <v>45881</v>
      </c>
      <c r="D1060" t="inlineStr">
        <is>
          <t>VÄSTERNORRLANDS LÄN</t>
        </is>
      </c>
      <c r="E1060" t="inlineStr">
        <is>
          <t>SUNDSVALL</t>
        </is>
      </c>
      <c r="F1060" t="inlineStr">
        <is>
          <t>Naturvårdsverket</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16251-2024</t>
        </is>
      </c>
      <c r="B1061" s="1" t="n">
        <v>45407</v>
      </c>
      <c r="C1061" s="1" t="n">
        <v>45881</v>
      </c>
      <c r="D1061" t="inlineStr">
        <is>
          <t>VÄSTERNORRLANDS LÄN</t>
        </is>
      </c>
      <c r="E1061" t="inlineStr">
        <is>
          <t>SUNDSVALL</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12310-2024</t>
        </is>
      </c>
      <c r="B1062" s="1" t="n">
        <v>45377</v>
      </c>
      <c r="C1062" s="1" t="n">
        <v>45881</v>
      </c>
      <c r="D1062" t="inlineStr">
        <is>
          <t>VÄSTERNORRLANDS LÄN</t>
        </is>
      </c>
      <c r="E1062" t="inlineStr">
        <is>
          <t>SUNDSVALL</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55339-2023</t>
        </is>
      </c>
      <c r="B1063" s="1" t="n">
        <v>45237.97483796296</v>
      </c>
      <c r="C1063" s="1" t="n">
        <v>45881</v>
      </c>
      <c r="D1063" t="inlineStr">
        <is>
          <t>VÄSTERNORRLANDS LÄN</t>
        </is>
      </c>
      <c r="E1063" t="inlineStr">
        <is>
          <t>SUNDSVALL</t>
        </is>
      </c>
      <c r="F1063" t="inlineStr">
        <is>
          <t>SCA</t>
        </is>
      </c>
      <c r="G1063" t="n">
        <v>12.1</v>
      </c>
      <c r="H1063" t="n">
        <v>0</v>
      </c>
      <c r="I1063" t="n">
        <v>0</v>
      </c>
      <c r="J1063" t="n">
        <v>0</v>
      </c>
      <c r="K1063" t="n">
        <v>0</v>
      </c>
      <c r="L1063" t="n">
        <v>0</v>
      </c>
      <c r="M1063" t="n">
        <v>0</v>
      </c>
      <c r="N1063" t="n">
        <v>0</v>
      </c>
      <c r="O1063" t="n">
        <v>0</v>
      </c>
      <c r="P1063" t="n">
        <v>0</v>
      </c>
      <c r="Q1063" t="n">
        <v>0</v>
      </c>
      <c r="R1063" s="2" t="inlineStr"/>
    </row>
    <row r="1064" ht="15" customHeight="1">
      <c r="A1064" t="inlineStr">
        <is>
          <t>A 7579-2025</t>
        </is>
      </c>
      <c r="B1064" s="1" t="n">
        <v>45705</v>
      </c>
      <c r="C1064" s="1" t="n">
        <v>45881</v>
      </c>
      <c r="D1064" t="inlineStr">
        <is>
          <t>VÄSTERNORRLANDS LÄN</t>
        </is>
      </c>
      <c r="E1064" t="inlineStr">
        <is>
          <t>SUNDSVALL</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47784-2023</t>
        </is>
      </c>
      <c r="B1065" s="1" t="n">
        <v>45203.92260416667</v>
      </c>
      <c r="C1065" s="1" t="n">
        <v>45881</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52517-2023</t>
        </is>
      </c>
      <c r="B1066" s="1" t="n">
        <v>45225.49472222223</v>
      </c>
      <c r="C1066" s="1" t="n">
        <v>45881</v>
      </c>
      <c r="D1066" t="inlineStr">
        <is>
          <t>VÄSTERNORRLANDS LÄN</t>
        </is>
      </c>
      <c r="E1066" t="inlineStr">
        <is>
          <t>SUNDSVALL</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13694-2023</t>
        </is>
      </c>
      <c r="B1067" s="1" t="n">
        <v>45006</v>
      </c>
      <c r="C1067" s="1" t="n">
        <v>45881</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13690-2023</t>
        </is>
      </c>
      <c r="B1068" s="1" t="n">
        <v>45006.94331018518</v>
      </c>
      <c r="C1068" s="1" t="n">
        <v>45881</v>
      </c>
      <c r="D1068" t="inlineStr">
        <is>
          <t>VÄSTERNORRLANDS LÄN</t>
        </is>
      </c>
      <c r="E1068" t="inlineStr">
        <is>
          <t>SUNDSVALL</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59896-2024</t>
        </is>
      </c>
      <c r="B1069" s="1" t="n">
        <v>45641</v>
      </c>
      <c r="C1069" s="1" t="n">
        <v>45881</v>
      </c>
      <c r="D1069" t="inlineStr">
        <is>
          <t>VÄSTERNORRLANDS LÄN</t>
        </is>
      </c>
      <c r="E1069" t="inlineStr">
        <is>
          <t>SUNDSVALL</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22249-2022</t>
        </is>
      </c>
      <c r="B1070" s="1" t="n">
        <v>44712.60636574074</v>
      </c>
      <c r="C1070" s="1" t="n">
        <v>45881</v>
      </c>
      <c r="D1070" t="inlineStr">
        <is>
          <t>VÄSTERNORRLANDS LÄN</t>
        </is>
      </c>
      <c r="E1070" t="inlineStr">
        <is>
          <t>SUNDSVALL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58583-2024</t>
        </is>
      </c>
      <c r="B1071" s="1" t="n">
        <v>45635</v>
      </c>
      <c r="C1071" s="1" t="n">
        <v>45881</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61995-2024</t>
        </is>
      </c>
      <c r="B1072" s="1" t="n">
        <v>45653.73643518519</v>
      </c>
      <c r="C1072" s="1" t="n">
        <v>45881</v>
      </c>
      <c r="D1072" t="inlineStr">
        <is>
          <t>VÄSTERNORRLANDS LÄN</t>
        </is>
      </c>
      <c r="E1072" t="inlineStr">
        <is>
          <t>SUNDSVALL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11023-2025</t>
        </is>
      </c>
      <c r="B1073" s="1" t="n">
        <v>45723.46907407408</v>
      </c>
      <c r="C1073" s="1" t="n">
        <v>45881</v>
      </c>
      <c r="D1073" t="inlineStr">
        <is>
          <t>VÄSTERNORRLANDS LÄN</t>
        </is>
      </c>
      <c r="E1073" t="inlineStr">
        <is>
          <t>SUNDSVALL</t>
        </is>
      </c>
      <c r="F1073" t="inlineStr">
        <is>
          <t>SCA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16558-2023</t>
        </is>
      </c>
      <c r="B1074" s="1" t="n">
        <v>45029</v>
      </c>
      <c r="C1074" s="1" t="n">
        <v>45881</v>
      </c>
      <c r="D1074" t="inlineStr">
        <is>
          <t>VÄSTERNORRLANDS LÄN</t>
        </is>
      </c>
      <c r="E1074" t="inlineStr">
        <is>
          <t>SUNDSVALL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57079-2024</t>
        </is>
      </c>
      <c r="B1075" s="1" t="n">
        <v>45629</v>
      </c>
      <c r="C1075" s="1" t="n">
        <v>45881</v>
      </c>
      <c r="D1075" t="inlineStr">
        <is>
          <t>VÄSTERNORRLANDS LÄN</t>
        </is>
      </c>
      <c r="E1075" t="inlineStr">
        <is>
          <t>SUNDSVALL</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50202-2024</t>
        </is>
      </c>
      <c r="B1076" s="1" t="n">
        <v>45600.49368055556</v>
      </c>
      <c r="C1076" s="1" t="n">
        <v>45881</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50204-2024</t>
        </is>
      </c>
      <c r="B1077" s="1" t="n">
        <v>45600.49379629629</v>
      </c>
      <c r="C1077" s="1" t="n">
        <v>45881</v>
      </c>
      <c r="D1077" t="inlineStr">
        <is>
          <t>VÄSTERNORRLANDS LÄN</t>
        </is>
      </c>
      <c r="E1077" t="inlineStr">
        <is>
          <t>SUNDSVALL</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26468-2023</t>
        </is>
      </c>
      <c r="B1078" s="1" t="n">
        <v>45089</v>
      </c>
      <c r="C1078" s="1" t="n">
        <v>45881</v>
      </c>
      <c r="D1078" t="inlineStr">
        <is>
          <t>VÄSTERNORRLANDS LÄN</t>
        </is>
      </c>
      <c r="E1078" t="inlineStr">
        <is>
          <t>SUNDSVALL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39713-2024</t>
        </is>
      </c>
      <c r="B1079" s="1" t="n">
        <v>45552</v>
      </c>
      <c r="C1079" s="1" t="n">
        <v>45881</v>
      </c>
      <c r="D1079" t="inlineStr">
        <is>
          <t>VÄSTERNORRLANDS LÄN</t>
        </is>
      </c>
      <c r="E1079" t="inlineStr">
        <is>
          <t>SUNDSVALL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18859-2024</t>
        </is>
      </c>
      <c r="B1080" s="1" t="n">
        <v>45426</v>
      </c>
      <c r="C1080" s="1" t="n">
        <v>45881</v>
      </c>
      <c r="D1080" t="inlineStr">
        <is>
          <t>VÄSTERNORRLANDS LÄN</t>
        </is>
      </c>
      <c r="E1080" t="inlineStr">
        <is>
          <t>SUNDSVALL</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22890-2022</t>
        </is>
      </c>
      <c r="B1081" s="1" t="n">
        <v>44715</v>
      </c>
      <c r="C1081" s="1" t="n">
        <v>45881</v>
      </c>
      <c r="D1081" t="inlineStr">
        <is>
          <t>VÄSTERNORRLANDS LÄN</t>
        </is>
      </c>
      <c r="E1081" t="inlineStr">
        <is>
          <t>SUNDSVALL</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27928-2024</t>
        </is>
      </c>
      <c r="B1082" s="1" t="n">
        <v>45475</v>
      </c>
      <c r="C1082" s="1" t="n">
        <v>45881</v>
      </c>
      <c r="D1082" t="inlineStr">
        <is>
          <t>VÄSTERNORRLANDS LÄN</t>
        </is>
      </c>
      <c r="E1082" t="inlineStr">
        <is>
          <t>SUNDSVALL</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44578-2024</t>
        </is>
      </c>
      <c r="B1083" s="1" t="n">
        <v>45574.48479166667</v>
      </c>
      <c r="C1083" s="1" t="n">
        <v>45881</v>
      </c>
      <c r="D1083" t="inlineStr">
        <is>
          <t>VÄSTERNORRLANDS LÄN</t>
        </is>
      </c>
      <c r="E1083" t="inlineStr">
        <is>
          <t>SUNDSVALL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28536-2022</t>
        </is>
      </c>
      <c r="B1084" s="1" t="n">
        <v>44748</v>
      </c>
      <c r="C1084" s="1" t="n">
        <v>45881</v>
      </c>
      <c r="D1084" t="inlineStr">
        <is>
          <t>VÄSTERNORRLANDS LÄN</t>
        </is>
      </c>
      <c r="E1084" t="inlineStr">
        <is>
          <t>SUNDSVALL</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39922-2024</t>
        </is>
      </c>
      <c r="B1085" s="1" t="n">
        <v>45553</v>
      </c>
      <c r="C1085" s="1" t="n">
        <v>45881</v>
      </c>
      <c r="D1085" t="inlineStr">
        <is>
          <t>VÄSTERNORRLANDS LÄN</t>
        </is>
      </c>
      <c r="E1085" t="inlineStr">
        <is>
          <t>SUNDSVALL</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3348-2024</t>
        </is>
      </c>
      <c r="B1086" s="1" t="n">
        <v>45317</v>
      </c>
      <c r="C1086" s="1" t="n">
        <v>45881</v>
      </c>
      <c r="D1086" t="inlineStr">
        <is>
          <t>VÄSTERNORRLANDS LÄN</t>
        </is>
      </c>
      <c r="E1086" t="inlineStr">
        <is>
          <t>SUNDSVALL</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56755-2021</t>
        </is>
      </c>
      <c r="B1087" s="1" t="n">
        <v>44481</v>
      </c>
      <c r="C1087" s="1" t="n">
        <v>45881</v>
      </c>
      <c r="D1087" t="inlineStr">
        <is>
          <t>VÄSTERNORRLANDS LÄN</t>
        </is>
      </c>
      <c r="E1087" t="inlineStr">
        <is>
          <t>SUNDSVALL</t>
        </is>
      </c>
      <c r="F1087" t="inlineStr">
        <is>
          <t>Kommuner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37887-2024</t>
        </is>
      </c>
      <c r="B1088" s="1" t="n">
        <v>45544</v>
      </c>
      <c r="C1088" s="1" t="n">
        <v>45881</v>
      </c>
      <c r="D1088" t="inlineStr">
        <is>
          <t>VÄSTERNORRLANDS LÄN</t>
        </is>
      </c>
      <c r="E1088" t="inlineStr">
        <is>
          <t>SUNDSVALL</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50829-2023</t>
        </is>
      </c>
      <c r="B1089" s="1" t="n">
        <v>45217</v>
      </c>
      <c r="C1089" s="1" t="n">
        <v>45881</v>
      </c>
      <c r="D1089" t="inlineStr">
        <is>
          <t>VÄSTERNORRLANDS LÄN</t>
        </is>
      </c>
      <c r="E1089" t="inlineStr">
        <is>
          <t>SUNDSVALL</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34706-2024</t>
        </is>
      </c>
      <c r="B1090" s="1" t="n">
        <v>45526</v>
      </c>
      <c r="C1090" s="1" t="n">
        <v>45881</v>
      </c>
      <c r="D1090" t="inlineStr">
        <is>
          <t>VÄSTERNORRLANDS LÄN</t>
        </is>
      </c>
      <c r="E1090" t="inlineStr">
        <is>
          <t>SUNDSVALL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43004-2024</t>
        </is>
      </c>
      <c r="B1091" s="1" t="n">
        <v>45567.37616898148</v>
      </c>
      <c r="C1091" s="1" t="n">
        <v>45881</v>
      </c>
      <c r="D1091" t="inlineStr">
        <is>
          <t>VÄSTERNORRLANDS LÄN</t>
        </is>
      </c>
      <c r="E1091" t="inlineStr">
        <is>
          <t>SUNDSVALL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60611-2024</t>
        </is>
      </c>
      <c r="B1092" s="1" t="n">
        <v>45644.38586805556</v>
      </c>
      <c r="C1092" s="1" t="n">
        <v>45881</v>
      </c>
      <c r="D1092" t="inlineStr">
        <is>
          <t>VÄSTERNORRLANDS LÄN</t>
        </is>
      </c>
      <c r="E1092" t="inlineStr">
        <is>
          <t>SUNDSVALL</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37408-2023</t>
        </is>
      </c>
      <c r="B1093" s="1" t="n">
        <v>45156</v>
      </c>
      <c r="C1093" s="1" t="n">
        <v>45881</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13152-2025</t>
        </is>
      </c>
      <c r="B1094" s="1" t="n">
        <v>45735</v>
      </c>
      <c r="C1094" s="1" t="n">
        <v>45881</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48120-2024</t>
        </is>
      </c>
      <c r="B1095" s="1" t="n">
        <v>45589.63642361111</v>
      </c>
      <c r="C1095" s="1" t="n">
        <v>45881</v>
      </c>
      <c r="D1095" t="inlineStr">
        <is>
          <t>VÄSTERNORRLANDS LÄN</t>
        </is>
      </c>
      <c r="E1095" t="inlineStr">
        <is>
          <t>SUNDSVALL</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36971-2023</t>
        </is>
      </c>
      <c r="B1096" s="1" t="n">
        <v>45154</v>
      </c>
      <c r="C1096" s="1" t="n">
        <v>45881</v>
      </c>
      <c r="D1096" t="inlineStr">
        <is>
          <t>VÄSTERNORRLANDS LÄN</t>
        </is>
      </c>
      <c r="E1096" t="inlineStr">
        <is>
          <t>SUNDSVALL</t>
        </is>
      </c>
      <c r="F1096" t="inlineStr">
        <is>
          <t>SCA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28497-2024</t>
        </is>
      </c>
      <c r="B1097" s="1" t="n">
        <v>45477.9271875</v>
      </c>
      <c r="C1097" s="1" t="n">
        <v>45881</v>
      </c>
      <c r="D1097" t="inlineStr">
        <is>
          <t>VÄSTERNORRLANDS LÄN</t>
        </is>
      </c>
      <c r="E1097" t="inlineStr">
        <is>
          <t>SUNDSVALL</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59579-2021</t>
        </is>
      </c>
      <c r="B1098" s="1" t="n">
        <v>44491</v>
      </c>
      <c r="C1098" s="1" t="n">
        <v>45881</v>
      </c>
      <c r="D1098" t="inlineStr">
        <is>
          <t>VÄSTERNORRLANDS LÄN</t>
        </is>
      </c>
      <c r="E1098" t="inlineStr">
        <is>
          <t>SUNDSVALL</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19011-2025</t>
        </is>
      </c>
      <c r="B1099" s="1" t="n">
        <v>45764.59440972222</v>
      </c>
      <c r="C1099" s="1" t="n">
        <v>45881</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28611-2024</t>
        </is>
      </c>
      <c r="B1100" s="1" t="n">
        <v>45478</v>
      </c>
      <c r="C1100" s="1" t="n">
        <v>45881</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9018-2025</t>
        </is>
      </c>
      <c r="B1101" s="1" t="n">
        <v>45713.59430555555</v>
      </c>
      <c r="C1101" s="1" t="n">
        <v>45881</v>
      </c>
      <c r="D1101" t="inlineStr">
        <is>
          <t>VÄSTERNORRLANDS LÄN</t>
        </is>
      </c>
      <c r="E1101" t="inlineStr">
        <is>
          <t>SUNDSVALL</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27005-2022</t>
        </is>
      </c>
      <c r="B1102" s="1" t="n">
        <v>44740</v>
      </c>
      <c r="C1102" s="1" t="n">
        <v>45881</v>
      </c>
      <c r="D1102" t="inlineStr">
        <is>
          <t>VÄSTERNORRLANDS LÄN</t>
        </is>
      </c>
      <c r="E1102" t="inlineStr">
        <is>
          <t>SUNDSVALL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12496-2022</t>
        </is>
      </c>
      <c r="B1103" s="1" t="n">
        <v>44638.51076388889</v>
      </c>
      <c r="C1103" s="1" t="n">
        <v>45881</v>
      </c>
      <c r="D1103" t="inlineStr">
        <is>
          <t>VÄSTERNORRLANDS LÄN</t>
        </is>
      </c>
      <c r="E1103" t="inlineStr">
        <is>
          <t>SUNDSVALL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43978-2023</t>
        </is>
      </c>
      <c r="B1104" s="1" t="n">
        <v>45187</v>
      </c>
      <c r="C1104" s="1" t="n">
        <v>45881</v>
      </c>
      <c r="D1104" t="inlineStr">
        <is>
          <t>VÄSTERNORRLANDS LÄN</t>
        </is>
      </c>
      <c r="E1104" t="inlineStr">
        <is>
          <t>SUNDSVALL</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43138-2023</t>
        </is>
      </c>
      <c r="B1105" s="1" t="n">
        <v>45180</v>
      </c>
      <c r="C1105" s="1" t="n">
        <v>45881</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32562-2023</t>
        </is>
      </c>
      <c r="B1106" s="1" t="n">
        <v>45111</v>
      </c>
      <c r="C1106" s="1" t="n">
        <v>45881</v>
      </c>
      <c r="D1106" t="inlineStr">
        <is>
          <t>VÄSTERNORRLANDS LÄN</t>
        </is>
      </c>
      <c r="E1106" t="inlineStr">
        <is>
          <t>SUNDSVALL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7924-2025</t>
        </is>
      </c>
      <c r="B1107" s="1" t="n">
        <v>45707.36533564814</v>
      </c>
      <c r="C1107" s="1" t="n">
        <v>45881</v>
      </c>
      <c r="D1107" t="inlineStr">
        <is>
          <t>VÄSTERNORRLANDS LÄN</t>
        </is>
      </c>
      <c r="E1107" t="inlineStr">
        <is>
          <t>SUNDSVALL</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7961-2025</t>
        </is>
      </c>
      <c r="B1108" s="1" t="n">
        <v>45707.44523148148</v>
      </c>
      <c r="C1108" s="1" t="n">
        <v>45881</v>
      </c>
      <c r="D1108" t="inlineStr">
        <is>
          <t>VÄSTERNORRLANDS LÄN</t>
        </is>
      </c>
      <c r="E1108" t="inlineStr">
        <is>
          <t>SUNDSVALL</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7970-2025</t>
        </is>
      </c>
      <c r="B1109" s="1" t="n">
        <v>45707.45626157407</v>
      </c>
      <c r="C1109" s="1" t="n">
        <v>45881</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41027-2024</t>
        </is>
      </c>
      <c r="B1110" s="1" t="n">
        <v>45559</v>
      </c>
      <c r="C1110" s="1" t="n">
        <v>45881</v>
      </c>
      <c r="D1110" t="inlineStr">
        <is>
          <t>VÄSTERNORRLANDS LÄN</t>
        </is>
      </c>
      <c r="E1110" t="inlineStr">
        <is>
          <t>SUNDSVALL</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26674-2022</t>
        </is>
      </c>
      <c r="B1111" s="1" t="n">
        <v>44739</v>
      </c>
      <c r="C1111" s="1" t="n">
        <v>45881</v>
      </c>
      <c r="D1111" t="inlineStr">
        <is>
          <t>VÄSTERNORRLANDS LÄN</t>
        </is>
      </c>
      <c r="E1111" t="inlineStr">
        <is>
          <t>SUNDSVALL</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45881</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25024-2024</t>
        </is>
      </c>
      <c r="B1113" s="1" t="n">
        <v>45461</v>
      </c>
      <c r="C1113" s="1" t="n">
        <v>45881</v>
      </c>
      <c r="D1113" t="inlineStr">
        <is>
          <t>VÄSTERNORRLANDS LÄN</t>
        </is>
      </c>
      <c r="E1113" t="inlineStr">
        <is>
          <t>SUNDSVALL</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41091-2024</t>
        </is>
      </c>
      <c r="B1114" s="1" t="n">
        <v>45559.42767361111</v>
      </c>
      <c r="C1114" s="1" t="n">
        <v>45881</v>
      </c>
      <c r="D1114" t="inlineStr">
        <is>
          <t>VÄSTERNORRLANDS LÄN</t>
        </is>
      </c>
      <c r="E1114" t="inlineStr">
        <is>
          <t>SUNDSVALL</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21637-2023</t>
        </is>
      </c>
      <c r="B1115" s="1" t="n">
        <v>45063</v>
      </c>
      <c r="C1115" s="1" t="n">
        <v>45881</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51547-2022</t>
        </is>
      </c>
      <c r="B1116" s="1" t="n">
        <v>44869</v>
      </c>
      <c r="C1116" s="1" t="n">
        <v>45881</v>
      </c>
      <c r="D1116" t="inlineStr">
        <is>
          <t>VÄSTERNORRLANDS LÄN</t>
        </is>
      </c>
      <c r="E1116" t="inlineStr">
        <is>
          <t>SUNDSVALL</t>
        </is>
      </c>
      <c r="F1116" t="inlineStr">
        <is>
          <t>SCA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65192-2023</t>
        </is>
      </c>
      <c r="B1117" s="1" t="n">
        <v>45288</v>
      </c>
      <c r="C1117" s="1" t="n">
        <v>45881</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65193-2023</t>
        </is>
      </c>
      <c r="B1118" s="1" t="n">
        <v>45288</v>
      </c>
      <c r="C1118" s="1" t="n">
        <v>45881</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25350-2024</t>
        </is>
      </c>
      <c r="B1119" s="1" t="n">
        <v>45462</v>
      </c>
      <c r="C1119" s="1" t="n">
        <v>45881</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5798-2021</t>
        </is>
      </c>
      <c r="B1120" s="1" t="n">
        <v>44230</v>
      </c>
      <c r="C1120" s="1" t="n">
        <v>45881</v>
      </c>
      <c r="D1120" t="inlineStr">
        <is>
          <t>VÄSTERNORRLANDS LÄN</t>
        </is>
      </c>
      <c r="E1120" t="inlineStr">
        <is>
          <t>SUNDSVALL</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5799-2021</t>
        </is>
      </c>
      <c r="B1121" s="1" t="n">
        <v>44230</v>
      </c>
      <c r="C1121" s="1" t="n">
        <v>45881</v>
      </c>
      <c r="D1121" t="inlineStr">
        <is>
          <t>VÄSTERNORRLANDS LÄN</t>
        </is>
      </c>
      <c r="E1121" t="inlineStr">
        <is>
          <t>SUNDSVALL</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47714-2024</t>
        </is>
      </c>
      <c r="B1122" s="1" t="n">
        <v>45588.48163194444</v>
      </c>
      <c r="C1122" s="1" t="n">
        <v>45881</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8813-2025</t>
        </is>
      </c>
      <c r="B1123" s="1" t="n">
        <v>45712.68959490741</v>
      </c>
      <c r="C1123" s="1" t="n">
        <v>45881</v>
      </c>
      <c r="D1123" t="inlineStr">
        <is>
          <t>VÄSTERNORRLANDS LÄN</t>
        </is>
      </c>
      <c r="E1123" t="inlineStr">
        <is>
          <t>SUNDSVALL</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8423-2024</t>
        </is>
      </c>
      <c r="B1124" s="1" t="n">
        <v>45352.98938657407</v>
      </c>
      <c r="C1124" s="1" t="n">
        <v>45881</v>
      </c>
      <c r="D1124" t="inlineStr">
        <is>
          <t>VÄSTERNORRLANDS LÄN</t>
        </is>
      </c>
      <c r="E1124" t="inlineStr">
        <is>
          <t>SUNDSVALL</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26234-2024</t>
        </is>
      </c>
      <c r="B1125" s="1" t="n">
        <v>45468</v>
      </c>
      <c r="C1125" s="1" t="n">
        <v>45881</v>
      </c>
      <c r="D1125" t="inlineStr">
        <is>
          <t>VÄSTERNORRLANDS LÄN</t>
        </is>
      </c>
      <c r="E1125" t="inlineStr">
        <is>
          <t>SUNDSVALL</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43001-2024</t>
        </is>
      </c>
      <c r="B1126" s="1" t="n">
        <v>45567.37609953704</v>
      </c>
      <c r="C1126" s="1" t="n">
        <v>45881</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51327-2024</t>
        </is>
      </c>
      <c r="B1127" s="1" t="n">
        <v>45604.33793981482</v>
      </c>
      <c r="C1127" s="1" t="n">
        <v>45881</v>
      </c>
      <c r="D1127" t="inlineStr">
        <is>
          <t>VÄSTERNORRLANDS LÄN</t>
        </is>
      </c>
      <c r="E1127" t="inlineStr">
        <is>
          <t>SUNDSVALL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60942-2023</t>
        </is>
      </c>
      <c r="B1128" s="1" t="n">
        <v>45259</v>
      </c>
      <c r="C1128" s="1" t="n">
        <v>45881</v>
      </c>
      <c r="D1128" t="inlineStr">
        <is>
          <t>VÄSTERNORRLANDS LÄN</t>
        </is>
      </c>
      <c r="E1128" t="inlineStr">
        <is>
          <t>SUNDSVALL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45627-2023</t>
        </is>
      </c>
      <c r="B1129" s="1" t="n">
        <v>45194</v>
      </c>
      <c r="C1129" s="1" t="n">
        <v>45881</v>
      </c>
      <c r="D1129" t="inlineStr">
        <is>
          <t>VÄSTERNORRLANDS LÄN</t>
        </is>
      </c>
      <c r="E1129" t="inlineStr">
        <is>
          <t>SUNDSVALL</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3232-2025</t>
        </is>
      </c>
      <c r="B1130" s="1" t="n">
        <v>45679.49</v>
      </c>
      <c r="C1130" s="1" t="n">
        <v>45881</v>
      </c>
      <c r="D1130" t="inlineStr">
        <is>
          <t>VÄSTERNORRLANDS LÄN</t>
        </is>
      </c>
      <c r="E1130" t="inlineStr">
        <is>
          <t>SUNDSVALL</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20105-2025</t>
        </is>
      </c>
      <c r="B1131" s="1" t="n">
        <v>45772.46976851852</v>
      </c>
      <c r="C1131" s="1" t="n">
        <v>45881</v>
      </c>
      <c r="D1131" t="inlineStr">
        <is>
          <t>VÄSTERNORRLANDS LÄN</t>
        </is>
      </c>
      <c r="E1131" t="inlineStr">
        <is>
          <t>SUNDSVALL</t>
        </is>
      </c>
      <c r="F1131" t="inlineStr">
        <is>
          <t>Naturvårdsverket</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13262-2023</t>
        </is>
      </c>
      <c r="B1132" s="1" t="n">
        <v>45002</v>
      </c>
      <c r="C1132" s="1" t="n">
        <v>45881</v>
      </c>
      <c r="D1132" t="inlineStr">
        <is>
          <t>VÄSTERNORRLANDS LÄN</t>
        </is>
      </c>
      <c r="E1132" t="inlineStr">
        <is>
          <t>SUNDSVALL</t>
        </is>
      </c>
      <c r="F1132" t="inlineStr">
        <is>
          <t>Naturvårdsverket</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4853-2025</t>
        </is>
      </c>
      <c r="B1133" s="1" t="n">
        <v>45688.67368055556</v>
      </c>
      <c r="C1133" s="1" t="n">
        <v>45881</v>
      </c>
      <c r="D1133" t="inlineStr">
        <is>
          <t>VÄSTERNORRLANDS LÄN</t>
        </is>
      </c>
      <c r="E1133" t="inlineStr">
        <is>
          <t>SUNDSVALL</t>
        </is>
      </c>
      <c r="F1133" t="inlineStr">
        <is>
          <t>SCA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3960-2024</t>
        </is>
      </c>
      <c r="B1134" s="1" t="n">
        <v>45322</v>
      </c>
      <c r="C1134" s="1" t="n">
        <v>45881</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4917-2025</t>
        </is>
      </c>
      <c r="B1135" s="1" t="n">
        <v>45688</v>
      </c>
      <c r="C1135" s="1" t="n">
        <v>45881</v>
      </c>
      <c r="D1135" t="inlineStr">
        <is>
          <t>VÄSTERNORRLANDS LÄN</t>
        </is>
      </c>
      <c r="E1135" t="inlineStr">
        <is>
          <t>SUNDSVALL</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54313-2024</t>
        </is>
      </c>
      <c r="B1136" s="1" t="n">
        <v>45617.34414351852</v>
      </c>
      <c r="C1136" s="1" t="n">
        <v>45881</v>
      </c>
      <c r="D1136" t="inlineStr">
        <is>
          <t>VÄSTERNORRLANDS LÄN</t>
        </is>
      </c>
      <c r="E1136" t="inlineStr">
        <is>
          <t>SUNDSVALL</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2587-2024</t>
        </is>
      </c>
      <c r="B1137" s="1" t="n">
        <v>45313</v>
      </c>
      <c r="C1137" s="1" t="n">
        <v>45881</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27673-2024</t>
        </is>
      </c>
      <c r="B1138" s="1" t="n">
        <v>45474.9560300926</v>
      </c>
      <c r="C1138" s="1" t="n">
        <v>45881</v>
      </c>
      <c r="D1138" t="inlineStr">
        <is>
          <t>VÄSTERNORRLANDS LÄN</t>
        </is>
      </c>
      <c r="E1138" t="inlineStr">
        <is>
          <t>SUNDSVALL</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47682-2024</t>
        </is>
      </c>
      <c r="B1139" s="1" t="n">
        <v>45588.42511574074</v>
      </c>
      <c r="C1139" s="1" t="n">
        <v>45881</v>
      </c>
      <c r="D1139" t="inlineStr">
        <is>
          <t>VÄSTERNORRLANDS LÄN</t>
        </is>
      </c>
      <c r="E1139" t="inlineStr">
        <is>
          <t>SUNDSVALL</t>
        </is>
      </c>
      <c r="F1139" t="inlineStr">
        <is>
          <t>Holmen skog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45816-2024</t>
        </is>
      </c>
      <c r="B1140" s="1" t="n">
        <v>45579.72534722222</v>
      </c>
      <c r="C1140" s="1" t="n">
        <v>45881</v>
      </c>
      <c r="D1140" t="inlineStr">
        <is>
          <t>VÄSTERNORRLANDS LÄN</t>
        </is>
      </c>
      <c r="E1140" t="inlineStr">
        <is>
          <t>SUNDSVALL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28232-2022</t>
        </is>
      </c>
      <c r="B1141" s="1" t="n">
        <v>44746</v>
      </c>
      <c r="C1141" s="1" t="n">
        <v>45881</v>
      </c>
      <c r="D1141" t="inlineStr">
        <is>
          <t>VÄSTERNORRLANDS LÄN</t>
        </is>
      </c>
      <c r="E1141" t="inlineStr">
        <is>
          <t>SUNDSVALL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6457-2023</t>
        </is>
      </c>
      <c r="B1142" s="1" t="n">
        <v>44965.93969907407</v>
      </c>
      <c r="C1142" s="1" t="n">
        <v>45881</v>
      </c>
      <c r="D1142" t="inlineStr">
        <is>
          <t>VÄSTERNORRLANDS LÄN</t>
        </is>
      </c>
      <c r="E1142" t="inlineStr">
        <is>
          <t>SUNDSVALL</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16997-2023</t>
        </is>
      </c>
      <c r="B1143" s="1" t="n">
        <v>45033.92600694444</v>
      </c>
      <c r="C1143" s="1" t="n">
        <v>45881</v>
      </c>
      <c r="D1143" t="inlineStr">
        <is>
          <t>VÄSTERNORRLANDS LÄN</t>
        </is>
      </c>
      <c r="E1143" t="inlineStr">
        <is>
          <t>SUNDSVALL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3772-2025</t>
        </is>
      </c>
      <c r="B1144" s="1" t="n">
        <v>45681</v>
      </c>
      <c r="C1144" s="1" t="n">
        <v>45881</v>
      </c>
      <c r="D1144" t="inlineStr">
        <is>
          <t>VÄSTERNORRLANDS LÄN</t>
        </is>
      </c>
      <c r="E1144" t="inlineStr">
        <is>
          <t>SUNDSVALL</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58781-2022</t>
        </is>
      </c>
      <c r="B1145" s="1" t="n">
        <v>44903</v>
      </c>
      <c r="C1145" s="1" t="n">
        <v>45881</v>
      </c>
      <c r="D1145" t="inlineStr">
        <is>
          <t>VÄSTERNORRLANDS LÄN</t>
        </is>
      </c>
      <c r="E1145" t="inlineStr">
        <is>
          <t>SUNDSVALL</t>
        </is>
      </c>
      <c r="F1145" t="inlineStr">
        <is>
          <t>Holmen skog AB</t>
        </is>
      </c>
      <c r="G1145" t="n">
        <v>16.3</v>
      </c>
      <c r="H1145" t="n">
        <v>0</v>
      </c>
      <c r="I1145" t="n">
        <v>0</v>
      </c>
      <c r="J1145" t="n">
        <v>0</v>
      </c>
      <c r="K1145" t="n">
        <v>0</v>
      </c>
      <c r="L1145" t="n">
        <v>0</v>
      </c>
      <c r="M1145" t="n">
        <v>0</v>
      </c>
      <c r="N1145" t="n">
        <v>0</v>
      </c>
      <c r="O1145" t="n">
        <v>0</v>
      </c>
      <c r="P1145" t="n">
        <v>0</v>
      </c>
      <c r="Q1145" t="n">
        <v>0</v>
      </c>
      <c r="R1145" s="2" t="inlineStr"/>
    </row>
    <row r="1146" ht="15" customHeight="1">
      <c r="A1146" t="inlineStr">
        <is>
          <t>A 623-2025</t>
        </is>
      </c>
      <c r="B1146" s="1" t="n">
        <v>45664.61494212963</v>
      </c>
      <c r="C1146" s="1" t="n">
        <v>45881</v>
      </c>
      <c r="D1146" t="inlineStr">
        <is>
          <t>VÄSTERNORRLANDS LÄN</t>
        </is>
      </c>
      <c r="E1146" t="inlineStr">
        <is>
          <t>SUNDSVALL</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73980-2021</t>
        </is>
      </c>
      <c r="B1147" s="1" t="n">
        <v>44554</v>
      </c>
      <c r="C1147" s="1" t="n">
        <v>45881</v>
      </c>
      <c r="D1147" t="inlineStr">
        <is>
          <t>VÄSTERNORRLANDS LÄN</t>
        </is>
      </c>
      <c r="E1147" t="inlineStr">
        <is>
          <t>SUNDSVALL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59973-2021</t>
        </is>
      </c>
      <c r="B1148" s="1" t="n">
        <v>44494.93664351852</v>
      </c>
      <c r="C1148" s="1" t="n">
        <v>45881</v>
      </c>
      <c r="D1148" t="inlineStr">
        <is>
          <t>VÄSTERNORRLANDS LÄN</t>
        </is>
      </c>
      <c r="E1148" t="inlineStr">
        <is>
          <t>SUNDSVALL</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4346-2024</t>
        </is>
      </c>
      <c r="B1149" s="1" t="n">
        <v>45324</v>
      </c>
      <c r="C1149" s="1" t="n">
        <v>45881</v>
      </c>
      <c r="D1149" t="inlineStr">
        <is>
          <t>VÄSTERNORRLANDS LÄN</t>
        </is>
      </c>
      <c r="E1149" t="inlineStr">
        <is>
          <t>SUNDSVALL</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12280-2025</t>
        </is>
      </c>
      <c r="B1150" s="1" t="n">
        <v>45729.6537962963</v>
      </c>
      <c r="C1150" s="1" t="n">
        <v>45881</v>
      </c>
      <c r="D1150" t="inlineStr">
        <is>
          <t>VÄSTERNORRLANDS LÄN</t>
        </is>
      </c>
      <c r="E1150" t="inlineStr">
        <is>
          <t>SUNDSVALL</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23404-2023</t>
        </is>
      </c>
      <c r="B1151" s="1" t="n">
        <v>45076.48101851852</v>
      </c>
      <c r="C1151" s="1" t="n">
        <v>45881</v>
      </c>
      <c r="D1151" t="inlineStr">
        <is>
          <t>VÄSTERNORRLANDS LÄN</t>
        </is>
      </c>
      <c r="E1151" t="inlineStr">
        <is>
          <t>SUNDSVALL</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35165-2022</t>
        </is>
      </c>
      <c r="B1152" s="1" t="n">
        <v>44797</v>
      </c>
      <c r="C1152" s="1" t="n">
        <v>45881</v>
      </c>
      <c r="D1152" t="inlineStr">
        <is>
          <t>VÄSTERNORRLANDS LÄN</t>
        </is>
      </c>
      <c r="E1152" t="inlineStr">
        <is>
          <t>SUNDSVALL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56197-2024</t>
        </is>
      </c>
      <c r="B1153" s="1" t="n">
        <v>45624</v>
      </c>
      <c r="C1153" s="1" t="n">
        <v>45881</v>
      </c>
      <c r="D1153" t="inlineStr">
        <is>
          <t>VÄSTERNORRLANDS LÄN</t>
        </is>
      </c>
      <c r="E1153" t="inlineStr">
        <is>
          <t>SUNDSVALL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2104-2025</t>
        </is>
      </c>
      <c r="B1154" s="1" t="n">
        <v>45672</v>
      </c>
      <c r="C1154" s="1" t="n">
        <v>45881</v>
      </c>
      <c r="D1154" t="inlineStr">
        <is>
          <t>VÄSTERNORRLANDS LÄN</t>
        </is>
      </c>
      <c r="E1154" t="inlineStr">
        <is>
          <t>SUNDSVALL</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47886-2024</t>
        </is>
      </c>
      <c r="B1155" s="1" t="n">
        <v>45588.82175925926</v>
      </c>
      <c r="C1155" s="1" t="n">
        <v>45881</v>
      </c>
      <c r="D1155" t="inlineStr">
        <is>
          <t>VÄSTERNORRLANDS LÄN</t>
        </is>
      </c>
      <c r="E1155" t="inlineStr">
        <is>
          <t>SUNDSVALL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3467-2024</t>
        </is>
      </c>
      <c r="B1156" s="1" t="n">
        <v>45317</v>
      </c>
      <c r="C1156" s="1" t="n">
        <v>45881</v>
      </c>
      <c r="D1156" t="inlineStr">
        <is>
          <t>VÄSTERNORRLANDS LÄN</t>
        </is>
      </c>
      <c r="E1156" t="inlineStr">
        <is>
          <t>SUNDSVALL</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58130-2024</t>
        </is>
      </c>
      <c r="B1157" s="1" t="n">
        <v>45632.40662037037</v>
      </c>
      <c r="C1157" s="1" t="n">
        <v>45881</v>
      </c>
      <c r="D1157" t="inlineStr">
        <is>
          <t>VÄSTERNORRLANDS LÄN</t>
        </is>
      </c>
      <c r="E1157" t="inlineStr">
        <is>
          <t>SUNDSVALL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9562-2024</t>
        </is>
      </c>
      <c r="B1158" s="1" t="n">
        <v>45360.03582175926</v>
      </c>
      <c r="C1158" s="1" t="n">
        <v>45881</v>
      </c>
      <c r="D1158" t="inlineStr">
        <is>
          <t>VÄSTERNORRLANDS LÄN</t>
        </is>
      </c>
      <c r="E1158" t="inlineStr">
        <is>
          <t>SUNDSVALL</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43571-2024</t>
        </is>
      </c>
      <c r="B1159" s="1" t="n">
        <v>45569</v>
      </c>
      <c r="C1159" s="1" t="n">
        <v>45881</v>
      </c>
      <c r="D1159" t="inlineStr">
        <is>
          <t>VÄSTERNORRLANDS LÄN</t>
        </is>
      </c>
      <c r="E1159" t="inlineStr">
        <is>
          <t>SUNDSVALL</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3235-2024</t>
        </is>
      </c>
      <c r="B1160" s="1" t="n">
        <v>45316</v>
      </c>
      <c r="C1160" s="1" t="n">
        <v>45881</v>
      </c>
      <c r="D1160" t="inlineStr">
        <is>
          <t>VÄSTERNORRLANDS LÄN</t>
        </is>
      </c>
      <c r="E1160" t="inlineStr">
        <is>
          <t>SUNDSVALL</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52758-2023</t>
        </is>
      </c>
      <c r="B1161" s="1" t="n">
        <v>45225</v>
      </c>
      <c r="C1161" s="1" t="n">
        <v>45881</v>
      </c>
      <c r="D1161" t="inlineStr">
        <is>
          <t>VÄSTERNORRLANDS LÄN</t>
        </is>
      </c>
      <c r="E1161" t="inlineStr">
        <is>
          <t>SUNDSVALL</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1296-2025</t>
        </is>
      </c>
      <c r="B1162" s="1" t="n">
        <v>45667.53157407408</v>
      </c>
      <c r="C1162" s="1" t="n">
        <v>45881</v>
      </c>
      <c r="D1162" t="inlineStr">
        <is>
          <t>VÄSTERNORRLANDS LÄN</t>
        </is>
      </c>
      <c r="E1162" t="inlineStr">
        <is>
          <t>SUNDSVALL</t>
        </is>
      </c>
      <c r="F1162" t="inlineStr">
        <is>
          <t>SCA</t>
        </is>
      </c>
      <c r="G1162" t="n">
        <v>13.4</v>
      </c>
      <c r="H1162" t="n">
        <v>0</v>
      </c>
      <c r="I1162" t="n">
        <v>0</v>
      </c>
      <c r="J1162" t="n">
        <v>0</v>
      </c>
      <c r="K1162" t="n">
        <v>0</v>
      </c>
      <c r="L1162" t="n">
        <v>0</v>
      </c>
      <c r="M1162" t="n">
        <v>0</v>
      </c>
      <c r="N1162" t="n">
        <v>0</v>
      </c>
      <c r="O1162" t="n">
        <v>0</v>
      </c>
      <c r="P1162" t="n">
        <v>0</v>
      </c>
      <c r="Q1162" t="n">
        <v>0</v>
      </c>
      <c r="R1162" s="2" t="inlineStr"/>
    </row>
    <row r="1163" ht="15" customHeight="1">
      <c r="A1163" t="inlineStr">
        <is>
          <t>A 9393-2022</t>
        </is>
      </c>
      <c r="B1163" s="1" t="n">
        <v>44616.64576388889</v>
      </c>
      <c r="C1163" s="1" t="n">
        <v>45881</v>
      </c>
      <c r="D1163" t="inlineStr">
        <is>
          <t>VÄSTERNORRLANDS LÄN</t>
        </is>
      </c>
      <c r="E1163" t="inlineStr">
        <is>
          <t>SUNDSVALL</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24152-2023</t>
        </is>
      </c>
      <c r="B1164" s="1" t="n">
        <v>45076</v>
      </c>
      <c r="C1164" s="1" t="n">
        <v>45881</v>
      </c>
      <c r="D1164" t="inlineStr">
        <is>
          <t>VÄSTERNORRLANDS LÄN</t>
        </is>
      </c>
      <c r="E1164" t="inlineStr">
        <is>
          <t>SUNDSVALL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13674-2024</t>
        </is>
      </c>
      <c r="B1165" s="1" t="n">
        <v>45390</v>
      </c>
      <c r="C1165" s="1" t="n">
        <v>45881</v>
      </c>
      <c r="D1165" t="inlineStr">
        <is>
          <t>VÄSTERNORRLANDS LÄN</t>
        </is>
      </c>
      <c r="E1165" t="inlineStr">
        <is>
          <t>SUNDSVALL</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47172-2024</t>
        </is>
      </c>
      <c r="B1166" s="1" t="n">
        <v>45586.61501157407</v>
      </c>
      <c r="C1166" s="1" t="n">
        <v>45881</v>
      </c>
      <c r="D1166" t="inlineStr">
        <is>
          <t>VÄSTERNORRLANDS LÄN</t>
        </is>
      </c>
      <c r="E1166" t="inlineStr">
        <is>
          <t>SUNDSVALL</t>
        </is>
      </c>
      <c r="F1166" t="inlineStr">
        <is>
          <t>SCA</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44569-2024</t>
        </is>
      </c>
      <c r="B1167" s="1" t="n">
        <v>45574.48010416667</v>
      </c>
      <c r="C1167" s="1" t="n">
        <v>45881</v>
      </c>
      <c r="D1167" t="inlineStr">
        <is>
          <t>VÄSTERNORRLANDS LÄN</t>
        </is>
      </c>
      <c r="E1167" t="inlineStr">
        <is>
          <t>SUNDSVALL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42497-2024</t>
        </is>
      </c>
      <c r="B1168" s="1" t="n">
        <v>45565</v>
      </c>
      <c r="C1168" s="1" t="n">
        <v>45881</v>
      </c>
      <c r="D1168" t="inlineStr">
        <is>
          <t>VÄSTERNORRLANDS LÄN</t>
        </is>
      </c>
      <c r="E1168" t="inlineStr">
        <is>
          <t>SUNDSVALL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51768-2021</t>
        </is>
      </c>
      <c r="B1169" s="1" t="n">
        <v>44462</v>
      </c>
      <c r="C1169" s="1" t="n">
        <v>45881</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15520-2024</t>
        </is>
      </c>
      <c r="B1170" s="1" t="n">
        <v>45400</v>
      </c>
      <c r="C1170" s="1" t="n">
        <v>45881</v>
      </c>
      <c r="D1170" t="inlineStr">
        <is>
          <t>VÄSTERNORRLANDS LÄN</t>
        </is>
      </c>
      <c r="E1170" t="inlineStr">
        <is>
          <t>SUNDSVALL</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12333-2023</t>
        </is>
      </c>
      <c r="B1171" s="1" t="n">
        <v>44999</v>
      </c>
      <c r="C1171" s="1" t="n">
        <v>45881</v>
      </c>
      <c r="D1171" t="inlineStr">
        <is>
          <t>VÄSTERNORRLANDS LÄN</t>
        </is>
      </c>
      <c r="E1171" t="inlineStr">
        <is>
          <t>SUNDSVALL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28917-2024</t>
        </is>
      </c>
      <c r="B1172" s="1" t="n">
        <v>45480</v>
      </c>
      <c r="C1172" s="1" t="n">
        <v>45881</v>
      </c>
      <c r="D1172" t="inlineStr">
        <is>
          <t>VÄSTERNORRLANDS LÄN</t>
        </is>
      </c>
      <c r="E1172" t="inlineStr">
        <is>
          <t>SUNDSVALL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20626-2025</t>
        </is>
      </c>
      <c r="B1173" s="1" t="n">
        <v>45776</v>
      </c>
      <c r="C1173" s="1" t="n">
        <v>45881</v>
      </c>
      <c r="D1173" t="inlineStr">
        <is>
          <t>VÄSTERNORRLANDS LÄN</t>
        </is>
      </c>
      <c r="E1173" t="inlineStr">
        <is>
          <t>SUNDSVALL</t>
        </is>
      </c>
      <c r="F1173" t="inlineStr">
        <is>
          <t>Naturvårdsverket</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20629-2025</t>
        </is>
      </c>
      <c r="B1174" s="1" t="n">
        <v>45776</v>
      </c>
      <c r="C1174" s="1" t="n">
        <v>45881</v>
      </c>
      <c r="D1174" t="inlineStr">
        <is>
          <t>VÄSTERNORRLANDS LÄN</t>
        </is>
      </c>
      <c r="E1174" t="inlineStr">
        <is>
          <t>SUNDSVALL</t>
        </is>
      </c>
      <c r="F1174" t="inlineStr">
        <is>
          <t>SCA</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20630-2025</t>
        </is>
      </c>
      <c r="B1175" s="1" t="n">
        <v>45776.34467592592</v>
      </c>
      <c r="C1175" s="1" t="n">
        <v>45881</v>
      </c>
      <c r="D1175" t="inlineStr">
        <is>
          <t>VÄSTERNORRLANDS LÄN</t>
        </is>
      </c>
      <c r="E1175" t="inlineStr">
        <is>
          <t>SUNDSVALL</t>
        </is>
      </c>
      <c r="F1175" t="inlineStr">
        <is>
          <t>Naturvårdsverket</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61142-2020</t>
        </is>
      </c>
      <c r="B1176" s="1" t="n">
        <v>44154</v>
      </c>
      <c r="C1176" s="1" t="n">
        <v>45881</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63048-2023</t>
        </is>
      </c>
      <c r="B1177" s="1" t="n">
        <v>45272</v>
      </c>
      <c r="C1177" s="1" t="n">
        <v>45881</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20694-2025</t>
        </is>
      </c>
      <c r="B1178" s="1" t="n">
        <v>45776.46938657408</v>
      </c>
      <c r="C1178" s="1" t="n">
        <v>45881</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58606-2023</t>
        </is>
      </c>
      <c r="B1179" s="1" t="n">
        <v>45251.49158564815</v>
      </c>
      <c r="C1179" s="1" t="n">
        <v>45881</v>
      </c>
      <c r="D1179" t="inlineStr">
        <is>
          <t>VÄSTERNORRLANDS LÄN</t>
        </is>
      </c>
      <c r="E1179" t="inlineStr">
        <is>
          <t>SUNDSVALL</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20715-2025</t>
        </is>
      </c>
      <c r="B1180" s="1" t="n">
        <v>45776.49008101852</v>
      </c>
      <c r="C1180" s="1" t="n">
        <v>45881</v>
      </c>
      <c r="D1180" t="inlineStr">
        <is>
          <t>VÄSTERNORRLANDS LÄN</t>
        </is>
      </c>
      <c r="E1180" t="inlineStr">
        <is>
          <t>SUNDSVALL</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48993-2022</t>
        </is>
      </c>
      <c r="B1181" s="1" t="n">
        <v>44860</v>
      </c>
      <c r="C1181" s="1" t="n">
        <v>45881</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44602-2024</t>
        </is>
      </c>
      <c r="B1182" s="1" t="n">
        <v>45574.51142361111</v>
      </c>
      <c r="C1182" s="1" t="n">
        <v>45881</v>
      </c>
      <c r="D1182" t="inlineStr">
        <is>
          <t>VÄSTERNORRLANDS LÄN</t>
        </is>
      </c>
      <c r="E1182" t="inlineStr">
        <is>
          <t>SUNDSVALL</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20627-2025</t>
        </is>
      </c>
      <c r="B1183" s="1" t="n">
        <v>45776.34429398148</v>
      </c>
      <c r="C1183" s="1" t="n">
        <v>45881</v>
      </c>
      <c r="D1183" t="inlineStr">
        <is>
          <t>VÄSTERNORRLANDS LÄN</t>
        </is>
      </c>
      <c r="E1183" t="inlineStr">
        <is>
          <t>SUNDSVALL</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2881-2025</t>
        </is>
      </c>
      <c r="B1184" s="1" t="n">
        <v>45677.69859953703</v>
      </c>
      <c r="C1184" s="1" t="n">
        <v>45881</v>
      </c>
      <c r="D1184" t="inlineStr">
        <is>
          <t>VÄSTERNORRLANDS LÄN</t>
        </is>
      </c>
      <c r="E1184" t="inlineStr">
        <is>
          <t>SUNDSVALL</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19235-2023</t>
        </is>
      </c>
      <c r="B1185" s="1" t="n">
        <v>45048.92684027777</v>
      </c>
      <c r="C1185" s="1" t="n">
        <v>45881</v>
      </c>
      <c r="D1185" t="inlineStr">
        <is>
          <t>VÄSTERNORRLANDS LÄN</t>
        </is>
      </c>
      <c r="E1185" t="inlineStr">
        <is>
          <t>SUNDSVALL</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19236-2023</t>
        </is>
      </c>
      <c r="B1186" s="1" t="n">
        <v>45048</v>
      </c>
      <c r="C1186" s="1" t="n">
        <v>45881</v>
      </c>
      <c r="D1186" t="inlineStr">
        <is>
          <t>VÄSTERNORRLANDS LÄN</t>
        </is>
      </c>
      <c r="E1186" t="inlineStr">
        <is>
          <t>SUNDSVALL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18563-2023</t>
        </is>
      </c>
      <c r="B1187" s="1" t="n">
        <v>45042</v>
      </c>
      <c r="C1187" s="1" t="n">
        <v>45881</v>
      </c>
      <c r="D1187" t="inlineStr">
        <is>
          <t>VÄSTERNORRLANDS LÄN</t>
        </is>
      </c>
      <c r="E1187" t="inlineStr">
        <is>
          <t>SUNDSVALL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54580-2024</t>
        </is>
      </c>
      <c r="B1188" s="1" t="n">
        <v>45617.65657407408</v>
      </c>
      <c r="C1188" s="1" t="n">
        <v>45881</v>
      </c>
      <c r="D1188" t="inlineStr">
        <is>
          <t>VÄSTERNORRLANDS LÄN</t>
        </is>
      </c>
      <c r="E1188" t="inlineStr">
        <is>
          <t>SUNDSVALL</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50012-2024</t>
        </is>
      </c>
      <c r="B1189" s="1" t="n">
        <v>45598.8578125</v>
      </c>
      <c r="C1189" s="1" t="n">
        <v>45881</v>
      </c>
      <c r="D1189" t="inlineStr">
        <is>
          <t>VÄSTERNORRLANDS LÄN</t>
        </is>
      </c>
      <c r="E1189" t="inlineStr">
        <is>
          <t>SUNDSVALL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19812-2023</t>
        </is>
      </c>
      <c r="B1190" s="1" t="n">
        <v>45051.92583333333</v>
      </c>
      <c r="C1190" s="1" t="n">
        <v>45881</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1747-2025</t>
        </is>
      </c>
      <c r="B1191" s="1" t="n">
        <v>45671</v>
      </c>
      <c r="C1191" s="1" t="n">
        <v>45881</v>
      </c>
      <c r="D1191" t="inlineStr">
        <is>
          <t>VÄSTERNORRLANDS LÄN</t>
        </is>
      </c>
      <c r="E1191" t="inlineStr">
        <is>
          <t>SUNDSVALL</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54977-2023</t>
        </is>
      </c>
      <c r="B1192" s="1" t="n">
        <v>45236</v>
      </c>
      <c r="C1192" s="1" t="n">
        <v>45881</v>
      </c>
      <c r="D1192" t="inlineStr">
        <is>
          <t>VÄSTERNORRLANDS LÄN</t>
        </is>
      </c>
      <c r="E1192" t="inlineStr">
        <is>
          <t>SUNDSVALL</t>
        </is>
      </c>
      <c r="F1192" t="inlineStr">
        <is>
          <t>Kyrkan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20908-2025</t>
        </is>
      </c>
      <c r="B1193" s="1" t="n">
        <v>45777.40657407408</v>
      </c>
      <c r="C1193" s="1" t="n">
        <v>45881</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57403-2023</t>
        </is>
      </c>
      <c r="B1194" s="1" t="n">
        <v>45245</v>
      </c>
      <c r="C1194" s="1" t="n">
        <v>45881</v>
      </c>
      <c r="D1194" t="inlineStr">
        <is>
          <t>VÄSTERNORRLANDS LÄN</t>
        </is>
      </c>
      <c r="E1194" t="inlineStr">
        <is>
          <t>SUNDSVALL</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47025-2023</t>
        </is>
      </c>
      <c r="B1195" s="1" t="n">
        <v>45195</v>
      </c>
      <c r="C1195" s="1" t="n">
        <v>45881</v>
      </c>
      <c r="D1195" t="inlineStr">
        <is>
          <t>VÄSTERNORRLANDS LÄN</t>
        </is>
      </c>
      <c r="E1195" t="inlineStr">
        <is>
          <t>SUNDSVALL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249-2024</t>
        </is>
      </c>
      <c r="B1196" s="1" t="n">
        <v>45294</v>
      </c>
      <c r="C1196" s="1" t="n">
        <v>45881</v>
      </c>
      <c r="D1196" t="inlineStr">
        <is>
          <t>VÄSTERNORRLANDS LÄN</t>
        </is>
      </c>
      <c r="E1196" t="inlineStr">
        <is>
          <t>SUNDSVALL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9113-2024</t>
        </is>
      </c>
      <c r="B1197" s="1" t="n">
        <v>45357</v>
      </c>
      <c r="C1197" s="1" t="n">
        <v>45881</v>
      </c>
      <c r="D1197" t="inlineStr">
        <is>
          <t>VÄSTERNORRLANDS LÄN</t>
        </is>
      </c>
      <c r="E1197" t="inlineStr">
        <is>
          <t>SUNDSVALL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42517-2023</t>
        </is>
      </c>
      <c r="B1198" s="1" t="n">
        <v>45180</v>
      </c>
      <c r="C1198" s="1" t="n">
        <v>45881</v>
      </c>
      <c r="D1198" t="inlineStr">
        <is>
          <t>VÄSTERNORRLANDS LÄN</t>
        </is>
      </c>
      <c r="E1198" t="inlineStr">
        <is>
          <t>SUNDSVALL</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31667-2024</t>
        </is>
      </c>
      <c r="B1199" s="1" t="n">
        <v>45506</v>
      </c>
      <c r="C1199" s="1" t="n">
        <v>45881</v>
      </c>
      <c r="D1199" t="inlineStr">
        <is>
          <t>VÄSTERNORRLANDS LÄN</t>
        </is>
      </c>
      <c r="E1199" t="inlineStr">
        <is>
          <t>SUNDSVALL</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27303-2024</t>
        </is>
      </c>
      <c r="B1200" s="1" t="n">
        <v>45471</v>
      </c>
      <c r="C1200" s="1" t="n">
        <v>45881</v>
      </c>
      <c r="D1200" t="inlineStr">
        <is>
          <t>VÄSTERNORRLANDS LÄN</t>
        </is>
      </c>
      <c r="E1200" t="inlineStr">
        <is>
          <t>SUNDSVALL</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21554-2025</t>
        </is>
      </c>
      <c r="B1201" s="1" t="n">
        <v>45782.67815972222</v>
      </c>
      <c r="C1201" s="1" t="n">
        <v>45881</v>
      </c>
      <c r="D1201" t="inlineStr">
        <is>
          <t>VÄSTERNORRLANDS LÄN</t>
        </is>
      </c>
      <c r="E1201" t="inlineStr">
        <is>
          <t>SUNDSVALL</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21319-2025</t>
        </is>
      </c>
      <c r="B1202" s="1" t="n">
        <v>45782.34487268519</v>
      </c>
      <c r="C1202" s="1" t="n">
        <v>45881</v>
      </c>
      <c r="D1202" t="inlineStr">
        <is>
          <t>VÄSTERNORRLANDS LÄN</t>
        </is>
      </c>
      <c r="E1202" t="inlineStr">
        <is>
          <t>SUNDSVALL</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21488-2025</t>
        </is>
      </c>
      <c r="B1203" s="1" t="n">
        <v>45782.59545138889</v>
      </c>
      <c r="C1203" s="1" t="n">
        <v>45881</v>
      </c>
      <c r="D1203" t="inlineStr">
        <is>
          <t>VÄSTERNORRLANDS LÄN</t>
        </is>
      </c>
      <c r="E1203" t="inlineStr">
        <is>
          <t>SUNDSVALL</t>
        </is>
      </c>
      <c r="F1203" t="inlineStr">
        <is>
          <t>SCA</t>
        </is>
      </c>
      <c r="G1203" t="n">
        <v>19.2</v>
      </c>
      <c r="H1203" t="n">
        <v>0</v>
      </c>
      <c r="I1203" t="n">
        <v>0</v>
      </c>
      <c r="J1203" t="n">
        <v>0</v>
      </c>
      <c r="K1203" t="n">
        <v>0</v>
      </c>
      <c r="L1203" t="n">
        <v>0</v>
      </c>
      <c r="M1203" t="n">
        <v>0</v>
      </c>
      <c r="N1203" t="n">
        <v>0</v>
      </c>
      <c r="O1203" t="n">
        <v>0</v>
      </c>
      <c r="P1203" t="n">
        <v>0</v>
      </c>
      <c r="Q1203" t="n">
        <v>0</v>
      </c>
      <c r="R1203" s="2" t="inlineStr"/>
    </row>
    <row r="1204" ht="15" customHeight="1">
      <c r="A1204" t="inlineStr">
        <is>
          <t>A 38350-2023</t>
        </is>
      </c>
      <c r="B1204" s="1" t="n">
        <v>45161.92380787037</v>
      </c>
      <c r="C1204" s="1" t="n">
        <v>45881</v>
      </c>
      <c r="D1204" t="inlineStr">
        <is>
          <t>VÄSTERNORRLANDS LÄN</t>
        </is>
      </c>
      <c r="E1204" t="inlineStr">
        <is>
          <t>SUNDSVALL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21478-2025</t>
        </is>
      </c>
      <c r="B1205" s="1" t="n">
        <v>45782.59412037037</v>
      </c>
      <c r="C1205" s="1" t="n">
        <v>45881</v>
      </c>
      <c r="D1205" t="inlineStr">
        <is>
          <t>VÄSTERNORRLANDS LÄN</t>
        </is>
      </c>
      <c r="E1205" t="inlineStr">
        <is>
          <t>SUNDSVALL</t>
        </is>
      </c>
      <c r="F1205" t="inlineStr">
        <is>
          <t>Naturvårdsverket</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42114-2024</t>
        </is>
      </c>
      <c r="B1206" s="1" t="n">
        <v>45562</v>
      </c>
      <c r="C1206" s="1" t="n">
        <v>45881</v>
      </c>
      <c r="D1206" t="inlineStr">
        <is>
          <t>VÄSTERNORRLANDS LÄN</t>
        </is>
      </c>
      <c r="E1206" t="inlineStr">
        <is>
          <t>SUNDSVALL</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1375-2023</t>
        </is>
      </c>
      <c r="B1207" s="1" t="n">
        <v>44936.66675925926</v>
      </c>
      <c r="C1207" s="1" t="n">
        <v>45881</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47788-2024</t>
        </is>
      </c>
      <c r="B1208" s="1" t="n">
        <v>45588.59452546296</v>
      </c>
      <c r="C1208" s="1" t="n">
        <v>45881</v>
      </c>
      <c r="D1208" t="inlineStr">
        <is>
          <t>VÄSTERNORRLANDS LÄN</t>
        </is>
      </c>
      <c r="E1208" t="inlineStr">
        <is>
          <t>SUNDSVALL</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9276-2025</t>
        </is>
      </c>
      <c r="B1209" s="1" t="n">
        <v>45714.62862268519</v>
      </c>
      <c r="C1209" s="1" t="n">
        <v>45881</v>
      </c>
      <c r="D1209" t="inlineStr">
        <is>
          <t>VÄSTERNORRLANDS LÄN</t>
        </is>
      </c>
      <c r="E1209" t="inlineStr">
        <is>
          <t>SUNDSVALL</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13507-2023</t>
        </is>
      </c>
      <c r="B1210" s="1" t="n">
        <v>45006</v>
      </c>
      <c r="C1210" s="1" t="n">
        <v>45881</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6269-2024</t>
        </is>
      </c>
      <c r="B1211" s="1" t="n">
        <v>45337</v>
      </c>
      <c r="C1211" s="1" t="n">
        <v>45881</v>
      </c>
      <c r="D1211" t="inlineStr">
        <is>
          <t>VÄSTERNORRLANDS LÄN</t>
        </is>
      </c>
      <c r="E1211" t="inlineStr">
        <is>
          <t>SUNDSVALL</t>
        </is>
      </c>
      <c r="G1211" t="n">
        <v>9.699999999999999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3428-2025</t>
        </is>
      </c>
      <c r="B1212" s="1" t="n">
        <v>45680</v>
      </c>
      <c r="C1212" s="1" t="n">
        <v>45881</v>
      </c>
      <c r="D1212" t="inlineStr">
        <is>
          <t>VÄSTERNORRLANDS LÄN</t>
        </is>
      </c>
      <c r="E1212" t="inlineStr">
        <is>
          <t>SUNDSVALL</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13033-2025</t>
        </is>
      </c>
      <c r="B1213" s="1" t="n">
        <v>45734.57334490741</v>
      </c>
      <c r="C1213" s="1" t="n">
        <v>45881</v>
      </c>
      <c r="D1213" t="inlineStr">
        <is>
          <t>VÄSTERNORRLANDS LÄN</t>
        </is>
      </c>
      <c r="E1213" t="inlineStr">
        <is>
          <t>SUNDSVALL</t>
        </is>
      </c>
      <c r="F1213" t="inlineStr">
        <is>
          <t>SCA</t>
        </is>
      </c>
      <c r="G1213" t="n">
        <v>2.4</v>
      </c>
      <c r="H1213" t="n">
        <v>0</v>
      </c>
      <c r="I1213" t="n">
        <v>0</v>
      </c>
      <c r="J1213" t="n">
        <v>0</v>
      </c>
      <c r="K1213" t="n">
        <v>0</v>
      </c>
      <c r="L1213" t="n">
        <v>0</v>
      </c>
      <c r="M1213" t="n">
        <v>0</v>
      </c>
      <c r="N1213" t="n">
        <v>0</v>
      </c>
      <c r="O1213" t="n">
        <v>0</v>
      </c>
      <c r="P1213" t="n">
        <v>0</v>
      </c>
      <c r="Q1213" t="n">
        <v>0</v>
      </c>
      <c r="R1213" s="2" t="inlineStr"/>
      <c r="U1213">
        <f>HYPERLINK("https://klasma.github.io/Logging_2281/knärot/A 13033-2025 karta knärot.png", "A 13033-2025")</f>
        <v/>
      </c>
      <c r="V1213">
        <f>HYPERLINK("https://klasma.github.io/Logging_2281/klagomål/A 13033-2025 FSC-klagomål.docx", "A 13033-2025")</f>
        <v/>
      </c>
      <c r="W1213">
        <f>HYPERLINK("https://klasma.github.io/Logging_2281/klagomålsmail/A 13033-2025 FSC-klagomål mail.docx", "A 13033-2025")</f>
        <v/>
      </c>
      <c r="X1213">
        <f>HYPERLINK("https://klasma.github.io/Logging_2281/tillsyn/A 13033-2025 tillsynsbegäran.docx", "A 13033-2025")</f>
        <v/>
      </c>
      <c r="Y1213">
        <f>HYPERLINK("https://klasma.github.io/Logging_2281/tillsynsmail/A 13033-2025 tillsynsbegäran mail.docx", "A 13033-2025")</f>
        <v/>
      </c>
    </row>
    <row r="1214" ht="15" customHeight="1">
      <c r="A1214" t="inlineStr">
        <is>
          <t>A 38365-2023</t>
        </is>
      </c>
      <c r="B1214" s="1" t="n">
        <v>45161.94349537037</v>
      </c>
      <c r="C1214" s="1" t="n">
        <v>45881</v>
      </c>
      <c r="D1214" t="inlineStr">
        <is>
          <t>VÄSTERNORRLANDS LÄN</t>
        </is>
      </c>
      <c r="E1214" t="inlineStr">
        <is>
          <t>SUNDSVALL</t>
        </is>
      </c>
      <c r="F1214" t="inlineStr">
        <is>
          <t>SCA</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21699-2025</t>
        </is>
      </c>
      <c r="B1215" s="1" t="n">
        <v>45783.51076388889</v>
      </c>
      <c r="C1215" s="1" t="n">
        <v>45881</v>
      </c>
      <c r="D1215" t="inlineStr">
        <is>
          <t>VÄSTERNORRLANDS LÄN</t>
        </is>
      </c>
      <c r="E1215" t="inlineStr">
        <is>
          <t>SUNDSVALL</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52237-2023</t>
        </is>
      </c>
      <c r="B1216" s="1" t="n">
        <v>45217</v>
      </c>
      <c r="C1216" s="1" t="n">
        <v>45881</v>
      </c>
      <c r="D1216" t="inlineStr">
        <is>
          <t>VÄSTERNORRLANDS LÄN</t>
        </is>
      </c>
      <c r="E1216" t="inlineStr">
        <is>
          <t>SUNDSVALL</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18347-2023</t>
        </is>
      </c>
      <c r="B1217" s="1" t="n">
        <v>45040</v>
      </c>
      <c r="C1217" s="1" t="n">
        <v>45881</v>
      </c>
      <c r="D1217" t="inlineStr">
        <is>
          <t>VÄSTERNORRLANDS LÄN</t>
        </is>
      </c>
      <c r="E1217" t="inlineStr">
        <is>
          <t>SUNDSVALL</t>
        </is>
      </c>
      <c r="G1217" t="n">
        <v>16.7</v>
      </c>
      <c r="H1217" t="n">
        <v>0</v>
      </c>
      <c r="I1217" t="n">
        <v>0</v>
      </c>
      <c r="J1217" t="n">
        <v>0</v>
      </c>
      <c r="K1217" t="n">
        <v>0</v>
      </c>
      <c r="L1217" t="n">
        <v>0</v>
      </c>
      <c r="M1217" t="n">
        <v>0</v>
      </c>
      <c r="N1217" t="n">
        <v>0</v>
      </c>
      <c r="O1217" t="n">
        <v>0</v>
      </c>
      <c r="P1217" t="n">
        <v>0</v>
      </c>
      <c r="Q1217" t="n">
        <v>0</v>
      </c>
      <c r="R1217" s="2" t="inlineStr"/>
    </row>
    <row r="1218" ht="15" customHeight="1">
      <c r="A1218" t="inlineStr">
        <is>
          <t>A 50220-2024</t>
        </is>
      </c>
      <c r="B1218" s="1" t="n">
        <v>45600.53408564815</v>
      </c>
      <c r="C1218" s="1" t="n">
        <v>45881</v>
      </c>
      <c r="D1218" t="inlineStr">
        <is>
          <t>VÄSTERNORRLANDS LÄN</t>
        </is>
      </c>
      <c r="E1218" t="inlineStr">
        <is>
          <t>SUNDSVALL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26087-2024</t>
        </is>
      </c>
      <c r="B1219" s="1" t="n">
        <v>45468</v>
      </c>
      <c r="C1219" s="1" t="n">
        <v>45881</v>
      </c>
      <c r="D1219" t="inlineStr">
        <is>
          <t>VÄSTERNORRLANDS LÄN</t>
        </is>
      </c>
      <c r="E1219" t="inlineStr">
        <is>
          <t>SUNDSVALL</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52404-2024</t>
        </is>
      </c>
      <c r="B1220" s="1" t="n">
        <v>45609</v>
      </c>
      <c r="C1220" s="1" t="n">
        <v>45881</v>
      </c>
      <c r="D1220" t="inlineStr">
        <is>
          <t>VÄSTERNORRLANDS LÄN</t>
        </is>
      </c>
      <c r="E1220" t="inlineStr">
        <is>
          <t>SUNDSVALL</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8491-2024</t>
        </is>
      </c>
      <c r="B1221" s="1" t="n">
        <v>45355</v>
      </c>
      <c r="C1221" s="1" t="n">
        <v>45881</v>
      </c>
      <c r="D1221" t="inlineStr">
        <is>
          <t>VÄSTERNORRLANDS LÄN</t>
        </is>
      </c>
      <c r="E1221" t="inlineStr">
        <is>
          <t>SUNDSVALL</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58165-2022</t>
        </is>
      </c>
      <c r="B1222" s="1" t="n">
        <v>44900</v>
      </c>
      <c r="C1222" s="1" t="n">
        <v>45881</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32904-2023</t>
        </is>
      </c>
      <c r="B1223" s="1" t="n">
        <v>45124.95121527778</v>
      </c>
      <c r="C1223" s="1" t="n">
        <v>45881</v>
      </c>
      <c r="D1223" t="inlineStr">
        <is>
          <t>VÄSTERNORRLANDS LÄN</t>
        </is>
      </c>
      <c r="E1223" t="inlineStr">
        <is>
          <t>SUNDSVALL</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32953-2023</t>
        </is>
      </c>
      <c r="B1224" s="1" t="n">
        <v>45113</v>
      </c>
      <c r="C1224" s="1" t="n">
        <v>45881</v>
      </c>
      <c r="D1224" t="inlineStr">
        <is>
          <t>VÄSTERNORRLANDS LÄN</t>
        </is>
      </c>
      <c r="E1224" t="inlineStr">
        <is>
          <t>SUNDSVALL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32970-2023</t>
        </is>
      </c>
      <c r="B1225" s="1" t="n">
        <v>45113</v>
      </c>
      <c r="C1225" s="1" t="n">
        <v>45881</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20010-2021</t>
        </is>
      </c>
      <c r="B1226" s="1" t="n">
        <v>44313</v>
      </c>
      <c r="C1226" s="1" t="n">
        <v>45881</v>
      </c>
      <c r="D1226" t="inlineStr">
        <is>
          <t>VÄSTERNORRLANDS LÄN</t>
        </is>
      </c>
      <c r="E1226" t="inlineStr">
        <is>
          <t>SUNDSVALL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21665-2025</t>
        </is>
      </c>
      <c r="B1227" s="1" t="n">
        <v>45783.45895833334</v>
      </c>
      <c r="C1227" s="1" t="n">
        <v>45881</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54460-2024</t>
        </is>
      </c>
      <c r="B1228" s="1" t="n">
        <v>45617.5328125</v>
      </c>
      <c r="C1228" s="1" t="n">
        <v>45881</v>
      </c>
      <c r="D1228" t="inlineStr">
        <is>
          <t>VÄSTERNORRLANDS LÄN</t>
        </is>
      </c>
      <c r="E1228" t="inlineStr">
        <is>
          <t>SUNDSVALL</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21102-2021</t>
        </is>
      </c>
      <c r="B1229" s="1" t="n">
        <v>44319</v>
      </c>
      <c r="C1229" s="1" t="n">
        <v>45881</v>
      </c>
      <c r="D1229" t="inlineStr">
        <is>
          <t>VÄSTERNORRLANDS LÄN</t>
        </is>
      </c>
      <c r="E1229" t="inlineStr">
        <is>
          <t>SUNDSVALL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49862-2023</t>
        </is>
      </c>
      <c r="B1230" s="1" t="n">
        <v>45212</v>
      </c>
      <c r="C1230" s="1" t="n">
        <v>45881</v>
      </c>
      <c r="D1230" t="inlineStr">
        <is>
          <t>VÄSTERNORRLANDS LÄN</t>
        </is>
      </c>
      <c r="E1230" t="inlineStr">
        <is>
          <t>SUNDSVALL</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53403-2024</t>
        </is>
      </c>
      <c r="B1231" s="1" t="n">
        <v>45614.49353009259</v>
      </c>
      <c r="C1231" s="1" t="n">
        <v>45881</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7925-2025</t>
        </is>
      </c>
      <c r="B1232" s="1" t="n">
        <v>45707.36540509259</v>
      </c>
      <c r="C1232" s="1" t="n">
        <v>45881</v>
      </c>
      <c r="D1232" t="inlineStr">
        <is>
          <t>VÄSTERNORRLANDS LÄN</t>
        </is>
      </c>
      <c r="E1232" t="inlineStr">
        <is>
          <t>SUNDSVALL</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15958-2025</t>
        </is>
      </c>
      <c r="B1233" s="1" t="n">
        <v>45749.51503472222</v>
      </c>
      <c r="C1233" s="1" t="n">
        <v>45881</v>
      </c>
      <c r="D1233" t="inlineStr">
        <is>
          <t>VÄSTERNORRLANDS LÄN</t>
        </is>
      </c>
      <c r="E1233" t="inlineStr">
        <is>
          <t>SUNDSVALL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51834-2023</t>
        </is>
      </c>
      <c r="B1234" s="1" t="n">
        <v>45222.96862268518</v>
      </c>
      <c r="C1234" s="1" t="n">
        <v>45881</v>
      </c>
      <c r="D1234" t="inlineStr">
        <is>
          <t>VÄSTERNORRLANDS LÄN</t>
        </is>
      </c>
      <c r="E1234" t="inlineStr">
        <is>
          <t>SUNDSVALL</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26436-2022</t>
        </is>
      </c>
      <c r="B1235" s="1" t="n">
        <v>44736.93907407407</v>
      </c>
      <c r="C1235" s="1" t="n">
        <v>45881</v>
      </c>
      <c r="D1235" t="inlineStr">
        <is>
          <t>VÄSTERNORRLANDS LÄN</t>
        </is>
      </c>
      <c r="E1235" t="inlineStr">
        <is>
          <t>SUNDSVALL</t>
        </is>
      </c>
      <c r="F1235" t="inlineStr">
        <is>
          <t>Naturvårdsverket</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73979-2021</t>
        </is>
      </c>
      <c r="B1236" s="1" t="n">
        <v>44554</v>
      </c>
      <c r="C1236" s="1" t="n">
        <v>45881</v>
      </c>
      <c r="D1236" t="inlineStr">
        <is>
          <t>VÄSTERNORRLANDS LÄN</t>
        </is>
      </c>
      <c r="E1236" t="inlineStr">
        <is>
          <t>SUNDSVALL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29465-2024</t>
        </is>
      </c>
      <c r="B1237" s="1" t="n">
        <v>45483.97027777778</v>
      </c>
      <c r="C1237" s="1" t="n">
        <v>45881</v>
      </c>
      <c r="D1237" t="inlineStr">
        <is>
          <t>VÄSTERNORRLANDS LÄN</t>
        </is>
      </c>
      <c r="E1237" t="inlineStr">
        <is>
          <t>SUNDSVALL</t>
        </is>
      </c>
      <c r="F1237" t="inlineStr">
        <is>
          <t>Naturvårdsverket</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8708-2025</t>
        </is>
      </c>
      <c r="B1238" s="1" t="n">
        <v>45712.490625</v>
      </c>
      <c r="C1238" s="1" t="n">
        <v>45881</v>
      </c>
      <c r="D1238" t="inlineStr">
        <is>
          <t>VÄSTERNORRLANDS LÄN</t>
        </is>
      </c>
      <c r="E1238" t="inlineStr">
        <is>
          <t>SUNDSVALL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7089-2025</t>
        </is>
      </c>
      <c r="B1239" s="1" t="n">
        <v>45701.74523148148</v>
      </c>
      <c r="C1239" s="1" t="n">
        <v>45881</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7090-2025</t>
        </is>
      </c>
      <c r="B1240" s="1" t="n">
        <v>45701.75070601852</v>
      </c>
      <c r="C1240" s="1" t="n">
        <v>45881</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40050-2024</t>
        </is>
      </c>
      <c r="B1241" s="1" t="n">
        <v>45553.80729166666</v>
      </c>
      <c r="C1241" s="1" t="n">
        <v>45881</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62302-2023</t>
        </is>
      </c>
      <c r="B1242" s="1" t="n">
        <v>45266</v>
      </c>
      <c r="C1242" s="1" t="n">
        <v>45881</v>
      </c>
      <c r="D1242" t="inlineStr">
        <is>
          <t>VÄSTERNORRLANDS LÄN</t>
        </is>
      </c>
      <c r="E1242" t="inlineStr">
        <is>
          <t>SUNDSVALL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2102-2025</t>
        </is>
      </c>
      <c r="B1243" s="1" t="n">
        <v>45672</v>
      </c>
      <c r="C1243" s="1" t="n">
        <v>45881</v>
      </c>
      <c r="D1243" t="inlineStr">
        <is>
          <t>VÄSTERNORRLANDS LÄN</t>
        </is>
      </c>
      <c r="E1243" t="inlineStr">
        <is>
          <t>SUNDSVALL</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21338-2024</t>
        </is>
      </c>
      <c r="B1244" s="1" t="n">
        <v>45440.92746527777</v>
      </c>
      <c r="C1244" s="1" t="n">
        <v>45881</v>
      </c>
      <c r="D1244" t="inlineStr">
        <is>
          <t>VÄSTERNORRLANDS LÄN</t>
        </is>
      </c>
      <c r="E1244" t="inlineStr">
        <is>
          <t>SUNDSVALL</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28172-2024</t>
        </is>
      </c>
      <c r="B1245" s="1" t="n">
        <v>45476</v>
      </c>
      <c r="C1245" s="1" t="n">
        <v>45881</v>
      </c>
      <c r="D1245" t="inlineStr">
        <is>
          <t>VÄSTERNORRLANDS LÄN</t>
        </is>
      </c>
      <c r="E1245" t="inlineStr">
        <is>
          <t>SUNDSVALL</t>
        </is>
      </c>
      <c r="F1245" t="inlineStr">
        <is>
          <t>Kyrkan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21768-2025</t>
        </is>
      </c>
      <c r="B1246" s="1" t="n">
        <v>45783.65178240741</v>
      </c>
      <c r="C1246" s="1" t="n">
        <v>45881</v>
      </c>
      <c r="D1246" t="inlineStr">
        <is>
          <t>VÄSTERNORRLANDS LÄN</t>
        </is>
      </c>
      <c r="E1246" t="inlineStr">
        <is>
          <t>SUNDSVALL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10986-2022</t>
        </is>
      </c>
      <c r="B1247" s="1" t="n">
        <v>44628</v>
      </c>
      <c r="C1247" s="1" t="n">
        <v>45881</v>
      </c>
      <c r="D1247" t="inlineStr">
        <is>
          <t>VÄSTERNORRLANDS LÄN</t>
        </is>
      </c>
      <c r="E1247" t="inlineStr">
        <is>
          <t>SUNDSVALL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17436-2023</t>
        </is>
      </c>
      <c r="B1248" s="1" t="n">
        <v>45035.92699074074</v>
      </c>
      <c r="C1248" s="1" t="n">
        <v>45881</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42833-2024</t>
        </is>
      </c>
      <c r="B1249" s="1" t="n">
        <v>45566.6171875</v>
      </c>
      <c r="C1249" s="1" t="n">
        <v>45881</v>
      </c>
      <c r="D1249" t="inlineStr">
        <is>
          <t>VÄSTERNORRLANDS LÄN</t>
        </is>
      </c>
      <c r="E1249" t="inlineStr">
        <is>
          <t>SUNDSVALL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57110-2024</t>
        </is>
      </c>
      <c r="B1250" s="1" t="n">
        <v>45629.36476851852</v>
      </c>
      <c r="C1250" s="1" t="n">
        <v>45881</v>
      </c>
      <c r="D1250" t="inlineStr">
        <is>
          <t>VÄSTERNORRLANDS LÄN</t>
        </is>
      </c>
      <c r="E1250" t="inlineStr">
        <is>
          <t>SUNDSVALL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8962-2024</t>
        </is>
      </c>
      <c r="B1251" s="1" t="n">
        <v>45357.46949074074</v>
      </c>
      <c r="C1251" s="1" t="n">
        <v>45881</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21624-2025</t>
        </is>
      </c>
      <c r="B1252" s="1" t="n">
        <v>45783.40694444445</v>
      </c>
      <c r="C1252" s="1" t="n">
        <v>45881</v>
      </c>
      <c r="D1252" t="inlineStr">
        <is>
          <t>VÄSTERNORRLANDS LÄN</t>
        </is>
      </c>
      <c r="E1252" t="inlineStr">
        <is>
          <t>SUNDSVALL</t>
        </is>
      </c>
      <c r="F1252" t="inlineStr">
        <is>
          <t>SCA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43422-2023</t>
        </is>
      </c>
      <c r="B1253" s="1" t="n">
        <v>45183</v>
      </c>
      <c r="C1253" s="1" t="n">
        <v>45881</v>
      </c>
      <c r="D1253" t="inlineStr">
        <is>
          <t>VÄSTERNORRLANDS LÄN</t>
        </is>
      </c>
      <c r="E1253" t="inlineStr">
        <is>
          <t>SUNDSVALL</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15677-2024</t>
        </is>
      </c>
      <c r="B1254" s="1" t="n">
        <v>45404.41268518518</v>
      </c>
      <c r="C1254" s="1" t="n">
        <v>45881</v>
      </c>
      <c r="D1254" t="inlineStr">
        <is>
          <t>VÄSTERNORRLANDS LÄN</t>
        </is>
      </c>
      <c r="E1254" t="inlineStr">
        <is>
          <t>SUNDSVALL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21659-2025</t>
        </is>
      </c>
      <c r="B1255" s="1" t="n">
        <v>45783.45505787037</v>
      </c>
      <c r="C1255" s="1" t="n">
        <v>45881</v>
      </c>
      <c r="D1255" t="inlineStr">
        <is>
          <t>VÄSTERNORRLANDS LÄN</t>
        </is>
      </c>
      <c r="E1255" t="inlineStr">
        <is>
          <t>SUNDSVALL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10539-2023</t>
        </is>
      </c>
      <c r="B1256" s="1" t="n">
        <v>44987</v>
      </c>
      <c r="C1256" s="1" t="n">
        <v>45881</v>
      </c>
      <c r="D1256" t="inlineStr">
        <is>
          <t>VÄSTERNORRLANDS LÄN</t>
        </is>
      </c>
      <c r="E1256" t="inlineStr">
        <is>
          <t>SUNDSVALL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7515-2023</t>
        </is>
      </c>
      <c r="B1257" s="1" t="n">
        <v>44971</v>
      </c>
      <c r="C1257" s="1" t="n">
        <v>45881</v>
      </c>
      <c r="D1257" t="inlineStr">
        <is>
          <t>VÄSTERNORRLANDS LÄN</t>
        </is>
      </c>
      <c r="E1257" t="inlineStr">
        <is>
          <t>SUNDSVALL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17189-2024</t>
        </is>
      </c>
      <c r="B1258" s="1" t="n">
        <v>45412</v>
      </c>
      <c r="C1258" s="1" t="n">
        <v>45881</v>
      </c>
      <c r="D1258" t="inlineStr">
        <is>
          <t>VÄSTERNORRLANDS LÄN</t>
        </is>
      </c>
      <c r="E1258" t="inlineStr">
        <is>
          <t>SUNDSVALL</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3216-2025</t>
        </is>
      </c>
      <c r="B1259" s="1" t="n">
        <v>45679.46209490741</v>
      </c>
      <c r="C1259" s="1" t="n">
        <v>45881</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7365-2024</t>
        </is>
      </c>
      <c r="B1260" s="1" t="n">
        <v>45345</v>
      </c>
      <c r="C1260" s="1" t="n">
        <v>45881</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22348-2025</t>
        </is>
      </c>
      <c r="B1261" s="1" t="n">
        <v>45786.44878472222</v>
      </c>
      <c r="C1261" s="1" t="n">
        <v>45881</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28449-2022</t>
        </is>
      </c>
      <c r="B1262" s="1" t="n">
        <v>44747.68142361111</v>
      </c>
      <c r="C1262" s="1" t="n">
        <v>45881</v>
      </c>
      <c r="D1262" t="inlineStr">
        <is>
          <t>VÄSTERNORRLANDS LÄN</t>
        </is>
      </c>
      <c r="E1262" t="inlineStr">
        <is>
          <t>SUNDSVALL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11764-2025</t>
        </is>
      </c>
      <c r="B1263" s="1" t="n">
        <v>45727.65665509259</v>
      </c>
      <c r="C1263" s="1" t="n">
        <v>45881</v>
      </c>
      <c r="D1263" t="inlineStr">
        <is>
          <t>VÄSTERNORRLANDS LÄN</t>
        </is>
      </c>
      <c r="E1263" t="inlineStr">
        <is>
          <t>SUNDSVALL</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60399-2022</t>
        </is>
      </c>
      <c r="B1264" s="1" t="n">
        <v>44910</v>
      </c>
      <c r="C1264" s="1" t="n">
        <v>45881</v>
      </c>
      <c r="D1264" t="inlineStr">
        <is>
          <t>VÄSTERNORRLANDS LÄN</t>
        </is>
      </c>
      <c r="E1264" t="inlineStr">
        <is>
          <t>SUNDSVALL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22208-2025</t>
        </is>
      </c>
      <c r="B1265" s="1" t="n">
        <v>45785.65722222222</v>
      </c>
      <c r="C1265" s="1" t="n">
        <v>45881</v>
      </c>
      <c r="D1265" t="inlineStr">
        <is>
          <t>VÄSTERNORRLANDS LÄN</t>
        </is>
      </c>
      <c r="E1265" t="inlineStr">
        <is>
          <t>SUNDSVALL</t>
        </is>
      </c>
      <c r="F1265" t="inlineStr">
        <is>
          <t>Naturvårdsverket</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41600-2023</t>
        </is>
      </c>
      <c r="B1266" s="1" t="n">
        <v>45175</v>
      </c>
      <c r="C1266" s="1" t="n">
        <v>45881</v>
      </c>
      <c r="D1266" t="inlineStr">
        <is>
          <t>VÄSTERNORRLANDS LÄN</t>
        </is>
      </c>
      <c r="E1266" t="inlineStr">
        <is>
          <t>SUNDSVALL</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56214-2024</t>
        </is>
      </c>
      <c r="B1267" s="1" t="n">
        <v>45624</v>
      </c>
      <c r="C1267" s="1" t="n">
        <v>45881</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61596-2024</t>
        </is>
      </c>
      <c r="B1268" s="1" t="n">
        <v>45646.6359375</v>
      </c>
      <c r="C1268" s="1" t="n">
        <v>45881</v>
      </c>
      <c r="D1268" t="inlineStr">
        <is>
          <t>VÄSTERNORRLANDS LÄN</t>
        </is>
      </c>
      <c r="E1268" t="inlineStr">
        <is>
          <t>SUNDSVALL</t>
        </is>
      </c>
      <c r="F1268" t="inlineStr">
        <is>
          <t>SCA</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22329-2025</t>
        </is>
      </c>
      <c r="B1269" s="1" t="n">
        <v>45786.42755787037</v>
      </c>
      <c r="C1269" s="1" t="n">
        <v>45881</v>
      </c>
      <c r="D1269" t="inlineStr">
        <is>
          <t>VÄSTERNORRLANDS LÄN</t>
        </is>
      </c>
      <c r="E1269" t="inlineStr">
        <is>
          <t>SUNDSVALL</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22349-2025</t>
        </is>
      </c>
      <c r="B1270" s="1" t="n">
        <v>45786.4488425926</v>
      </c>
      <c r="C1270" s="1" t="n">
        <v>45881</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21088-2024</t>
        </is>
      </c>
      <c r="B1271" s="1" t="n">
        <v>45439</v>
      </c>
      <c r="C1271" s="1" t="n">
        <v>45881</v>
      </c>
      <c r="D1271" t="inlineStr">
        <is>
          <t>VÄSTERNORRLANDS LÄN</t>
        </is>
      </c>
      <c r="E1271" t="inlineStr">
        <is>
          <t>SUNDSVALL</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22350-2025</t>
        </is>
      </c>
      <c r="B1272" s="1" t="n">
        <v>45786.44888888889</v>
      </c>
      <c r="C1272" s="1" t="n">
        <v>45881</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13291-2022</t>
        </is>
      </c>
      <c r="B1273" s="1" t="n">
        <v>44644.92293981482</v>
      </c>
      <c r="C1273" s="1" t="n">
        <v>45881</v>
      </c>
      <c r="D1273" t="inlineStr">
        <is>
          <t>VÄSTERNORRLANDS LÄN</t>
        </is>
      </c>
      <c r="E1273" t="inlineStr">
        <is>
          <t>SUNDSVALL</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35682-2023</t>
        </is>
      </c>
      <c r="B1274" s="1" t="n">
        <v>45147</v>
      </c>
      <c r="C1274" s="1" t="n">
        <v>45881</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40786-2023</t>
        </is>
      </c>
      <c r="B1275" s="1" t="n">
        <v>45170.95792824074</v>
      </c>
      <c r="C1275" s="1" t="n">
        <v>45881</v>
      </c>
      <c r="D1275" t="inlineStr">
        <is>
          <t>VÄSTERNORRLANDS LÄN</t>
        </is>
      </c>
      <c r="E1275" t="inlineStr">
        <is>
          <t>SUNDSVALL</t>
        </is>
      </c>
      <c r="F1275" t="inlineStr">
        <is>
          <t>SCA</t>
        </is>
      </c>
      <c r="G1275" t="n">
        <v>18.1</v>
      </c>
      <c r="H1275" t="n">
        <v>0</v>
      </c>
      <c r="I1275" t="n">
        <v>0</v>
      </c>
      <c r="J1275" t="n">
        <v>0</v>
      </c>
      <c r="K1275" t="n">
        <v>0</v>
      </c>
      <c r="L1275" t="n">
        <v>0</v>
      </c>
      <c r="M1275" t="n">
        <v>0</v>
      </c>
      <c r="N1275" t="n">
        <v>0</v>
      </c>
      <c r="O1275" t="n">
        <v>0</v>
      </c>
      <c r="P1275" t="n">
        <v>0</v>
      </c>
      <c r="Q1275" t="n">
        <v>0</v>
      </c>
      <c r="R1275" s="2" t="inlineStr"/>
    </row>
    <row r="1276" ht="15" customHeight="1">
      <c r="A1276" t="inlineStr">
        <is>
          <t>A 22471-2025</t>
        </is>
      </c>
      <c r="B1276" s="1" t="n">
        <v>45786.61559027778</v>
      </c>
      <c r="C1276" s="1" t="n">
        <v>45881</v>
      </c>
      <c r="D1276" t="inlineStr">
        <is>
          <t>VÄSTERNORRLANDS LÄN</t>
        </is>
      </c>
      <c r="E1276" t="inlineStr">
        <is>
          <t>SUNDSVALL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38287-2024</t>
        </is>
      </c>
      <c r="B1277" s="1" t="n">
        <v>45545.61619212963</v>
      </c>
      <c r="C1277" s="1" t="n">
        <v>45881</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29584-2021</t>
        </is>
      </c>
      <c r="B1278" s="1" t="n">
        <v>44361</v>
      </c>
      <c r="C1278" s="1" t="n">
        <v>45881</v>
      </c>
      <c r="D1278" t="inlineStr">
        <is>
          <t>VÄSTERNORRLANDS LÄN</t>
        </is>
      </c>
      <c r="E1278" t="inlineStr">
        <is>
          <t>SUNDSVALL</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61719-2020</t>
        </is>
      </c>
      <c r="B1279" s="1" t="n">
        <v>44158</v>
      </c>
      <c r="C1279" s="1" t="n">
        <v>45881</v>
      </c>
      <c r="D1279" t="inlineStr">
        <is>
          <t>VÄSTERNORRLANDS LÄN</t>
        </is>
      </c>
      <c r="E1279" t="inlineStr">
        <is>
          <t>SUNDSVALL</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8731-2025</t>
        </is>
      </c>
      <c r="B1280" s="1" t="n">
        <v>45712.53172453704</v>
      </c>
      <c r="C1280" s="1" t="n">
        <v>45881</v>
      </c>
      <c r="D1280" t="inlineStr">
        <is>
          <t>VÄSTERNORRLANDS LÄN</t>
        </is>
      </c>
      <c r="E1280" t="inlineStr">
        <is>
          <t>SUNDSVALL</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17166-2025</t>
        </is>
      </c>
      <c r="B1281" s="1" t="n">
        <v>45756.36495370371</v>
      </c>
      <c r="C1281" s="1" t="n">
        <v>45881</v>
      </c>
      <c r="D1281" t="inlineStr">
        <is>
          <t>VÄSTERNORRLANDS LÄN</t>
        </is>
      </c>
      <c r="E1281" t="inlineStr">
        <is>
          <t>SUNDSVALL</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381-2025</t>
        </is>
      </c>
      <c r="B1282" s="1" t="n">
        <v>45662.4591087963</v>
      </c>
      <c r="C1282" s="1" t="n">
        <v>45881</v>
      </c>
      <c r="D1282" t="inlineStr">
        <is>
          <t>VÄSTERNORRLANDS LÄN</t>
        </is>
      </c>
      <c r="E1282" t="inlineStr">
        <is>
          <t>SUNDSVALL</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382-2025</t>
        </is>
      </c>
      <c r="B1283" s="1" t="n">
        <v>45662.46572916667</v>
      </c>
      <c r="C1283" s="1" t="n">
        <v>45881</v>
      </c>
      <c r="D1283" t="inlineStr">
        <is>
          <t>VÄSTERNORRLANDS LÄN</t>
        </is>
      </c>
      <c r="E1283" t="inlineStr">
        <is>
          <t>SUNDSVALL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27319-2024</t>
        </is>
      </c>
      <c r="B1284" s="1" t="n">
        <v>45471</v>
      </c>
      <c r="C1284" s="1" t="n">
        <v>45881</v>
      </c>
      <c r="D1284" t="inlineStr">
        <is>
          <t>VÄSTERNORRLANDS LÄN</t>
        </is>
      </c>
      <c r="E1284" t="inlineStr">
        <is>
          <t>SUNDSVALL</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56252-2023</t>
        </is>
      </c>
      <c r="B1285" s="1" t="n">
        <v>45240</v>
      </c>
      <c r="C1285" s="1" t="n">
        <v>45881</v>
      </c>
      <c r="D1285" t="inlineStr">
        <is>
          <t>VÄSTERNORRLANDS LÄN</t>
        </is>
      </c>
      <c r="E1285" t="inlineStr">
        <is>
          <t>SUNDSVALL</t>
        </is>
      </c>
      <c r="F1285" t="inlineStr">
        <is>
          <t>SCA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49789-2024</t>
        </is>
      </c>
      <c r="B1286" s="1" t="n">
        <v>45597.36646990741</v>
      </c>
      <c r="C1286" s="1" t="n">
        <v>45881</v>
      </c>
      <c r="D1286" t="inlineStr">
        <is>
          <t>VÄSTERNORRLANDS LÄN</t>
        </is>
      </c>
      <c r="E1286" t="inlineStr">
        <is>
          <t>SUNDSVALL</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22500-2025</t>
        </is>
      </c>
      <c r="B1287" s="1" t="n">
        <v>45786.65708333333</v>
      </c>
      <c r="C1287" s="1" t="n">
        <v>45881</v>
      </c>
      <c r="D1287" t="inlineStr">
        <is>
          <t>VÄSTERNORRLANDS LÄN</t>
        </is>
      </c>
      <c r="E1287" t="inlineStr">
        <is>
          <t>SUNDSVALL</t>
        </is>
      </c>
      <c r="F1287" t="inlineStr">
        <is>
          <t>SCA</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17377-2024</t>
        </is>
      </c>
      <c r="B1288" s="1" t="n">
        <v>45414</v>
      </c>
      <c r="C1288" s="1" t="n">
        <v>45881</v>
      </c>
      <c r="D1288" t="inlineStr">
        <is>
          <t>VÄSTERNORRLANDS LÄN</t>
        </is>
      </c>
      <c r="E1288" t="inlineStr">
        <is>
          <t>SUNDSVALL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22322-2025</t>
        </is>
      </c>
      <c r="B1289" s="1" t="n">
        <v>45786.40657407408</v>
      </c>
      <c r="C1289" s="1" t="n">
        <v>45881</v>
      </c>
      <c r="D1289" t="inlineStr">
        <is>
          <t>VÄSTERNORRLANDS LÄN</t>
        </is>
      </c>
      <c r="E1289" t="inlineStr">
        <is>
          <t>SUNDSVALL</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112-2025</t>
        </is>
      </c>
      <c r="B1290" s="1" t="n">
        <v>45659</v>
      </c>
      <c r="C1290" s="1" t="n">
        <v>45881</v>
      </c>
      <c r="D1290" t="inlineStr">
        <is>
          <t>VÄSTERNORRLANDS LÄN</t>
        </is>
      </c>
      <c r="E1290" t="inlineStr">
        <is>
          <t>SUNDSVALL</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57519-2024</t>
        </is>
      </c>
      <c r="B1291" s="1" t="n">
        <v>45630.40659722222</v>
      </c>
      <c r="C1291" s="1" t="n">
        <v>45881</v>
      </c>
      <c r="D1291" t="inlineStr">
        <is>
          <t>VÄSTERNORRLANDS LÄN</t>
        </is>
      </c>
      <c r="E1291" t="inlineStr">
        <is>
          <t>SUNDSVALL</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10487-2025</t>
        </is>
      </c>
      <c r="B1292" s="1" t="n">
        <v>45721.34428240741</v>
      </c>
      <c r="C1292" s="1" t="n">
        <v>45881</v>
      </c>
      <c r="D1292" t="inlineStr">
        <is>
          <t>VÄSTERNORRLANDS LÄN</t>
        </is>
      </c>
      <c r="E1292" t="inlineStr">
        <is>
          <t>SUNDSVALL</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10517-2025</t>
        </is>
      </c>
      <c r="B1293" s="1" t="n">
        <v>45721.42747685185</v>
      </c>
      <c r="C1293" s="1" t="n">
        <v>45881</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16568-2023</t>
        </is>
      </c>
      <c r="B1294" s="1" t="n">
        <v>45029.94200231481</v>
      </c>
      <c r="C1294" s="1" t="n">
        <v>45881</v>
      </c>
      <c r="D1294" t="inlineStr">
        <is>
          <t>VÄSTERNORRLANDS LÄN</t>
        </is>
      </c>
      <c r="E1294" t="inlineStr">
        <is>
          <t>SUNDSVALL</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6882-2025</t>
        </is>
      </c>
      <c r="B1295" s="1" t="n">
        <v>45701.34545138889</v>
      </c>
      <c r="C1295" s="1" t="n">
        <v>45881</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22642-2023</t>
        </is>
      </c>
      <c r="B1296" s="1" t="n">
        <v>45071</v>
      </c>
      <c r="C1296" s="1" t="n">
        <v>45881</v>
      </c>
      <c r="D1296" t="inlineStr">
        <is>
          <t>VÄSTERNORRLANDS LÄN</t>
        </is>
      </c>
      <c r="E1296" t="inlineStr">
        <is>
          <t>SUNDSVALL</t>
        </is>
      </c>
      <c r="F1296" t="inlineStr">
        <is>
          <t>Holmen skog AB</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57499-2024</t>
        </is>
      </c>
      <c r="B1297" s="1" t="n">
        <v>45630.37629629629</v>
      </c>
      <c r="C1297" s="1" t="n">
        <v>45881</v>
      </c>
      <c r="D1297" t="inlineStr">
        <is>
          <t>VÄSTERNORRLANDS LÄN</t>
        </is>
      </c>
      <c r="E1297" t="inlineStr">
        <is>
          <t>SUNDSVALL</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22347-2025</t>
        </is>
      </c>
      <c r="B1298" s="1" t="n">
        <v>45786.44875</v>
      </c>
      <c r="C1298" s="1" t="n">
        <v>45881</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22445-2025</t>
        </is>
      </c>
      <c r="B1299" s="1" t="n">
        <v>45786.59431712963</v>
      </c>
      <c r="C1299" s="1" t="n">
        <v>45881</v>
      </c>
      <c r="D1299" t="inlineStr">
        <is>
          <t>VÄSTERNORRLANDS LÄN</t>
        </is>
      </c>
      <c r="E1299" t="inlineStr">
        <is>
          <t>SUNDSVALL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15133-2025</t>
        </is>
      </c>
      <c r="B1300" s="1" t="n">
        <v>45744.38577546296</v>
      </c>
      <c r="C1300" s="1" t="n">
        <v>45881</v>
      </c>
      <c r="D1300" t="inlineStr">
        <is>
          <t>VÄSTERNORRLANDS LÄN</t>
        </is>
      </c>
      <c r="E1300" t="inlineStr">
        <is>
          <t>SUNDSVALL</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15135-2025</t>
        </is>
      </c>
      <c r="B1301" s="1" t="n">
        <v>45744</v>
      </c>
      <c r="C1301" s="1" t="n">
        <v>45881</v>
      </c>
      <c r="D1301" t="inlineStr">
        <is>
          <t>VÄSTERNORRLANDS LÄN</t>
        </is>
      </c>
      <c r="E1301" t="inlineStr">
        <is>
          <t>SUNDSVALL</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49503-2020</t>
        </is>
      </c>
      <c r="B1302" s="1" t="n">
        <v>44105</v>
      </c>
      <c r="C1302" s="1" t="n">
        <v>45881</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49504-2020</t>
        </is>
      </c>
      <c r="B1303" s="1" t="n">
        <v>44105</v>
      </c>
      <c r="C1303" s="1" t="n">
        <v>45881</v>
      </c>
      <c r="D1303" t="inlineStr">
        <is>
          <t>VÄSTERNORRLANDS LÄN</t>
        </is>
      </c>
      <c r="E1303" t="inlineStr">
        <is>
          <t>SUNDSVALL</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55676-2021</t>
        </is>
      </c>
      <c r="B1304" s="1" t="n">
        <v>44476</v>
      </c>
      <c r="C1304" s="1" t="n">
        <v>45881</v>
      </c>
      <c r="D1304" t="inlineStr">
        <is>
          <t>VÄSTERNORRLANDS LÄN</t>
        </is>
      </c>
      <c r="E1304" t="inlineStr">
        <is>
          <t>SUNDSVALL</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28798-2024</t>
        </is>
      </c>
      <c r="B1305" s="1" t="n">
        <v>45478</v>
      </c>
      <c r="C1305" s="1" t="n">
        <v>45881</v>
      </c>
      <c r="D1305" t="inlineStr">
        <is>
          <t>VÄSTERNORRLANDS LÄN</t>
        </is>
      </c>
      <c r="E1305" t="inlineStr">
        <is>
          <t>SUNDSVALL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4116-2024</t>
        </is>
      </c>
      <c r="B1306" s="1" t="n">
        <v>45323</v>
      </c>
      <c r="C1306" s="1" t="n">
        <v>45881</v>
      </c>
      <c r="D1306" t="inlineStr">
        <is>
          <t>VÄSTERNORRLANDS LÄN</t>
        </is>
      </c>
      <c r="E1306" t="inlineStr">
        <is>
          <t>SUNDSVALL</t>
        </is>
      </c>
      <c r="F1306" t="inlineStr">
        <is>
          <t>Kommuner</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22321-2025</t>
        </is>
      </c>
      <c r="B1307" s="1" t="n">
        <v>45786.4065162037</v>
      </c>
      <c r="C1307" s="1" t="n">
        <v>45881</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52035-2024</t>
        </is>
      </c>
      <c r="B1308" s="1" t="n">
        <v>45608.30585648148</v>
      </c>
      <c r="C1308" s="1" t="n">
        <v>45881</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24514-2022</t>
        </is>
      </c>
      <c r="B1309" s="1" t="n">
        <v>44726</v>
      </c>
      <c r="C1309" s="1" t="n">
        <v>45881</v>
      </c>
      <c r="D1309" t="inlineStr">
        <is>
          <t>VÄSTERNORRLANDS LÄN</t>
        </is>
      </c>
      <c r="E1309" t="inlineStr">
        <is>
          <t>SUNDSVALL</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22775-2025</t>
        </is>
      </c>
      <c r="B1310" s="1" t="n">
        <v>45789.63674768519</v>
      </c>
      <c r="C1310" s="1" t="n">
        <v>45881</v>
      </c>
      <c r="D1310" t="inlineStr">
        <is>
          <t>VÄSTERNORRLANDS LÄN</t>
        </is>
      </c>
      <c r="E1310" t="inlineStr">
        <is>
          <t>SUNDSVALL</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40384-2024</t>
        </is>
      </c>
      <c r="B1311" s="1" t="n">
        <v>45555.4275462963</v>
      </c>
      <c r="C1311" s="1" t="n">
        <v>45881</v>
      </c>
      <c r="D1311" t="inlineStr">
        <is>
          <t>VÄSTERNORRLANDS LÄN</t>
        </is>
      </c>
      <c r="E1311" t="inlineStr">
        <is>
          <t>SUNDSVALL</t>
        </is>
      </c>
      <c r="F1311" t="inlineStr">
        <is>
          <t>SCA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40828-2022</t>
        </is>
      </c>
      <c r="B1312" s="1" t="n">
        <v>44824.92512731482</v>
      </c>
      <c r="C1312" s="1" t="n">
        <v>45881</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35254-2023</t>
        </is>
      </c>
      <c r="B1313" s="1" t="n">
        <v>45145</v>
      </c>
      <c r="C1313" s="1" t="n">
        <v>45881</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51084-2024</t>
        </is>
      </c>
      <c r="B1314" s="1" t="n">
        <v>45603.46280092592</v>
      </c>
      <c r="C1314" s="1" t="n">
        <v>45881</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23514-2023</t>
        </is>
      </c>
      <c r="B1315" s="1" t="n">
        <v>45076</v>
      </c>
      <c r="C1315" s="1" t="n">
        <v>45881</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46902-2023</t>
        </is>
      </c>
      <c r="B1316" s="1" t="n">
        <v>45201</v>
      </c>
      <c r="C1316" s="1" t="n">
        <v>45881</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227-2022</t>
        </is>
      </c>
      <c r="B1317" s="1" t="n">
        <v>44564</v>
      </c>
      <c r="C1317" s="1" t="n">
        <v>45881</v>
      </c>
      <c r="D1317" t="inlineStr">
        <is>
          <t>VÄSTERNORRLANDS LÄN</t>
        </is>
      </c>
      <c r="E1317" t="inlineStr">
        <is>
          <t>SUNDSVALL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54478-2024</t>
        </is>
      </c>
      <c r="B1318" s="1" t="n">
        <v>45617.55268518518</v>
      </c>
      <c r="C1318" s="1" t="n">
        <v>45881</v>
      </c>
      <c r="D1318" t="inlineStr">
        <is>
          <t>VÄSTERNORRLANDS LÄN</t>
        </is>
      </c>
      <c r="E1318" t="inlineStr">
        <is>
          <t>SUNDSVALL</t>
        </is>
      </c>
      <c r="F1318" t="inlineStr">
        <is>
          <t>SCA</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1398-2025</t>
        </is>
      </c>
      <c r="B1319" s="1" t="n">
        <v>45667</v>
      </c>
      <c r="C1319" s="1" t="n">
        <v>45881</v>
      </c>
      <c r="D1319" t="inlineStr">
        <is>
          <t>VÄSTERNORRLANDS LÄN</t>
        </is>
      </c>
      <c r="E1319" t="inlineStr">
        <is>
          <t>SUNDSVALL</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18874-2024</t>
        </is>
      </c>
      <c r="B1320" s="1" t="n">
        <v>45426.98122685185</v>
      </c>
      <c r="C1320" s="1" t="n">
        <v>45881</v>
      </c>
      <c r="D1320" t="inlineStr">
        <is>
          <t>VÄSTERNORRLANDS LÄN</t>
        </is>
      </c>
      <c r="E1320" t="inlineStr">
        <is>
          <t>SUNDSVALL</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4584-2024</t>
        </is>
      </c>
      <c r="B1321" s="1" t="n">
        <v>45327.92819444444</v>
      </c>
      <c r="C1321" s="1" t="n">
        <v>45881</v>
      </c>
      <c r="D1321" t="inlineStr">
        <is>
          <t>VÄSTERNORRLANDS LÄN</t>
        </is>
      </c>
      <c r="E1321" t="inlineStr">
        <is>
          <t>SUNDSVALL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7245-2024</t>
        </is>
      </c>
      <c r="B1322" s="1" t="n">
        <v>45344</v>
      </c>
      <c r="C1322" s="1" t="n">
        <v>45881</v>
      </c>
      <c r="D1322" t="inlineStr">
        <is>
          <t>VÄSTERNORRLANDS LÄN</t>
        </is>
      </c>
      <c r="E1322" t="inlineStr">
        <is>
          <t>SUNDSVALL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29951-2023</t>
        </is>
      </c>
      <c r="B1323" s="1" t="n">
        <v>45107.93866898148</v>
      </c>
      <c r="C1323" s="1" t="n">
        <v>45881</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41028-2023</t>
        </is>
      </c>
      <c r="B1324" s="1" t="n">
        <v>45169</v>
      </c>
      <c r="C1324" s="1" t="n">
        <v>45881</v>
      </c>
      <c r="D1324" t="inlineStr">
        <is>
          <t>VÄSTERNORRLANDS LÄN</t>
        </is>
      </c>
      <c r="E1324" t="inlineStr">
        <is>
          <t>SUNDSVALL</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1080-2022</t>
        </is>
      </c>
      <c r="B1325" s="1" t="n">
        <v>44571.92100694445</v>
      </c>
      <c r="C1325" s="1" t="n">
        <v>45881</v>
      </c>
      <c r="D1325" t="inlineStr">
        <is>
          <t>VÄSTERNORRLANDS LÄN</t>
        </is>
      </c>
      <c r="E1325" t="inlineStr">
        <is>
          <t>SUNDSVALL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22498-2025</t>
        </is>
      </c>
      <c r="B1326" s="1" t="n">
        <v>45786.65695601852</v>
      </c>
      <c r="C1326" s="1" t="n">
        <v>45881</v>
      </c>
      <c r="D1326" t="inlineStr">
        <is>
          <t>VÄSTERNORRLANDS LÄN</t>
        </is>
      </c>
      <c r="E1326" t="inlineStr">
        <is>
          <t>SUNDSVALL</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22470-2025</t>
        </is>
      </c>
      <c r="B1327" s="1" t="n">
        <v>45786.61554398148</v>
      </c>
      <c r="C1327" s="1" t="n">
        <v>45881</v>
      </c>
      <c r="D1327" t="inlineStr">
        <is>
          <t>VÄSTERNORRLANDS LÄN</t>
        </is>
      </c>
      <c r="E1327" t="inlineStr">
        <is>
          <t>SUNDSVALL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43128-2024</t>
        </is>
      </c>
      <c r="B1328" s="1" t="n">
        <v>45567</v>
      </c>
      <c r="C1328" s="1" t="n">
        <v>45881</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11352-2022</t>
        </is>
      </c>
      <c r="B1329" s="1" t="n">
        <v>44630</v>
      </c>
      <c r="C1329" s="1" t="n">
        <v>45881</v>
      </c>
      <c r="D1329" t="inlineStr">
        <is>
          <t>VÄSTERNORRLANDS LÄN</t>
        </is>
      </c>
      <c r="E1329" t="inlineStr">
        <is>
          <t>SUNDSVALL</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51790-2023</t>
        </is>
      </c>
      <c r="B1330" s="1" t="n">
        <v>45222</v>
      </c>
      <c r="C1330" s="1" t="n">
        <v>45881</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51791-2023</t>
        </is>
      </c>
      <c r="B1331" s="1" t="n">
        <v>45222</v>
      </c>
      <c r="C1331" s="1" t="n">
        <v>45881</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5314-2025</t>
        </is>
      </c>
      <c r="B1332" s="1" t="n">
        <v>45692.51083333333</v>
      </c>
      <c r="C1332" s="1" t="n">
        <v>45881</v>
      </c>
      <c r="D1332" t="inlineStr">
        <is>
          <t>VÄSTERNORRLANDS LÄN</t>
        </is>
      </c>
      <c r="E1332" t="inlineStr">
        <is>
          <t>SUNDSVALL</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55790-2024</t>
        </is>
      </c>
      <c r="B1333" s="1" t="n">
        <v>45623.42818287037</v>
      </c>
      <c r="C1333" s="1" t="n">
        <v>45881</v>
      </c>
      <c r="D1333" t="inlineStr">
        <is>
          <t>VÄSTERNORRLANDS LÄN</t>
        </is>
      </c>
      <c r="E1333" t="inlineStr">
        <is>
          <t>SUNDSVALL</t>
        </is>
      </c>
      <c r="F1333" t="inlineStr">
        <is>
          <t>Naturvårdsverket</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59997-2023</t>
        </is>
      </c>
      <c r="B1334" s="1" t="n">
        <v>45257.97215277778</v>
      </c>
      <c r="C1334" s="1" t="n">
        <v>45881</v>
      </c>
      <c r="D1334" t="inlineStr">
        <is>
          <t>VÄSTERNORRLANDS LÄN</t>
        </is>
      </c>
      <c r="E1334" t="inlineStr">
        <is>
          <t>SUNDSVALL</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3962-2025</t>
        </is>
      </c>
      <c r="B1335" s="1" t="n">
        <v>45684.50478009259</v>
      </c>
      <c r="C1335" s="1" t="n">
        <v>45881</v>
      </c>
      <c r="D1335" t="inlineStr">
        <is>
          <t>VÄSTERNORRLANDS LÄN</t>
        </is>
      </c>
      <c r="E1335" t="inlineStr">
        <is>
          <t>SUNDSVALL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11414-2024</t>
        </is>
      </c>
      <c r="B1336" s="1" t="n">
        <v>45372.47179398148</v>
      </c>
      <c r="C1336" s="1" t="n">
        <v>45881</v>
      </c>
      <c r="D1336" t="inlineStr">
        <is>
          <t>VÄSTERNORRLANDS LÄN</t>
        </is>
      </c>
      <c r="E1336" t="inlineStr">
        <is>
          <t>SUNDSVALL</t>
        </is>
      </c>
      <c r="F1336" t="inlineStr">
        <is>
          <t>Kommuner</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45024-2023</t>
        </is>
      </c>
      <c r="B1337" s="1" t="n">
        <v>45190.96283564815</v>
      </c>
      <c r="C1337" s="1" t="n">
        <v>45881</v>
      </c>
      <c r="D1337" t="inlineStr">
        <is>
          <t>VÄSTERNORRLANDS LÄN</t>
        </is>
      </c>
      <c r="E1337" t="inlineStr">
        <is>
          <t>SUNDSVALL</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22884-2025</t>
        </is>
      </c>
      <c r="B1338" s="1" t="n">
        <v>45790.38577546296</v>
      </c>
      <c r="C1338" s="1" t="n">
        <v>45881</v>
      </c>
      <c r="D1338" t="inlineStr">
        <is>
          <t>VÄSTERNORRLANDS LÄN</t>
        </is>
      </c>
      <c r="E1338" t="inlineStr">
        <is>
          <t>SUNDSVALL</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16941-2025</t>
        </is>
      </c>
      <c r="B1339" s="1" t="n">
        <v>45755</v>
      </c>
      <c r="C1339" s="1" t="n">
        <v>45881</v>
      </c>
      <c r="D1339" t="inlineStr">
        <is>
          <t>VÄSTERNORRLANDS LÄN</t>
        </is>
      </c>
      <c r="E1339" t="inlineStr">
        <is>
          <t>SUNDSVALL</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20057-2023</t>
        </is>
      </c>
      <c r="B1340" s="1" t="n">
        <v>45051</v>
      </c>
      <c r="C1340" s="1" t="n">
        <v>45881</v>
      </c>
      <c r="D1340" t="inlineStr">
        <is>
          <t>VÄSTERNORRLANDS LÄN</t>
        </is>
      </c>
      <c r="E1340" t="inlineStr">
        <is>
          <t>SUNDSVALL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22837-2025</t>
        </is>
      </c>
      <c r="B1341" s="1" t="n">
        <v>45789.91606481482</v>
      </c>
      <c r="C1341" s="1" t="n">
        <v>45881</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23650-2025</t>
        </is>
      </c>
      <c r="B1342" s="1" t="n">
        <v>45792</v>
      </c>
      <c r="C1342" s="1" t="n">
        <v>45881</v>
      </c>
      <c r="D1342" t="inlineStr">
        <is>
          <t>VÄSTERNORRLANDS LÄN</t>
        </is>
      </c>
      <c r="E1342" t="inlineStr">
        <is>
          <t>SUNDSVALL</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31274-2023</t>
        </is>
      </c>
      <c r="B1343" s="1" t="n">
        <v>45114.3946412037</v>
      </c>
      <c r="C1343" s="1" t="n">
        <v>45881</v>
      </c>
      <c r="D1343" t="inlineStr">
        <is>
          <t>VÄSTERNORRLANDS LÄN</t>
        </is>
      </c>
      <c r="E1343" t="inlineStr">
        <is>
          <t>SUNDSVALL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31278-2023</t>
        </is>
      </c>
      <c r="B1344" s="1" t="n">
        <v>45114.39721064815</v>
      </c>
      <c r="C1344" s="1" t="n">
        <v>45881</v>
      </c>
      <c r="D1344" t="inlineStr">
        <is>
          <t>VÄSTERNORRLANDS LÄN</t>
        </is>
      </c>
      <c r="E1344" t="inlineStr">
        <is>
          <t>SUNDSVALL</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23095-2025</t>
        </is>
      </c>
      <c r="B1345" s="1" t="n">
        <v>45791.34487268519</v>
      </c>
      <c r="C1345" s="1" t="n">
        <v>45881</v>
      </c>
      <c r="D1345" t="inlineStr">
        <is>
          <t>VÄSTERNORRLANDS LÄN</t>
        </is>
      </c>
      <c r="E1345" t="inlineStr">
        <is>
          <t>SUNDSVALL</t>
        </is>
      </c>
      <c r="F1345" t="inlineStr">
        <is>
          <t>SCA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23156-2025</t>
        </is>
      </c>
      <c r="B1346" s="1" t="n">
        <v>45791.40693287037</v>
      </c>
      <c r="C1346" s="1" t="n">
        <v>45881</v>
      </c>
      <c r="D1346" t="inlineStr">
        <is>
          <t>VÄSTERNORRLANDS LÄN</t>
        </is>
      </c>
      <c r="E1346" t="inlineStr">
        <is>
          <t>SUNDSVALL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46497-2023</t>
        </is>
      </c>
      <c r="B1347" s="1" t="n">
        <v>45197.65950231482</v>
      </c>
      <c r="C1347" s="1" t="n">
        <v>45881</v>
      </c>
      <c r="D1347" t="inlineStr">
        <is>
          <t>VÄSTERNORRLANDS LÄN</t>
        </is>
      </c>
      <c r="E1347" t="inlineStr">
        <is>
          <t>SUNDSVALL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48333-2024</t>
        </is>
      </c>
      <c r="B1348" s="1" t="n">
        <v>45590.53158564815</v>
      </c>
      <c r="C1348" s="1" t="n">
        <v>45881</v>
      </c>
      <c r="D1348" t="inlineStr">
        <is>
          <t>VÄSTERNORRLANDS LÄN</t>
        </is>
      </c>
      <c r="E1348" t="inlineStr">
        <is>
          <t>SUNDSVALL</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23210-2025</t>
        </is>
      </c>
      <c r="B1349" s="1" t="n">
        <v>45791.469375</v>
      </c>
      <c r="C1349" s="1" t="n">
        <v>45881</v>
      </c>
      <c r="D1349" t="inlineStr">
        <is>
          <t>VÄSTERNORRLANDS LÄN</t>
        </is>
      </c>
      <c r="E1349" t="inlineStr">
        <is>
          <t>SUNDSVALL</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52706-2024</t>
        </is>
      </c>
      <c r="B1350" s="1" t="n">
        <v>45610.4243287037</v>
      </c>
      <c r="C1350" s="1" t="n">
        <v>45881</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23637-2025</t>
        </is>
      </c>
      <c r="B1351" s="1" t="n">
        <v>45792.67971064815</v>
      </c>
      <c r="C1351" s="1" t="n">
        <v>45881</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23653-2025</t>
        </is>
      </c>
      <c r="B1352" s="1" t="n">
        <v>45792</v>
      </c>
      <c r="C1352" s="1" t="n">
        <v>45881</v>
      </c>
      <c r="D1352" t="inlineStr">
        <is>
          <t>VÄSTERNORRLANDS LÄN</t>
        </is>
      </c>
      <c r="E1352" t="inlineStr">
        <is>
          <t>SUNDSVALL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62120-2024</t>
        </is>
      </c>
      <c r="B1353" s="1" t="n">
        <v>45646</v>
      </c>
      <c r="C1353" s="1" t="n">
        <v>45881</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13360-2024</t>
        </is>
      </c>
      <c r="B1354" s="1" t="n">
        <v>45387.35157407408</v>
      </c>
      <c r="C1354" s="1" t="n">
        <v>45881</v>
      </c>
      <c r="D1354" t="inlineStr">
        <is>
          <t>VÄSTERNORRLANDS LÄN</t>
        </is>
      </c>
      <c r="E1354" t="inlineStr">
        <is>
          <t>SUNDSVALL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23152-2025</t>
        </is>
      </c>
      <c r="B1355" s="1" t="n">
        <v>45791.40515046296</v>
      </c>
      <c r="C1355" s="1" t="n">
        <v>45881</v>
      </c>
      <c r="D1355" t="inlineStr">
        <is>
          <t>VÄSTERNORRLANDS LÄN</t>
        </is>
      </c>
      <c r="E1355" t="inlineStr">
        <is>
          <t>SUNDSVALL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39506-2023</t>
        </is>
      </c>
      <c r="B1356" s="1" t="n">
        <v>45166.95797453704</v>
      </c>
      <c r="C1356" s="1" t="n">
        <v>45881</v>
      </c>
      <c r="D1356" t="inlineStr">
        <is>
          <t>VÄSTERNORRLANDS LÄN</t>
        </is>
      </c>
      <c r="E1356" t="inlineStr">
        <is>
          <t>SUNDSVALL</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44551-2023</t>
        </is>
      </c>
      <c r="B1357" s="1" t="n">
        <v>45183</v>
      </c>
      <c r="C1357" s="1" t="n">
        <v>45881</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11989-2024</t>
        </is>
      </c>
      <c r="B1358" s="1" t="n">
        <v>45376.95318287037</v>
      </c>
      <c r="C1358" s="1" t="n">
        <v>45881</v>
      </c>
      <c r="D1358" t="inlineStr">
        <is>
          <t>VÄSTERNORRLANDS LÄN</t>
        </is>
      </c>
      <c r="E1358" t="inlineStr">
        <is>
          <t>SUNDSVALL</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23334-2025</t>
        </is>
      </c>
      <c r="B1359" s="1" t="n">
        <v>45791.65145833333</v>
      </c>
      <c r="C1359" s="1" t="n">
        <v>45881</v>
      </c>
      <c r="D1359" t="inlineStr">
        <is>
          <t>VÄSTERNORRLANDS LÄN</t>
        </is>
      </c>
      <c r="E1359" t="inlineStr">
        <is>
          <t>SUNDSVALL</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23168-2025</t>
        </is>
      </c>
      <c r="B1360" s="1" t="n">
        <v>45791.42740740741</v>
      </c>
      <c r="C1360" s="1" t="n">
        <v>45881</v>
      </c>
      <c r="D1360" t="inlineStr">
        <is>
          <t>VÄSTERNORRLANDS LÄN</t>
        </is>
      </c>
      <c r="E1360" t="inlineStr">
        <is>
          <t>SUNDSVALL</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9616-2025</t>
        </is>
      </c>
      <c r="B1361" s="1" t="n">
        <v>45715.66296296296</v>
      </c>
      <c r="C1361" s="1" t="n">
        <v>45881</v>
      </c>
      <c r="D1361" t="inlineStr">
        <is>
          <t>VÄSTERNORRLANDS LÄN</t>
        </is>
      </c>
      <c r="E1361" t="inlineStr">
        <is>
          <t>SUNDSVALL</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21181-2023</t>
        </is>
      </c>
      <c r="B1362" s="1" t="n">
        <v>45062.45761574074</v>
      </c>
      <c r="C1362" s="1" t="n">
        <v>45881</v>
      </c>
      <c r="D1362" t="inlineStr">
        <is>
          <t>VÄSTERNORRLANDS LÄN</t>
        </is>
      </c>
      <c r="E1362" t="inlineStr">
        <is>
          <t>SUNDSVALL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23410-2025</t>
        </is>
      </c>
      <c r="B1363" s="1" t="n">
        <v>45792.34569444445</v>
      </c>
      <c r="C1363" s="1" t="n">
        <v>45881</v>
      </c>
      <c r="D1363" t="inlineStr">
        <is>
          <t>VÄSTERNORRLANDS LÄN</t>
        </is>
      </c>
      <c r="E1363" t="inlineStr">
        <is>
          <t>SUNDSVALL</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52231-2023</t>
        </is>
      </c>
      <c r="B1364" s="1" t="n">
        <v>45217</v>
      </c>
      <c r="C1364" s="1" t="n">
        <v>45881</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23231-2025</t>
        </is>
      </c>
      <c r="B1365" s="1" t="n">
        <v>45791.48994212963</v>
      </c>
      <c r="C1365" s="1" t="n">
        <v>45881</v>
      </c>
      <c r="D1365" t="inlineStr">
        <is>
          <t>VÄSTERNORRLANDS LÄN</t>
        </is>
      </c>
      <c r="E1365" t="inlineStr">
        <is>
          <t>SUNDSVALL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2711-2025</t>
        </is>
      </c>
      <c r="B1366" s="1" t="n">
        <v>45677</v>
      </c>
      <c r="C1366" s="1" t="n">
        <v>45881</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56681-2023</t>
        </is>
      </c>
      <c r="B1367" s="1" t="n">
        <v>45243</v>
      </c>
      <c r="C1367" s="1" t="n">
        <v>45881</v>
      </c>
      <c r="D1367" t="inlineStr">
        <is>
          <t>VÄSTERNORRLANDS LÄN</t>
        </is>
      </c>
      <c r="E1367" t="inlineStr">
        <is>
          <t>SUNDSVALL</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23157-2025</t>
        </is>
      </c>
      <c r="B1368" s="1" t="n">
        <v>45791.40707175926</v>
      </c>
      <c r="C1368" s="1" t="n">
        <v>45881</v>
      </c>
      <c r="D1368" t="inlineStr">
        <is>
          <t>VÄSTERNORRLANDS LÄN</t>
        </is>
      </c>
      <c r="E1368" t="inlineStr">
        <is>
          <t>SUNDSVALL</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23162-2025</t>
        </is>
      </c>
      <c r="B1369" s="1" t="n">
        <v>45791.40846064815</v>
      </c>
      <c r="C1369" s="1" t="n">
        <v>45881</v>
      </c>
      <c r="D1369" t="inlineStr">
        <is>
          <t>VÄSTERNORRLANDS LÄN</t>
        </is>
      </c>
      <c r="E1369" t="inlineStr">
        <is>
          <t>SUNDSVALL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59761-2024</t>
        </is>
      </c>
      <c r="B1370" s="1" t="n">
        <v>45639.55269675926</v>
      </c>
      <c r="C1370" s="1" t="n">
        <v>45881</v>
      </c>
      <c r="D1370" t="inlineStr">
        <is>
          <t>VÄSTERNORRLANDS LÄN</t>
        </is>
      </c>
      <c r="E1370" t="inlineStr">
        <is>
          <t>SUNDSVALL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16313-2025</t>
        </is>
      </c>
      <c r="B1371" s="1" t="n">
        <v>45751.34751157407</v>
      </c>
      <c r="C1371" s="1" t="n">
        <v>45881</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23652-2025</t>
        </is>
      </c>
      <c r="B1372" s="1" t="n">
        <v>45792</v>
      </c>
      <c r="C1372" s="1" t="n">
        <v>45881</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14464-2022</t>
        </is>
      </c>
      <c r="B1373" s="1" t="n">
        <v>44654</v>
      </c>
      <c r="C1373" s="1" t="n">
        <v>45881</v>
      </c>
      <c r="D1373" t="inlineStr">
        <is>
          <t>VÄSTERNORRLANDS LÄN</t>
        </is>
      </c>
      <c r="E1373" t="inlineStr">
        <is>
          <t>SUNDSVALL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14466-2022</t>
        </is>
      </c>
      <c r="B1374" s="1" t="n">
        <v>44654</v>
      </c>
      <c r="C1374" s="1" t="n">
        <v>45881</v>
      </c>
      <c r="D1374" t="inlineStr">
        <is>
          <t>VÄSTERNORRLANDS LÄN</t>
        </is>
      </c>
      <c r="E1374" t="inlineStr">
        <is>
          <t>SUNDSVALL</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23691-2025</t>
        </is>
      </c>
      <c r="B1375" s="1" t="n">
        <v>45793.34472222222</v>
      </c>
      <c r="C1375" s="1" t="n">
        <v>45881</v>
      </c>
      <c r="D1375" t="inlineStr">
        <is>
          <t>VÄSTERNORRLANDS LÄN</t>
        </is>
      </c>
      <c r="E1375" t="inlineStr">
        <is>
          <t>SUNDSVALL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51823-2023</t>
        </is>
      </c>
      <c r="B1376" s="1" t="n">
        <v>45222.96744212963</v>
      </c>
      <c r="C1376" s="1" t="n">
        <v>45881</v>
      </c>
      <c r="D1376" t="inlineStr">
        <is>
          <t>VÄSTERNORRLANDS LÄN</t>
        </is>
      </c>
      <c r="E1376" t="inlineStr">
        <is>
          <t>SUNDSVALL</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5267-2025</t>
        </is>
      </c>
      <c r="B1377" s="1" t="n">
        <v>45692.38988425926</v>
      </c>
      <c r="C1377" s="1" t="n">
        <v>45881</v>
      </c>
      <c r="D1377" t="inlineStr">
        <is>
          <t>VÄSTERNORRLANDS LÄN</t>
        </is>
      </c>
      <c r="E1377" t="inlineStr">
        <is>
          <t>SUNDSVALL</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27875-2023</t>
        </is>
      </c>
      <c r="B1378" s="1" t="n">
        <v>45098.59216435185</v>
      </c>
      <c r="C1378" s="1" t="n">
        <v>45881</v>
      </c>
      <c r="D1378" t="inlineStr">
        <is>
          <t>VÄSTERNORRLANDS LÄN</t>
        </is>
      </c>
      <c r="E1378" t="inlineStr">
        <is>
          <t>SUNDSVALL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53272-2022</t>
        </is>
      </c>
      <c r="B1379" s="1" t="n">
        <v>44876</v>
      </c>
      <c r="C1379" s="1" t="n">
        <v>45881</v>
      </c>
      <c r="D1379" t="inlineStr">
        <is>
          <t>VÄSTERNORRLANDS LÄN</t>
        </is>
      </c>
      <c r="E1379" t="inlineStr">
        <is>
          <t>SUNDSVALL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40749-2023</t>
        </is>
      </c>
      <c r="B1380" s="1" t="n">
        <v>45170</v>
      </c>
      <c r="C1380" s="1" t="n">
        <v>45881</v>
      </c>
      <c r="D1380" t="inlineStr">
        <is>
          <t>VÄSTERNORRLANDS LÄN</t>
        </is>
      </c>
      <c r="E1380" t="inlineStr">
        <is>
          <t>SUNDSVALL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13071-2025</t>
        </is>
      </c>
      <c r="B1381" s="1" t="n">
        <v>45734.61527777778</v>
      </c>
      <c r="C1381" s="1" t="n">
        <v>45881</v>
      </c>
      <c r="D1381" t="inlineStr">
        <is>
          <t>VÄSTERNORRLANDS LÄN</t>
        </is>
      </c>
      <c r="E1381" t="inlineStr">
        <is>
          <t>SUNDSVALL</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29663-2024</t>
        </is>
      </c>
      <c r="B1382" s="1" t="n">
        <v>45484.94004629629</v>
      </c>
      <c r="C1382" s="1" t="n">
        <v>45881</v>
      </c>
      <c r="D1382" t="inlineStr">
        <is>
          <t>VÄSTERNORRLANDS LÄN</t>
        </is>
      </c>
      <c r="E1382" t="inlineStr">
        <is>
          <t>SUNDSVALL</t>
        </is>
      </c>
      <c r="F1382" t="inlineStr">
        <is>
          <t>SCA</t>
        </is>
      </c>
      <c r="G1382" t="n">
        <v>44.6</v>
      </c>
      <c r="H1382" t="n">
        <v>0</v>
      </c>
      <c r="I1382" t="n">
        <v>0</v>
      </c>
      <c r="J1382" t="n">
        <v>0</v>
      </c>
      <c r="K1382" t="n">
        <v>0</v>
      </c>
      <c r="L1382" t="n">
        <v>0</v>
      </c>
      <c r="M1382" t="n">
        <v>0</v>
      </c>
      <c r="N1382" t="n">
        <v>0</v>
      </c>
      <c r="O1382" t="n">
        <v>0</v>
      </c>
      <c r="P1382" t="n">
        <v>0</v>
      </c>
      <c r="Q1382" t="n">
        <v>0</v>
      </c>
      <c r="R1382" s="2" t="inlineStr"/>
    </row>
    <row r="1383" ht="15" customHeight="1">
      <c r="A1383" t="inlineStr">
        <is>
          <t>A 47959-2024</t>
        </is>
      </c>
      <c r="B1383" s="1" t="n">
        <v>45589</v>
      </c>
      <c r="C1383" s="1" t="n">
        <v>45881</v>
      </c>
      <c r="D1383" t="inlineStr">
        <is>
          <t>VÄSTERNORRLANDS LÄN</t>
        </is>
      </c>
      <c r="E1383" t="inlineStr">
        <is>
          <t>SUNDSVALL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27470-2023</t>
        </is>
      </c>
      <c r="B1384" s="1" t="n">
        <v>45097</v>
      </c>
      <c r="C1384" s="1" t="n">
        <v>45881</v>
      </c>
      <c r="D1384" t="inlineStr">
        <is>
          <t>VÄSTERNORRLANDS LÄN</t>
        </is>
      </c>
      <c r="E1384" t="inlineStr">
        <is>
          <t>SUNDSVALL</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23765-2025</t>
        </is>
      </c>
      <c r="B1385" s="1" t="n">
        <v>45793.46952546296</v>
      </c>
      <c r="C1385" s="1" t="n">
        <v>45881</v>
      </c>
      <c r="D1385" t="inlineStr">
        <is>
          <t>VÄSTERNORRLANDS LÄN</t>
        </is>
      </c>
      <c r="E1385" t="inlineStr">
        <is>
          <t>SUNDSVALL</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55188-2024</t>
        </is>
      </c>
      <c r="B1386" s="1" t="n">
        <v>45621.5429050926</v>
      </c>
      <c r="C1386" s="1" t="n">
        <v>45881</v>
      </c>
      <c r="D1386" t="inlineStr">
        <is>
          <t>VÄSTERNORRLANDS LÄN</t>
        </is>
      </c>
      <c r="E1386" t="inlineStr">
        <is>
          <t>SUNDSVALL</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3326-2025</t>
        </is>
      </c>
      <c r="B1387" s="1" t="n">
        <v>45679.69952546297</v>
      </c>
      <c r="C1387" s="1" t="n">
        <v>45881</v>
      </c>
      <c r="D1387" t="inlineStr">
        <is>
          <t>VÄSTERNORRLANDS LÄN</t>
        </is>
      </c>
      <c r="E1387" t="inlineStr">
        <is>
          <t>SUNDSVALL</t>
        </is>
      </c>
      <c r="F1387" t="inlineStr">
        <is>
          <t>SCA</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22563-2022</t>
        </is>
      </c>
      <c r="B1388" s="1" t="n">
        <v>44713.9384375</v>
      </c>
      <c r="C1388" s="1" t="n">
        <v>45881</v>
      </c>
      <c r="D1388" t="inlineStr">
        <is>
          <t>VÄSTERNORRLANDS LÄN</t>
        </is>
      </c>
      <c r="E1388" t="inlineStr">
        <is>
          <t>SUNDSVALL</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24090-2025</t>
        </is>
      </c>
      <c r="B1389" s="1" t="n">
        <v>45796.57068287037</v>
      </c>
      <c r="C1389" s="1" t="n">
        <v>45881</v>
      </c>
      <c r="D1389" t="inlineStr">
        <is>
          <t>VÄSTERNORRLANDS LÄN</t>
        </is>
      </c>
      <c r="E1389" t="inlineStr">
        <is>
          <t>SUNDSVALL</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48778-2023</t>
        </is>
      </c>
      <c r="B1390" s="1" t="n">
        <v>45208</v>
      </c>
      <c r="C1390" s="1" t="n">
        <v>45881</v>
      </c>
      <c r="D1390" t="inlineStr">
        <is>
          <t>VÄSTERNORRLANDS LÄN</t>
        </is>
      </c>
      <c r="E1390" t="inlineStr">
        <is>
          <t>SUNDSVALL</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12494-2022</t>
        </is>
      </c>
      <c r="B1391" s="1" t="n">
        <v>44638.50601851852</v>
      </c>
      <c r="C1391" s="1" t="n">
        <v>45881</v>
      </c>
      <c r="D1391" t="inlineStr">
        <is>
          <t>VÄSTERNORRLANDS LÄN</t>
        </is>
      </c>
      <c r="E1391" t="inlineStr">
        <is>
          <t>SUNDSVALL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23736-2025</t>
        </is>
      </c>
      <c r="B1392" s="1" t="n">
        <v>45793.42796296296</v>
      </c>
      <c r="C1392" s="1" t="n">
        <v>45881</v>
      </c>
      <c r="D1392" t="inlineStr">
        <is>
          <t>VÄSTERNORRLANDS LÄN</t>
        </is>
      </c>
      <c r="E1392" t="inlineStr">
        <is>
          <t>SUNDSVALL</t>
        </is>
      </c>
      <c r="F1392" t="inlineStr">
        <is>
          <t>SCA</t>
        </is>
      </c>
      <c r="G1392" t="n">
        <v>22.8</v>
      </c>
      <c r="H1392" t="n">
        <v>0</v>
      </c>
      <c r="I1392" t="n">
        <v>0</v>
      </c>
      <c r="J1392" t="n">
        <v>0</v>
      </c>
      <c r="K1392" t="n">
        <v>0</v>
      </c>
      <c r="L1392" t="n">
        <v>0</v>
      </c>
      <c r="M1392" t="n">
        <v>0</v>
      </c>
      <c r="N1392" t="n">
        <v>0</v>
      </c>
      <c r="O1392" t="n">
        <v>0</v>
      </c>
      <c r="P1392" t="n">
        <v>0</v>
      </c>
      <c r="Q1392" t="n">
        <v>0</v>
      </c>
      <c r="R1392" s="2" t="inlineStr"/>
    </row>
    <row r="1393" ht="15" customHeight="1">
      <c r="A1393" t="inlineStr">
        <is>
          <t>A 23799-2025</t>
        </is>
      </c>
      <c r="B1393" s="1" t="n">
        <v>45793.55262731481</v>
      </c>
      <c r="C1393" s="1" t="n">
        <v>45881</v>
      </c>
      <c r="D1393" t="inlineStr">
        <is>
          <t>VÄSTERNORRLANDS LÄN</t>
        </is>
      </c>
      <c r="E1393" t="inlineStr">
        <is>
          <t>SUNDSVALL</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21389-2022</t>
        </is>
      </c>
      <c r="B1394" s="1" t="n">
        <v>44705</v>
      </c>
      <c r="C1394" s="1" t="n">
        <v>45881</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9435-2024</t>
        </is>
      </c>
      <c r="B1395" s="1" t="n">
        <v>45359</v>
      </c>
      <c r="C1395" s="1" t="n">
        <v>45881</v>
      </c>
      <c r="D1395" t="inlineStr">
        <is>
          <t>VÄSTERNORRLANDS LÄN</t>
        </is>
      </c>
      <c r="E1395" t="inlineStr">
        <is>
          <t>SUNDSVALL</t>
        </is>
      </c>
      <c r="F1395" t="inlineStr">
        <is>
          <t>Holmen skog AB</t>
        </is>
      </c>
      <c r="G1395" t="n">
        <v>24.7</v>
      </c>
      <c r="H1395" t="n">
        <v>0</v>
      </c>
      <c r="I1395" t="n">
        <v>0</v>
      </c>
      <c r="J1395" t="n">
        <v>0</v>
      </c>
      <c r="K1395" t="n">
        <v>0</v>
      </c>
      <c r="L1395" t="n">
        <v>0</v>
      </c>
      <c r="M1395" t="n">
        <v>0</v>
      </c>
      <c r="N1395" t="n">
        <v>0</v>
      </c>
      <c r="O1395" t="n">
        <v>0</v>
      </c>
      <c r="P1395" t="n">
        <v>0</v>
      </c>
      <c r="Q1395" t="n">
        <v>0</v>
      </c>
      <c r="R1395" s="2" t="inlineStr"/>
    </row>
    <row r="1396" ht="15" customHeight="1">
      <c r="A1396" t="inlineStr">
        <is>
          <t>A 19805-2025</t>
        </is>
      </c>
      <c r="B1396" s="1" t="n">
        <v>45771</v>
      </c>
      <c r="C1396" s="1" t="n">
        <v>45881</v>
      </c>
      <c r="D1396" t="inlineStr">
        <is>
          <t>VÄSTERNORRLANDS LÄN</t>
        </is>
      </c>
      <c r="E1396" t="inlineStr">
        <is>
          <t>SUNDSVALL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30299-2024</t>
        </is>
      </c>
      <c r="B1397" s="1" t="n">
        <v>45490</v>
      </c>
      <c r="C1397" s="1" t="n">
        <v>45881</v>
      </c>
      <c r="D1397" t="inlineStr">
        <is>
          <t>VÄSTERNORRLANDS LÄN</t>
        </is>
      </c>
      <c r="E1397" t="inlineStr">
        <is>
          <t>SUNDSVALL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11813-2022</t>
        </is>
      </c>
      <c r="B1398" s="1" t="n">
        <v>44634.68443287037</v>
      </c>
      <c r="C1398" s="1" t="n">
        <v>45881</v>
      </c>
      <c r="D1398" t="inlineStr">
        <is>
          <t>VÄSTERNORRLANDS LÄN</t>
        </is>
      </c>
      <c r="E1398" t="inlineStr">
        <is>
          <t>SUNDSVALL</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51047-2024</t>
        </is>
      </c>
      <c r="B1399" s="1" t="n">
        <v>45603.44611111111</v>
      </c>
      <c r="C1399" s="1" t="n">
        <v>45881</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20339-2025</t>
        </is>
      </c>
      <c r="B1400" s="1" t="n">
        <v>45775.36575231481</v>
      </c>
      <c r="C1400" s="1" t="n">
        <v>45881</v>
      </c>
      <c r="D1400" t="inlineStr">
        <is>
          <t>VÄSTERNORRLANDS LÄN</t>
        </is>
      </c>
      <c r="E1400" t="inlineStr">
        <is>
          <t>SUNDSVALL</t>
        </is>
      </c>
      <c r="F1400" t="inlineStr">
        <is>
          <t>SCA</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7431-2022</t>
        </is>
      </c>
      <c r="B1401" s="1" t="n">
        <v>44606.93319444444</v>
      </c>
      <c r="C1401" s="1" t="n">
        <v>45881</v>
      </c>
      <c r="D1401" t="inlineStr">
        <is>
          <t>VÄSTERNORRLANDS LÄN</t>
        </is>
      </c>
      <c r="E1401" t="inlineStr">
        <is>
          <t>SUNDSVALL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18816-2025</t>
        </is>
      </c>
      <c r="B1402" s="1" t="n">
        <v>45764.37059027778</v>
      </c>
      <c r="C1402" s="1" t="n">
        <v>45881</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35923-2022</t>
        </is>
      </c>
      <c r="B1403" s="1" t="n">
        <v>44802</v>
      </c>
      <c r="C1403" s="1" t="n">
        <v>45881</v>
      </c>
      <c r="D1403" t="inlineStr">
        <is>
          <t>VÄSTERNORRLANDS LÄN</t>
        </is>
      </c>
      <c r="E1403" t="inlineStr">
        <is>
          <t>SUNDSVALL</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1116-2025</t>
        </is>
      </c>
      <c r="B1404" s="1" t="n">
        <v>45666</v>
      </c>
      <c r="C1404" s="1" t="n">
        <v>45881</v>
      </c>
      <c r="D1404" t="inlineStr">
        <is>
          <t>VÄSTERNORRLANDS LÄN</t>
        </is>
      </c>
      <c r="E1404" t="inlineStr">
        <is>
          <t>SUNDSVALL</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24426-2025</t>
        </is>
      </c>
      <c r="B1405" s="1" t="n">
        <v>45797.69824074074</v>
      </c>
      <c r="C1405" s="1" t="n">
        <v>45881</v>
      </c>
      <c r="D1405" t="inlineStr">
        <is>
          <t>VÄSTERNORRLANDS LÄN</t>
        </is>
      </c>
      <c r="E1405" t="inlineStr">
        <is>
          <t>SUNDSVALL</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56232-2023</t>
        </is>
      </c>
      <c r="B1406" s="1" t="n">
        <v>45240.92402777778</v>
      </c>
      <c r="C1406" s="1" t="n">
        <v>45881</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56233-2023</t>
        </is>
      </c>
      <c r="B1407" s="1" t="n">
        <v>45240.9240625</v>
      </c>
      <c r="C1407" s="1" t="n">
        <v>45881</v>
      </c>
      <c r="D1407" t="inlineStr">
        <is>
          <t>VÄSTERNORRLANDS LÄN</t>
        </is>
      </c>
      <c r="E1407" t="inlineStr">
        <is>
          <t>SUNDSVALL</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56250-2023</t>
        </is>
      </c>
      <c r="B1408" s="1" t="n">
        <v>45240</v>
      </c>
      <c r="C1408" s="1" t="n">
        <v>45881</v>
      </c>
      <c r="D1408" t="inlineStr">
        <is>
          <t>VÄSTERNORRLANDS LÄN</t>
        </is>
      </c>
      <c r="E1408" t="inlineStr">
        <is>
          <t>SUNDSVALL</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61735-2022</t>
        </is>
      </c>
      <c r="B1409" s="1" t="n">
        <v>44917</v>
      </c>
      <c r="C1409" s="1" t="n">
        <v>45881</v>
      </c>
      <c r="D1409" t="inlineStr">
        <is>
          <t>VÄSTERNORRLANDS LÄN</t>
        </is>
      </c>
      <c r="E1409" t="inlineStr">
        <is>
          <t>SUNDSVALL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10557-2024</t>
        </is>
      </c>
      <c r="B1410" s="1" t="n">
        <v>45366</v>
      </c>
      <c r="C1410" s="1" t="n">
        <v>45881</v>
      </c>
      <c r="D1410" t="inlineStr">
        <is>
          <t>VÄSTERNORRLANDS LÄN</t>
        </is>
      </c>
      <c r="E1410" t="inlineStr">
        <is>
          <t>SUNDSVALL</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33040-2023</t>
        </is>
      </c>
      <c r="B1411" s="1" t="n">
        <v>45125.95086805556</v>
      </c>
      <c r="C1411" s="1" t="n">
        <v>45881</v>
      </c>
      <c r="D1411" t="inlineStr">
        <is>
          <t>VÄSTERNORRLANDS LÄN</t>
        </is>
      </c>
      <c r="E1411" t="inlineStr">
        <is>
          <t>SUNDSVALL</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54550-2024</t>
        </is>
      </c>
      <c r="B1412" s="1" t="n">
        <v>45617.61696759259</v>
      </c>
      <c r="C1412" s="1" t="n">
        <v>45881</v>
      </c>
      <c r="D1412" t="inlineStr">
        <is>
          <t>VÄSTERNORRLANDS LÄN</t>
        </is>
      </c>
      <c r="E1412" t="inlineStr">
        <is>
          <t>SUNDSVALL</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24298-2023</t>
        </is>
      </c>
      <c r="B1413" s="1" t="n">
        <v>45079</v>
      </c>
      <c r="C1413" s="1" t="n">
        <v>45881</v>
      </c>
      <c r="D1413" t="inlineStr">
        <is>
          <t>VÄSTERNORRLANDS LÄN</t>
        </is>
      </c>
      <c r="E1413" t="inlineStr">
        <is>
          <t>SUNDSVALL</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10984-2022</t>
        </is>
      </c>
      <c r="B1414" s="1" t="n">
        <v>44628</v>
      </c>
      <c r="C1414" s="1" t="n">
        <v>45881</v>
      </c>
      <c r="D1414" t="inlineStr">
        <is>
          <t>VÄSTERNORRLANDS LÄN</t>
        </is>
      </c>
      <c r="E1414" t="inlineStr">
        <is>
          <t>SUNDSVALL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10988-2022</t>
        </is>
      </c>
      <c r="B1415" s="1" t="n">
        <v>44628</v>
      </c>
      <c r="C1415" s="1" t="n">
        <v>45881</v>
      </c>
      <c r="D1415" t="inlineStr">
        <is>
          <t>VÄSTERNORRLANDS LÄN</t>
        </is>
      </c>
      <c r="E1415" t="inlineStr">
        <is>
          <t>SUNDSVALL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19338-2024</t>
        </is>
      </c>
      <c r="B1416" s="1" t="n">
        <v>45428</v>
      </c>
      <c r="C1416" s="1" t="n">
        <v>45881</v>
      </c>
      <c r="D1416" t="inlineStr">
        <is>
          <t>VÄSTERNORRLANDS LÄN</t>
        </is>
      </c>
      <c r="E1416" t="inlineStr">
        <is>
          <t>SUNDSVALL</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31522-2024</t>
        </is>
      </c>
      <c r="B1417" s="1" t="n">
        <v>45505</v>
      </c>
      <c r="C1417" s="1" t="n">
        <v>45881</v>
      </c>
      <c r="D1417" t="inlineStr">
        <is>
          <t>VÄSTERNORRLANDS LÄN</t>
        </is>
      </c>
      <c r="E1417" t="inlineStr">
        <is>
          <t>SUNDSVALL</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26341-2023</t>
        </is>
      </c>
      <c r="B1418" s="1" t="n">
        <v>45091.92548611111</v>
      </c>
      <c r="C1418" s="1" t="n">
        <v>45881</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49929-2024</t>
        </is>
      </c>
      <c r="B1419" s="1" t="n">
        <v>45597.57927083333</v>
      </c>
      <c r="C1419" s="1" t="n">
        <v>45881</v>
      </c>
      <c r="D1419" t="inlineStr">
        <is>
          <t>VÄSTERNORRLANDS LÄN</t>
        </is>
      </c>
      <c r="E1419" t="inlineStr">
        <is>
          <t>SUNDSVALL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9470-2025</t>
        </is>
      </c>
      <c r="B1420" s="1" t="n">
        <v>45715.46928240741</v>
      </c>
      <c r="C1420" s="1" t="n">
        <v>45881</v>
      </c>
      <c r="D1420" t="inlineStr">
        <is>
          <t>VÄSTERNORRLANDS LÄN</t>
        </is>
      </c>
      <c r="E1420" t="inlineStr">
        <is>
          <t>SUNDSVALL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50324-2024</t>
        </is>
      </c>
      <c r="B1421" s="1" t="n">
        <v>45600</v>
      </c>
      <c r="C1421" s="1" t="n">
        <v>45881</v>
      </c>
      <c r="D1421" t="inlineStr">
        <is>
          <t>VÄSTERNORRLANDS LÄN</t>
        </is>
      </c>
      <c r="E1421" t="inlineStr">
        <is>
          <t>SUNDSVALL</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53716-2023</t>
        </is>
      </c>
      <c r="B1422" s="1" t="n">
        <v>45230.71146990741</v>
      </c>
      <c r="C1422" s="1" t="n">
        <v>45881</v>
      </c>
      <c r="D1422" t="inlineStr">
        <is>
          <t>VÄSTERNORRLANDS LÄN</t>
        </is>
      </c>
      <c r="E1422" t="inlineStr">
        <is>
          <t>SUNDSVALL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14914-2024</t>
        </is>
      </c>
      <c r="B1423" s="1" t="n">
        <v>45398</v>
      </c>
      <c r="C1423" s="1" t="n">
        <v>45881</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5646-2025</t>
        </is>
      </c>
      <c r="B1424" s="1" t="n">
        <v>45693</v>
      </c>
      <c r="C1424" s="1" t="n">
        <v>45881</v>
      </c>
      <c r="D1424" t="inlineStr">
        <is>
          <t>VÄSTERNORRLANDS LÄN</t>
        </is>
      </c>
      <c r="E1424" t="inlineStr">
        <is>
          <t>SUNDSVALL</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7149-2024</t>
        </is>
      </c>
      <c r="B1425" s="1" t="n">
        <v>45344</v>
      </c>
      <c r="C1425" s="1" t="n">
        <v>45881</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24339-2025</t>
        </is>
      </c>
      <c r="B1426" s="1" t="n">
        <v>45797.57395833333</v>
      </c>
      <c r="C1426" s="1" t="n">
        <v>45881</v>
      </c>
      <c r="D1426" t="inlineStr">
        <is>
          <t>VÄSTERNORRLANDS LÄN</t>
        </is>
      </c>
      <c r="E1426" t="inlineStr">
        <is>
          <t>SUNDSVALL</t>
        </is>
      </c>
      <c r="F1426" t="inlineStr">
        <is>
          <t>Naturvårdsverket</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60149-2023</t>
        </is>
      </c>
      <c r="B1427" s="1" t="n">
        <v>45258</v>
      </c>
      <c r="C1427" s="1" t="n">
        <v>45881</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50627-2023</t>
        </is>
      </c>
      <c r="B1428" s="1" t="n">
        <v>45210</v>
      </c>
      <c r="C1428" s="1" t="n">
        <v>45881</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24028-2024</t>
        </is>
      </c>
      <c r="B1429" s="1" t="n">
        <v>45456</v>
      </c>
      <c r="C1429" s="1" t="n">
        <v>45881</v>
      </c>
      <c r="D1429" t="inlineStr">
        <is>
          <t>VÄSTERNORRLANDS LÄN</t>
        </is>
      </c>
      <c r="E1429" t="inlineStr">
        <is>
          <t>SUNDSVALL</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1188-2025</t>
        </is>
      </c>
      <c r="B1430" s="1" t="n">
        <v>45667.37030092593</v>
      </c>
      <c r="C1430" s="1" t="n">
        <v>45881</v>
      </c>
      <c r="D1430" t="inlineStr">
        <is>
          <t>VÄSTERNORRLANDS LÄN</t>
        </is>
      </c>
      <c r="E1430" t="inlineStr">
        <is>
          <t>SUNDSVALL</t>
        </is>
      </c>
      <c r="F1430" t="inlineStr">
        <is>
          <t>Holmen skog AB</t>
        </is>
      </c>
      <c r="G1430" t="n">
        <v>25.4</v>
      </c>
      <c r="H1430" t="n">
        <v>0</v>
      </c>
      <c r="I1430" t="n">
        <v>0</v>
      </c>
      <c r="J1430" t="n">
        <v>0</v>
      </c>
      <c r="K1430" t="n">
        <v>0</v>
      </c>
      <c r="L1430" t="n">
        <v>0</v>
      </c>
      <c r="M1430" t="n">
        <v>0</v>
      </c>
      <c r="N1430" t="n">
        <v>0</v>
      </c>
      <c r="O1430" t="n">
        <v>0</v>
      </c>
      <c r="P1430" t="n">
        <v>0</v>
      </c>
      <c r="Q1430" t="n">
        <v>0</v>
      </c>
      <c r="R1430" s="2" t="inlineStr"/>
    </row>
    <row r="1431" ht="15" customHeight="1">
      <c r="A1431" t="inlineStr">
        <is>
          <t>A 41652-2024</t>
        </is>
      </c>
      <c r="B1431" s="1" t="n">
        <v>45560.63778935185</v>
      </c>
      <c r="C1431" s="1" t="n">
        <v>45881</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16975-2024</t>
        </is>
      </c>
      <c r="B1432" s="1" t="n">
        <v>45411</v>
      </c>
      <c r="C1432" s="1" t="n">
        <v>45881</v>
      </c>
      <c r="D1432" t="inlineStr">
        <is>
          <t>VÄSTERNORRLANDS LÄN</t>
        </is>
      </c>
      <c r="E1432" t="inlineStr">
        <is>
          <t>SUNDSVALL</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24291-2025</t>
        </is>
      </c>
      <c r="B1433" s="1" t="n">
        <v>45797.46469907407</v>
      </c>
      <c r="C1433" s="1" t="n">
        <v>45881</v>
      </c>
      <c r="D1433" t="inlineStr">
        <is>
          <t>VÄSTERNORRLANDS LÄN</t>
        </is>
      </c>
      <c r="E1433" t="inlineStr">
        <is>
          <t>SUNDSVALL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18213-2025</t>
        </is>
      </c>
      <c r="B1434" s="1" t="n">
        <v>45761.69885416667</v>
      </c>
      <c r="C1434" s="1" t="n">
        <v>45881</v>
      </c>
      <c r="D1434" t="inlineStr">
        <is>
          <t>VÄSTERNORRLANDS LÄN</t>
        </is>
      </c>
      <c r="E1434" t="inlineStr">
        <is>
          <t>SUNDSVALL</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60576-2023</t>
        </is>
      </c>
      <c r="B1435" s="1" t="n">
        <v>45259</v>
      </c>
      <c r="C1435" s="1" t="n">
        <v>45881</v>
      </c>
      <c r="D1435" t="inlineStr">
        <is>
          <t>VÄSTERNORRLANDS LÄN</t>
        </is>
      </c>
      <c r="E1435" t="inlineStr">
        <is>
          <t>SUNDSVALL</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15143-2024</t>
        </is>
      </c>
      <c r="B1436" s="1" t="n">
        <v>45399.94331018518</v>
      </c>
      <c r="C1436" s="1" t="n">
        <v>45881</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24293-2025</t>
        </is>
      </c>
      <c r="B1437" s="1" t="n">
        <v>45797.46899305555</v>
      </c>
      <c r="C1437" s="1" t="n">
        <v>45881</v>
      </c>
      <c r="D1437" t="inlineStr">
        <is>
          <t>VÄSTERNORRLANDS LÄN</t>
        </is>
      </c>
      <c r="E1437" t="inlineStr">
        <is>
          <t>SUNDSVALL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7091-2025</t>
        </is>
      </c>
      <c r="B1438" s="1" t="n">
        <v>45701.75440972222</v>
      </c>
      <c r="C1438" s="1" t="n">
        <v>45881</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33646-2025</t>
        </is>
      </c>
      <c r="B1439" s="1" t="n">
        <v>45841.65662037037</v>
      </c>
      <c r="C1439" s="1" t="n">
        <v>45881</v>
      </c>
      <c r="D1439" t="inlineStr">
        <is>
          <t>VÄSTERNORRLANDS LÄN</t>
        </is>
      </c>
      <c r="E1439" t="inlineStr">
        <is>
          <t>SUNDSVALL</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33649-2025</t>
        </is>
      </c>
      <c r="B1440" s="1" t="n">
        <v>45841.65697916667</v>
      </c>
      <c r="C1440" s="1" t="n">
        <v>45881</v>
      </c>
      <c r="D1440" t="inlineStr">
        <is>
          <t>VÄSTERNORRLANDS LÄN</t>
        </is>
      </c>
      <c r="E1440" t="inlineStr">
        <is>
          <t>SUNDSVALL</t>
        </is>
      </c>
      <c r="F1440" t="inlineStr">
        <is>
          <t>SCA</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32201-2023</t>
        </is>
      </c>
      <c r="B1441" s="1" t="n">
        <v>45119</v>
      </c>
      <c r="C1441" s="1" t="n">
        <v>45881</v>
      </c>
      <c r="D1441" t="inlineStr">
        <is>
          <t>VÄSTERNORRLANDS LÄN</t>
        </is>
      </c>
      <c r="E1441" t="inlineStr">
        <is>
          <t>SUNDSVALL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33899-2025</t>
        </is>
      </c>
      <c r="B1442" s="1" t="n">
        <v>45842.59440972222</v>
      </c>
      <c r="C1442" s="1" t="n">
        <v>45881</v>
      </c>
      <c r="D1442" t="inlineStr">
        <is>
          <t>VÄSTERNORRLANDS LÄN</t>
        </is>
      </c>
      <c r="E1442" t="inlineStr">
        <is>
          <t>SUNDSVALL</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24701-2025</t>
        </is>
      </c>
      <c r="B1443" s="1" t="n">
        <v>45798.75085648148</v>
      </c>
      <c r="C1443" s="1" t="n">
        <v>45881</v>
      </c>
      <c r="D1443" t="inlineStr">
        <is>
          <t>VÄSTERNORRLANDS LÄN</t>
        </is>
      </c>
      <c r="E1443" t="inlineStr">
        <is>
          <t>SUNDSVALL</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25179-2025</t>
        </is>
      </c>
      <c r="B1444" s="1" t="n">
        <v>45800.44875</v>
      </c>
      <c r="C1444" s="1" t="n">
        <v>45881</v>
      </c>
      <c r="D1444" t="inlineStr">
        <is>
          <t>VÄSTERNORRLANDS LÄN</t>
        </is>
      </c>
      <c r="E1444" t="inlineStr">
        <is>
          <t>SUNDSVALL</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18522-2025</t>
        </is>
      </c>
      <c r="B1445" s="1" t="n">
        <v>45763.39638888889</v>
      </c>
      <c r="C1445" s="1" t="n">
        <v>45881</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33433-2025</t>
        </is>
      </c>
      <c r="B1446" s="1" t="n">
        <v>45841.4485300926</v>
      </c>
      <c r="C1446" s="1" t="n">
        <v>45881</v>
      </c>
      <c r="D1446" t="inlineStr">
        <is>
          <t>VÄSTERNORRLANDS LÄN</t>
        </is>
      </c>
      <c r="E1446" t="inlineStr">
        <is>
          <t>SUNDSVALL</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25196-2025</t>
        </is>
      </c>
      <c r="B1447" s="1" t="n">
        <v>45800.46025462963</v>
      </c>
      <c r="C1447" s="1" t="n">
        <v>45881</v>
      </c>
      <c r="D1447" t="inlineStr">
        <is>
          <t>VÄSTERNORRLANDS LÄN</t>
        </is>
      </c>
      <c r="E1447" t="inlineStr">
        <is>
          <t>SUNDSVALL</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25258-2025</t>
        </is>
      </c>
      <c r="B1448" s="1" t="n">
        <v>45800.51092592593</v>
      </c>
      <c r="C1448" s="1" t="n">
        <v>45881</v>
      </c>
      <c r="D1448" t="inlineStr">
        <is>
          <t>VÄSTERNORRLANDS LÄN</t>
        </is>
      </c>
      <c r="E1448" t="inlineStr">
        <is>
          <t>SUNDSVALL</t>
        </is>
      </c>
      <c r="F1448" t="inlineStr">
        <is>
          <t>Naturvårdsverket</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25351-2025</t>
        </is>
      </c>
      <c r="B1449" s="1" t="n">
        <v>45800.61526620371</v>
      </c>
      <c r="C1449" s="1" t="n">
        <v>45881</v>
      </c>
      <c r="D1449" t="inlineStr">
        <is>
          <t>VÄSTERNORRLANDS LÄN</t>
        </is>
      </c>
      <c r="E1449" t="inlineStr">
        <is>
          <t>SUNDSVALL</t>
        </is>
      </c>
      <c r="F1449" t="inlineStr">
        <is>
          <t>Kyrkan</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19866-2024</t>
        </is>
      </c>
      <c r="B1450" s="1" t="n">
        <v>45433</v>
      </c>
      <c r="C1450" s="1" t="n">
        <v>45881</v>
      </c>
      <c r="D1450" t="inlineStr">
        <is>
          <t>VÄSTERNORRLANDS LÄN</t>
        </is>
      </c>
      <c r="E1450" t="inlineStr">
        <is>
          <t>SUNDSVALL</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48411-2023</t>
        </is>
      </c>
      <c r="B1451" s="1" t="n">
        <v>45205.92331018519</v>
      </c>
      <c r="C1451" s="1" t="n">
        <v>45881</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6654-2025</t>
        </is>
      </c>
      <c r="B1452" s="1" t="n">
        <v>45700.42748842593</v>
      </c>
      <c r="C1452" s="1" t="n">
        <v>45881</v>
      </c>
      <c r="D1452" t="inlineStr">
        <is>
          <t>VÄSTERNORRLANDS LÄN</t>
        </is>
      </c>
      <c r="E1452" t="inlineStr">
        <is>
          <t>SUNDSVALL</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28961-2022</t>
        </is>
      </c>
      <c r="B1453" s="1" t="n">
        <v>44749</v>
      </c>
      <c r="C1453" s="1" t="n">
        <v>45881</v>
      </c>
      <c r="D1453" t="inlineStr">
        <is>
          <t>VÄSTERNORRLANDS LÄN</t>
        </is>
      </c>
      <c r="E1453" t="inlineStr">
        <is>
          <t>SUNDSVALL</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25154-2025</t>
        </is>
      </c>
      <c r="B1454" s="1" t="n">
        <v>45800.42770833334</v>
      </c>
      <c r="C1454" s="1" t="n">
        <v>45881</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25422-2025</t>
        </is>
      </c>
      <c r="B1455" s="1" t="n">
        <v>45800.69635416667</v>
      </c>
      <c r="C1455" s="1" t="n">
        <v>45881</v>
      </c>
      <c r="D1455" t="inlineStr">
        <is>
          <t>VÄSTERNORRLANDS LÄN</t>
        </is>
      </c>
      <c r="E1455" t="inlineStr">
        <is>
          <t>SUNDSVALL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23423-2022</t>
        </is>
      </c>
      <c r="B1456" s="1" t="n">
        <v>44720</v>
      </c>
      <c r="C1456" s="1" t="n">
        <v>45881</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59213-2023</t>
        </is>
      </c>
      <c r="B1457" s="1" t="n">
        <v>45253.4800462963</v>
      </c>
      <c r="C1457" s="1" t="n">
        <v>45881</v>
      </c>
      <c r="D1457" t="inlineStr">
        <is>
          <t>VÄSTERNORRLANDS LÄN</t>
        </is>
      </c>
      <c r="E1457" t="inlineStr">
        <is>
          <t>SUNDSVALL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21396-2022</t>
        </is>
      </c>
      <c r="B1458" s="1" t="n">
        <v>44705</v>
      </c>
      <c r="C1458" s="1" t="n">
        <v>45881</v>
      </c>
      <c r="D1458" t="inlineStr">
        <is>
          <t>VÄSTERNORRLANDS LÄN</t>
        </is>
      </c>
      <c r="E1458" t="inlineStr">
        <is>
          <t>SUNDSVALL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33584-2025</t>
        </is>
      </c>
      <c r="B1459" s="1" t="n">
        <v>45841.59451388889</v>
      </c>
      <c r="C1459" s="1" t="n">
        <v>45881</v>
      </c>
      <c r="D1459" t="inlineStr">
        <is>
          <t>VÄSTERNORRLANDS LÄN</t>
        </is>
      </c>
      <c r="E1459" t="inlineStr">
        <is>
          <t>SUNDSVALL</t>
        </is>
      </c>
      <c r="F1459" t="inlineStr">
        <is>
          <t>SCA</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27009-2022</t>
        </is>
      </c>
      <c r="B1460" s="1" t="n">
        <v>44740</v>
      </c>
      <c r="C1460" s="1" t="n">
        <v>45881</v>
      </c>
      <c r="D1460" t="inlineStr">
        <is>
          <t>VÄSTERNORRLANDS LÄN</t>
        </is>
      </c>
      <c r="E1460" t="inlineStr">
        <is>
          <t>SUNDSVALL</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36874-2023</t>
        </is>
      </c>
      <c r="B1461" s="1" t="n">
        <v>45154</v>
      </c>
      <c r="C1461" s="1" t="n">
        <v>45881</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23300-2022</t>
        </is>
      </c>
      <c r="B1462" s="1" t="n">
        <v>44720.4637962963</v>
      </c>
      <c r="C1462" s="1" t="n">
        <v>45881</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55768-2023</t>
        </is>
      </c>
      <c r="B1463" s="1" t="n">
        <v>45239.479375</v>
      </c>
      <c r="C1463" s="1" t="n">
        <v>45881</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33934-2025</t>
        </is>
      </c>
      <c r="B1464" s="1" t="n">
        <v>45842.63596064815</v>
      </c>
      <c r="C1464" s="1" t="n">
        <v>45881</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3293-2025</t>
        </is>
      </c>
      <c r="B1465" s="1" t="n">
        <v>45679</v>
      </c>
      <c r="C1465" s="1" t="n">
        <v>45881</v>
      </c>
      <c r="D1465" t="inlineStr">
        <is>
          <t>VÄSTERNORRLANDS LÄN</t>
        </is>
      </c>
      <c r="E1465" t="inlineStr">
        <is>
          <t>SUNDSVALL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21183-2022</t>
        </is>
      </c>
      <c r="B1466" s="1" t="n">
        <v>44704</v>
      </c>
      <c r="C1466" s="1" t="n">
        <v>45881</v>
      </c>
      <c r="D1466" t="inlineStr">
        <is>
          <t>VÄSTERNORRLANDS LÄN</t>
        </is>
      </c>
      <c r="E1466" t="inlineStr">
        <is>
          <t>SUNDSVALL</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25322-2025</t>
        </is>
      </c>
      <c r="B1467" s="1" t="n">
        <v>45800.58721064815</v>
      </c>
      <c r="C1467" s="1" t="n">
        <v>45881</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25329-2025</t>
        </is>
      </c>
      <c r="B1468" s="1" t="n">
        <v>45800.58971064815</v>
      </c>
      <c r="C1468" s="1" t="n">
        <v>45881</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50485-2020</t>
        </is>
      </c>
      <c r="B1469" s="1" t="n">
        <v>44110</v>
      </c>
      <c r="C1469" s="1" t="n">
        <v>45881</v>
      </c>
      <c r="D1469" t="inlineStr">
        <is>
          <t>VÄSTERNORRLANDS LÄN</t>
        </is>
      </c>
      <c r="E1469" t="inlineStr">
        <is>
          <t>SUNDSVALL</t>
        </is>
      </c>
      <c r="F1469" t="inlineStr">
        <is>
          <t>Kommuner</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25722-2025</t>
        </is>
      </c>
      <c r="B1470" s="1" t="n">
        <v>45800</v>
      </c>
      <c r="C1470" s="1" t="n">
        <v>45881</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33606-2025</t>
        </is>
      </c>
      <c r="B1471" s="1" t="n">
        <v>45841.61509259259</v>
      </c>
      <c r="C1471" s="1" t="n">
        <v>45881</v>
      </c>
      <c r="D1471" t="inlineStr">
        <is>
          <t>VÄSTERNORRLANDS LÄN</t>
        </is>
      </c>
      <c r="E1471" t="inlineStr">
        <is>
          <t>SUNDSVALL</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3713-2025</t>
        </is>
      </c>
      <c r="B1472" s="1" t="n">
        <v>45681.51127314815</v>
      </c>
      <c r="C1472" s="1" t="n">
        <v>45881</v>
      </c>
      <c r="D1472" t="inlineStr">
        <is>
          <t>VÄSTERNORRLANDS LÄN</t>
        </is>
      </c>
      <c r="E1472" t="inlineStr">
        <is>
          <t>SUNDSVALL</t>
        </is>
      </c>
      <c r="F1472" t="inlineStr">
        <is>
          <t>SCA</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25153-2025</t>
        </is>
      </c>
      <c r="B1473" s="1" t="n">
        <v>45800.42759259259</v>
      </c>
      <c r="C1473" s="1" t="n">
        <v>45881</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15734-2025</t>
        </is>
      </c>
      <c r="B1474" s="1" t="n">
        <v>45748.53966435185</v>
      </c>
      <c r="C1474" s="1" t="n">
        <v>45881</v>
      </c>
      <c r="D1474" t="inlineStr">
        <is>
          <t>VÄSTERNORRLANDS LÄN</t>
        </is>
      </c>
      <c r="E1474" t="inlineStr">
        <is>
          <t>SUNDSVALL</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20975-2022</t>
        </is>
      </c>
      <c r="B1475" s="1" t="n">
        <v>44701</v>
      </c>
      <c r="C1475" s="1" t="n">
        <v>45881</v>
      </c>
      <c r="D1475" t="inlineStr">
        <is>
          <t>VÄSTERNORRLANDS LÄN</t>
        </is>
      </c>
      <c r="E1475" t="inlineStr">
        <is>
          <t>SUNDSVALL</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34261-2025</t>
        </is>
      </c>
      <c r="B1476" s="1" t="n">
        <v>45845.71960648148</v>
      </c>
      <c r="C1476" s="1" t="n">
        <v>45881</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52651-2021</t>
        </is>
      </c>
      <c r="B1477" s="1" t="n">
        <v>44466.65153935185</v>
      </c>
      <c r="C1477" s="1" t="n">
        <v>45881</v>
      </c>
      <c r="D1477" t="inlineStr">
        <is>
          <t>VÄSTERNORRLANDS LÄN</t>
        </is>
      </c>
      <c r="E1477" t="inlineStr">
        <is>
          <t>SUNDSVALL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25586-2025</t>
        </is>
      </c>
      <c r="B1478" s="1" t="n">
        <v>45803</v>
      </c>
      <c r="C1478" s="1" t="n">
        <v>45881</v>
      </c>
      <c r="D1478" t="inlineStr">
        <is>
          <t>VÄSTERNORRLANDS LÄN</t>
        </is>
      </c>
      <c r="E1478" t="inlineStr">
        <is>
          <t>SUNDSVALL</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34118-2022</t>
        </is>
      </c>
      <c r="B1479" s="1" t="n">
        <v>44791</v>
      </c>
      <c r="C1479" s="1" t="n">
        <v>45881</v>
      </c>
      <c r="D1479" t="inlineStr">
        <is>
          <t>VÄSTERNORRLANDS LÄN</t>
        </is>
      </c>
      <c r="E1479" t="inlineStr">
        <is>
          <t>SUNDSVALL</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48931-2022</t>
        </is>
      </c>
      <c r="B1480" s="1" t="n">
        <v>44859</v>
      </c>
      <c r="C1480" s="1" t="n">
        <v>45881</v>
      </c>
      <c r="D1480" t="inlineStr">
        <is>
          <t>VÄSTERNORRLANDS LÄN</t>
        </is>
      </c>
      <c r="E1480" t="inlineStr">
        <is>
          <t>SUNDSVALL</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30307-2023</t>
        </is>
      </c>
      <c r="B1481" s="1" t="n">
        <v>45110.94157407407</v>
      </c>
      <c r="C1481" s="1" t="n">
        <v>45881</v>
      </c>
      <c r="D1481" t="inlineStr">
        <is>
          <t>VÄSTERNORRLANDS LÄN</t>
        </is>
      </c>
      <c r="E1481" t="inlineStr">
        <is>
          <t>SUNDSVALL</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56647-2024</t>
        </is>
      </c>
      <c r="B1482" s="1" t="n">
        <v>45625.76469907408</v>
      </c>
      <c r="C1482" s="1" t="n">
        <v>45881</v>
      </c>
      <c r="D1482" t="inlineStr">
        <is>
          <t>VÄSTERNORRLANDS LÄN</t>
        </is>
      </c>
      <c r="E1482" t="inlineStr">
        <is>
          <t>SUNDSVALL</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26012-2025</t>
        </is>
      </c>
      <c r="B1483" s="1" t="n">
        <v>45804.67744212963</v>
      </c>
      <c r="C1483" s="1" t="n">
        <v>45881</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34383-2025</t>
        </is>
      </c>
      <c r="B1484" s="1" t="n">
        <v>45846.55236111111</v>
      </c>
      <c r="C1484" s="1" t="n">
        <v>45881</v>
      </c>
      <c r="D1484" t="inlineStr">
        <is>
          <t>VÄSTERNORRLANDS LÄN</t>
        </is>
      </c>
      <c r="E1484" t="inlineStr">
        <is>
          <t>SUNDSVALL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40798-2023</t>
        </is>
      </c>
      <c r="B1485" s="1" t="n">
        <v>45170</v>
      </c>
      <c r="C1485" s="1" t="n">
        <v>45881</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9624-2021</t>
        </is>
      </c>
      <c r="B1486" s="1" t="n">
        <v>44251</v>
      </c>
      <c r="C1486" s="1" t="n">
        <v>45881</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25837-2025</t>
        </is>
      </c>
      <c r="B1487" s="1" t="n">
        <v>45804.44876157407</v>
      </c>
      <c r="C1487" s="1" t="n">
        <v>45881</v>
      </c>
      <c r="D1487" t="inlineStr">
        <is>
          <t>VÄSTERNORRLANDS LÄN</t>
        </is>
      </c>
      <c r="E1487" t="inlineStr">
        <is>
          <t>SUNDSVALL</t>
        </is>
      </c>
      <c r="F1487" t="inlineStr">
        <is>
          <t>Naturvårdsverket</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18245-2024</t>
        </is>
      </c>
      <c r="B1488" s="1" t="n">
        <v>45421</v>
      </c>
      <c r="C1488" s="1" t="n">
        <v>45881</v>
      </c>
      <c r="D1488" t="inlineStr">
        <is>
          <t>VÄSTERNORRLANDS LÄN</t>
        </is>
      </c>
      <c r="E1488" t="inlineStr">
        <is>
          <t>SUNDSVALL</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25869-2025</t>
        </is>
      </c>
      <c r="B1489" s="1" t="n">
        <v>45804.48995370371</v>
      </c>
      <c r="C1489" s="1" t="n">
        <v>45881</v>
      </c>
      <c r="D1489" t="inlineStr">
        <is>
          <t>VÄSTERNORRLANDS LÄN</t>
        </is>
      </c>
      <c r="E1489" t="inlineStr">
        <is>
          <t>SUNDSVALL</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47897-2022</t>
        </is>
      </c>
      <c r="B1490" s="1" t="n">
        <v>44855</v>
      </c>
      <c r="C1490" s="1" t="n">
        <v>45881</v>
      </c>
      <c r="D1490" t="inlineStr">
        <is>
          <t>VÄSTERNORRLANDS LÄN</t>
        </is>
      </c>
      <c r="E1490" t="inlineStr">
        <is>
          <t>SUNDSVALL</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974-2025</t>
        </is>
      </c>
      <c r="B1491" s="1" t="n">
        <v>45666.40663194445</v>
      </c>
      <c r="C1491" s="1" t="n">
        <v>45881</v>
      </c>
      <c r="D1491" t="inlineStr">
        <is>
          <t>VÄSTERNORRLANDS LÄN</t>
        </is>
      </c>
      <c r="E1491" t="inlineStr">
        <is>
          <t>SUNDSVALL</t>
        </is>
      </c>
      <c r="F1491" t="inlineStr">
        <is>
          <t>SCA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25873-2025</t>
        </is>
      </c>
      <c r="B1492" s="1" t="n">
        <v>45804.49041666667</v>
      </c>
      <c r="C1492" s="1" t="n">
        <v>45881</v>
      </c>
      <c r="D1492" t="inlineStr">
        <is>
          <t>VÄSTERNORRLANDS LÄN</t>
        </is>
      </c>
      <c r="E1492" t="inlineStr">
        <is>
          <t>SUNDSVALL</t>
        </is>
      </c>
      <c r="F1492" t="inlineStr">
        <is>
          <t>Naturvårdsverket</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34389-2025</t>
        </is>
      </c>
      <c r="B1493" s="1" t="n">
        <v>45846.57326388889</v>
      </c>
      <c r="C1493" s="1" t="n">
        <v>45881</v>
      </c>
      <c r="D1493" t="inlineStr">
        <is>
          <t>VÄSTERNORRLANDS LÄN</t>
        </is>
      </c>
      <c r="E1493" t="inlineStr">
        <is>
          <t>SUNDSVALL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44272-2023</t>
        </is>
      </c>
      <c r="B1494" s="1" t="n">
        <v>45188</v>
      </c>
      <c r="C1494" s="1" t="n">
        <v>45881</v>
      </c>
      <c r="D1494" t="inlineStr">
        <is>
          <t>VÄSTERNORRLANDS LÄN</t>
        </is>
      </c>
      <c r="E1494" t="inlineStr">
        <is>
          <t>SUNDSVALL</t>
        </is>
      </c>
      <c r="F1494" t="inlineStr">
        <is>
          <t>Holmen skog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46159-2024</t>
        </is>
      </c>
      <c r="B1495" s="1" t="n">
        <v>45581</v>
      </c>
      <c r="C1495" s="1" t="n">
        <v>45881</v>
      </c>
      <c r="D1495" t="inlineStr">
        <is>
          <t>VÄSTERNORRLANDS LÄN</t>
        </is>
      </c>
      <c r="E1495" t="inlineStr">
        <is>
          <t>SUNDSVALL</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25834-2025</t>
        </is>
      </c>
      <c r="B1496" s="1" t="n">
        <v>45804.44841435185</v>
      </c>
      <c r="C1496" s="1" t="n">
        <v>45881</v>
      </c>
      <c r="D1496" t="inlineStr">
        <is>
          <t>VÄSTERNORRLANDS LÄN</t>
        </is>
      </c>
      <c r="E1496" t="inlineStr">
        <is>
          <t>SUNDSVALL</t>
        </is>
      </c>
      <c r="F1496" t="inlineStr">
        <is>
          <t>Naturvårdsverket</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25836-2025</t>
        </is>
      </c>
      <c r="B1497" s="1" t="n">
        <v>45804.44865740741</v>
      </c>
      <c r="C1497" s="1" t="n">
        <v>45881</v>
      </c>
      <c r="D1497" t="inlineStr">
        <is>
          <t>VÄSTERNORRLANDS LÄN</t>
        </is>
      </c>
      <c r="E1497" t="inlineStr">
        <is>
          <t>SUNDSVALL</t>
        </is>
      </c>
      <c r="F1497" t="inlineStr">
        <is>
          <t>Naturvårdsverket</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26021-2025</t>
        </is>
      </c>
      <c r="B1498" s="1" t="n">
        <v>45804.67821759259</v>
      </c>
      <c r="C1498" s="1" t="n">
        <v>45881</v>
      </c>
      <c r="D1498" t="inlineStr">
        <is>
          <t>VÄSTERNORRLANDS LÄN</t>
        </is>
      </c>
      <c r="E1498" t="inlineStr">
        <is>
          <t>SUNDSVALL</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34668-2025</t>
        </is>
      </c>
      <c r="B1499" s="1" t="n">
        <v>45848.38586805556</v>
      </c>
      <c r="C1499" s="1" t="n">
        <v>45881</v>
      </c>
      <c r="D1499" t="inlineStr">
        <is>
          <t>VÄSTERNORRLANDS LÄN</t>
        </is>
      </c>
      <c r="E1499" t="inlineStr">
        <is>
          <t>SUNDSVALL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20734-2022</t>
        </is>
      </c>
      <c r="B1500" s="1" t="n">
        <v>44700.94622685185</v>
      </c>
      <c r="C1500" s="1" t="n">
        <v>45881</v>
      </c>
      <c r="D1500" t="inlineStr">
        <is>
          <t>VÄSTERNORRLANDS LÄN</t>
        </is>
      </c>
      <c r="E1500" t="inlineStr">
        <is>
          <t>SUNDSVALL</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26317-2025</t>
        </is>
      </c>
      <c r="B1501" s="1" t="n">
        <v>45805.65710648148</v>
      </c>
      <c r="C1501" s="1" t="n">
        <v>45881</v>
      </c>
      <c r="D1501" t="inlineStr">
        <is>
          <t>VÄSTERNORRLANDS LÄN</t>
        </is>
      </c>
      <c r="E1501" t="inlineStr">
        <is>
          <t>SUNDSVALL</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51103-2023</t>
        </is>
      </c>
      <c r="B1502" s="1" t="n">
        <v>45218.92510416666</v>
      </c>
      <c r="C1502" s="1" t="n">
        <v>45881</v>
      </c>
      <c r="D1502" t="inlineStr">
        <is>
          <t>VÄSTERNORRLANDS LÄN</t>
        </is>
      </c>
      <c r="E1502" t="inlineStr">
        <is>
          <t>SUNDSVALL</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51104-2023</t>
        </is>
      </c>
      <c r="B1503" s="1" t="n">
        <v>45218</v>
      </c>
      <c r="C1503" s="1" t="n">
        <v>45881</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3696-2025</t>
        </is>
      </c>
      <c r="B1504" s="1" t="n">
        <v>45681</v>
      </c>
      <c r="C1504" s="1" t="n">
        <v>45881</v>
      </c>
      <c r="D1504" t="inlineStr">
        <is>
          <t>VÄSTERNORRLANDS LÄN</t>
        </is>
      </c>
      <c r="E1504" t="inlineStr">
        <is>
          <t>SUNDSVALL</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26114-2025</t>
        </is>
      </c>
      <c r="B1505" s="1" t="n">
        <v>45805</v>
      </c>
      <c r="C1505" s="1" t="n">
        <v>45881</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41804-2022</t>
        </is>
      </c>
      <c r="B1506" s="1" t="n">
        <v>44827</v>
      </c>
      <c r="C1506" s="1" t="n">
        <v>45881</v>
      </c>
      <c r="D1506" t="inlineStr">
        <is>
          <t>VÄSTERNORRLANDS LÄN</t>
        </is>
      </c>
      <c r="E1506" t="inlineStr">
        <is>
          <t>SUNDSVALL</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26313-2025</t>
        </is>
      </c>
      <c r="B1507" s="1" t="n">
        <v>45805.65674768519</v>
      </c>
      <c r="C1507" s="1" t="n">
        <v>45881</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26337-2025</t>
        </is>
      </c>
      <c r="B1508" s="1" t="n">
        <v>45805.69826388889</v>
      </c>
      <c r="C1508" s="1" t="n">
        <v>45881</v>
      </c>
      <c r="D1508" t="inlineStr">
        <is>
          <t>VÄSTERNORRLANDS LÄN</t>
        </is>
      </c>
      <c r="E1508" t="inlineStr">
        <is>
          <t>SUNDSVALL</t>
        </is>
      </c>
      <c r="F1508" t="inlineStr">
        <is>
          <t>Naturvårdsverket</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39276-2023</t>
        </is>
      </c>
      <c r="B1509" s="1" t="n">
        <v>45166.50868055555</v>
      </c>
      <c r="C1509" s="1" t="n">
        <v>45881</v>
      </c>
      <c r="D1509" t="inlineStr">
        <is>
          <t>VÄSTERNORRLANDS LÄN</t>
        </is>
      </c>
      <c r="E1509" t="inlineStr">
        <is>
          <t>SUNDSVALL</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21182-2022</t>
        </is>
      </c>
      <c r="B1510" s="1" t="n">
        <v>44704</v>
      </c>
      <c r="C1510" s="1" t="n">
        <v>45881</v>
      </c>
      <c r="D1510" t="inlineStr">
        <is>
          <t>VÄSTERNORRLANDS LÄN</t>
        </is>
      </c>
      <c r="E1510" t="inlineStr">
        <is>
          <t>SUNDSVALL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40428-2023</t>
        </is>
      </c>
      <c r="B1511" s="1" t="n">
        <v>45169</v>
      </c>
      <c r="C1511" s="1" t="n">
        <v>45881</v>
      </c>
      <c r="D1511" t="inlineStr">
        <is>
          <t>VÄSTERNORRLANDS LÄN</t>
        </is>
      </c>
      <c r="E1511" t="inlineStr">
        <is>
          <t>SUNDSVALL</t>
        </is>
      </c>
      <c r="F1511" t="inlineStr">
        <is>
          <t>SCA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26390-2025</t>
        </is>
      </c>
      <c r="B1512" s="1" t="n">
        <v>45806.5733912037</v>
      </c>
      <c r="C1512" s="1" t="n">
        <v>45881</v>
      </c>
      <c r="D1512" t="inlineStr">
        <is>
          <t>VÄSTERNORRLANDS LÄN</t>
        </is>
      </c>
      <c r="E1512" t="inlineStr">
        <is>
          <t>SUNDSVALL</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54639-2023</t>
        </is>
      </c>
      <c r="B1513" s="1" t="n">
        <v>45234.92658564815</v>
      </c>
      <c r="C1513" s="1" t="n">
        <v>45881</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9385-2022</t>
        </is>
      </c>
      <c r="B1514" s="1" t="n">
        <v>44616.63796296297</v>
      </c>
      <c r="C1514" s="1" t="n">
        <v>45881</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26343-2025</t>
        </is>
      </c>
      <c r="B1515" s="1" t="n">
        <v>45805.71907407408</v>
      </c>
      <c r="C1515" s="1" t="n">
        <v>45881</v>
      </c>
      <c r="D1515" t="inlineStr">
        <is>
          <t>VÄSTERNORRLANDS LÄN</t>
        </is>
      </c>
      <c r="E1515" t="inlineStr">
        <is>
          <t>SUNDSVALL</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26340-2025</t>
        </is>
      </c>
      <c r="B1516" s="1" t="n">
        <v>45805.69868055556</v>
      </c>
      <c r="C1516" s="1" t="n">
        <v>45881</v>
      </c>
      <c r="D1516" t="inlineStr">
        <is>
          <t>VÄSTERNORRLANDS LÄN</t>
        </is>
      </c>
      <c r="E1516" t="inlineStr">
        <is>
          <t>SUNDSVALL</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35484-2022</t>
        </is>
      </c>
      <c r="B1517" s="1" t="n">
        <v>44798.92724537037</v>
      </c>
      <c r="C1517" s="1" t="n">
        <v>45881</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26296-2025</t>
        </is>
      </c>
      <c r="B1518" s="1" t="n">
        <v>45805.6360300926</v>
      </c>
      <c r="C1518" s="1" t="n">
        <v>45881</v>
      </c>
      <c r="D1518" t="inlineStr">
        <is>
          <t>VÄSTERNORRLANDS LÄN</t>
        </is>
      </c>
      <c r="E1518" t="inlineStr">
        <is>
          <t>SUNDSVALL</t>
        </is>
      </c>
      <c r="F1518" t="inlineStr">
        <is>
          <t>SCA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41586-2023</t>
        </is>
      </c>
      <c r="B1519" s="1" t="n">
        <v>45175</v>
      </c>
      <c r="C1519" s="1" t="n">
        <v>45881</v>
      </c>
      <c r="D1519" t="inlineStr">
        <is>
          <t>VÄSTERNORRLANDS LÄN</t>
        </is>
      </c>
      <c r="E1519" t="inlineStr">
        <is>
          <t>SUNDSVALL</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13296-2025</t>
        </is>
      </c>
      <c r="B1520" s="1" t="n">
        <v>45735.57365740741</v>
      </c>
      <c r="C1520" s="1" t="n">
        <v>45881</v>
      </c>
      <c r="D1520" t="inlineStr">
        <is>
          <t>VÄSTERNORRLANDS LÄN</t>
        </is>
      </c>
      <c r="E1520" t="inlineStr">
        <is>
          <t>SUNDSVALL</t>
        </is>
      </c>
      <c r="F1520" t="inlineStr">
        <is>
          <t>SCA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54989-2023</t>
        </is>
      </c>
      <c r="B1521" s="1" t="n">
        <v>45236</v>
      </c>
      <c r="C1521" s="1" t="n">
        <v>45881</v>
      </c>
      <c r="D1521" t="inlineStr">
        <is>
          <t>VÄSTERNORRLANDS LÄN</t>
        </is>
      </c>
      <c r="E1521" t="inlineStr">
        <is>
          <t>SUNDSVALL</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18217-2025</t>
        </is>
      </c>
      <c r="B1522" s="1" t="n">
        <v>45761.71212962963</v>
      </c>
      <c r="C1522" s="1" t="n">
        <v>45881</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7427-2025</t>
        </is>
      </c>
      <c r="B1523" s="1" t="n">
        <v>45705</v>
      </c>
      <c r="C1523" s="1" t="n">
        <v>45881</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26746-2025</t>
        </is>
      </c>
      <c r="B1524" s="1" t="n">
        <v>45810</v>
      </c>
      <c r="C1524" s="1" t="n">
        <v>45881</v>
      </c>
      <c r="D1524" t="inlineStr">
        <is>
          <t>VÄSTERNORRLANDS LÄN</t>
        </is>
      </c>
      <c r="E1524" t="inlineStr">
        <is>
          <t>SUNDSVALL</t>
        </is>
      </c>
      <c r="G1524" t="n">
        <v>23.1</v>
      </c>
      <c r="H1524" t="n">
        <v>0</v>
      </c>
      <c r="I1524" t="n">
        <v>0</v>
      </c>
      <c r="J1524" t="n">
        <v>0</v>
      </c>
      <c r="K1524" t="n">
        <v>0</v>
      </c>
      <c r="L1524" t="n">
        <v>0</v>
      </c>
      <c r="M1524" t="n">
        <v>0</v>
      </c>
      <c r="N1524" t="n">
        <v>0</v>
      </c>
      <c r="O1524" t="n">
        <v>0</v>
      </c>
      <c r="P1524" t="n">
        <v>0</v>
      </c>
      <c r="Q1524" t="n">
        <v>0</v>
      </c>
      <c r="R1524" s="2" t="inlineStr"/>
    </row>
    <row r="1525" ht="15" customHeight="1">
      <c r="A1525" t="inlineStr">
        <is>
          <t>A 40044-2024</t>
        </is>
      </c>
      <c r="B1525" s="1" t="n">
        <v>45553.75064814815</v>
      </c>
      <c r="C1525" s="1" t="n">
        <v>45881</v>
      </c>
      <c r="D1525" t="inlineStr">
        <is>
          <t>VÄSTERNORRLANDS LÄN</t>
        </is>
      </c>
      <c r="E1525" t="inlineStr">
        <is>
          <t>SUNDSVALL</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19896-2023</t>
        </is>
      </c>
      <c r="B1526" s="1" t="n">
        <v>45054</v>
      </c>
      <c r="C1526" s="1" t="n">
        <v>45881</v>
      </c>
      <c r="D1526" t="inlineStr">
        <is>
          <t>VÄSTERNORRLANDS LÄN</t>
        </is>
      </c>
      <c r="E1526" t="inlineStr">
        <is>
          <t>SUNDSVALL</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8796-2025</t>
        </is>
      </c>
      <c r="B1527" s="1" t="n">
        <v>45712.64783564815</v>
      </c>
      <c r="C1527" s="1" t="n">
        <v>45881</v>
      </c>
      <c r="D1527" t="inlineStr">
        <is>
          <t>VÄSTERNORRLANDS LÄN</t>
        </is>
      </c>
      <c r="E1527" t="inlineStr">
        <is>
          <t>SUNDSVALL</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38888-2022</t>
        </is>
      </c>
      <c r="B1528" s="1" t="n">
        <v>44816</v>
      </c>
      <c r="C1528" s="1" t="n">
        <v>45881</v>
      </c>
      <c r="D1528" t="inlineStr">
        <is>
          <t>VÄSTERNORRLANDS LÄN</t>
        </is>
      </c>
      <c r="E1528" t="inlineStr">
        <is>
          <t>SUNDSVALL</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255-2024</t>
        </is>
      </c>
      <c r="B1529" s="1" t="n">
        <v>45294.97679398148</v>
      </c>
      <c r="C1529" s="1" t="n">
        <v>45881</v>
      </c>
      <c r="D1529" t="inlineStr">
        <is>
          <t>VÄSTERNORRLANDS LÄN</t>
        </is>
      </c>
      <c r="E1529" t="inlineStr">
        <is>
          <t>SUNDSVALL</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26575-2025</t>
        </is>
      </c>
      <c r="B1530" s="1" t="n">
        <v>45807.68700231481</v>
      </c>
      <c r="C1530" s="1" t="n">
        <v>45881</v>
      </c>
      <c r="D1530" t="inlineStr">
        <is>
          <t>VÄSTERNORRLANDS LÄN</t>
        </is>
      </c>
      <c r="E1530" t="inlineStr">
        <is>
          <t>SUNDSVALL</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54477-2024</t>
        </is>
      </c>
      <c r="B1531" s="1" t="n">
        <v>45617.55256944444</v>
      </c>
      <c r="C1531" s="1" t="n">
        <v>45881</v>
      </c>
      <c r="D1531" t="inlineStr">
        <is>
          <t>VÄSTERNORRLANDS LÄN</t>
        </is>
      </c>
      <c r="E1531" t="inlineStr">
        <is>
          <t>SUNDSVALL</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59296-2022</t>
        </is>
      </c>
      <c r="B1532" s="1" t="n">
        <v>44904.61346064815</v>
      </c>
      <c r="C1532" s="1" t="n">
        <v>45881</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26429-2025</t>
        </is>
      </c>
      <c r="B1533" s="1" t="n">
        <v>45807.38607638889</v>
      </c>
      <c r="C1533" s="1" t="n">
        <v>45881</v>
      </c>
      <c r="D1533" t="inlineStr">
        <is>
          <t>VÄSTERNORRLANDS LÄN</t>
        </is>
      </c>
      <c r="E1533" t="inlineStr">
        <is>
          <t>SUNDSVALL</t>
        </is>
      </c>
      <c r="F1533" t="inlineStr">
        <is>
          <t>Naturvårdsverket</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26430-2025</t>
        </is>
      </c>
      <c r="B1534" s="1" t="n">
        <v>45807.38619212963</v>
      </c>
      <c r="C1534" s="1" t="n">
        <v>45881</v>
      </c>
      <c r="D1534" t="inlineStr">
        <is>
          <t>VÄSTERNORRLANDS LÄN</t>
        </is>
      </c>
      <c r="E1534" t="inlineStr">
        <is>
          <t>SUNDSVALL</t>
        </is>
      </c>
      <c r="F1534" t="inlineStr">
        <is>
          <t>SCA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26459-2025</t>
        </is>
      </c>
      <c r="B1535" s="1" t="n">
        <v>45807.43045138889</v>
      </c>
      <c r="C1535" s="1" t="n">
        <v>45881</v>
      </c>
      <c r="D1535" t="inlineStr">
        <is>
          <t>VÄSTERNORRLANDS LÄN</t>
        </is>
      </c>
      <c r="E1535" t="inlineStr">
        <is>
          <t>SUNDSVALL</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53674-2023</t>
        </is>
      </c>
      <c r="B1536" s="1" t="n">
        <v>45224</v>
      </c>
      <c r="C1536" s="1" t="n">
        <v>45881</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26835-2025</t>
        </is>
      </c>
      <c r="B1537" s="1" t="n">
        <v>45810.65728009259</v>
      </c>
      <c r="C1537" s="1" t="n">
        <v>45881</v>
      </c>
      <c r="D1537" t="inlineStr">
        <is>
          <t>VÄSTERNORRLANDS LÄN</t>
        </is>
      </c>
      <c r="E1537" t="inlineStr">
        <is>
          <t>SUNDSVALL</t>
        </is>
      </c>
      <c r="F1537" t="inlineStr">
        <is>
          <t>SCA</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26836-2025</t>
        </is>
      </c>
      <c r="B1538" s="1" t="n">
        <v>45810.65738425926</v>
      </c>
      <c r="C1538" s="1" t="n">
        <v>45881</v>
      </c>
      <c r="D1538" t="inlineStr">
        <is>
          <t>VÄSTERNORRLANDS LÄN</t>
        </is>
      </c>
      <c r="E1538" t="inlineStr">
        <is>
          <t>SUNDSVALL</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26831-2025</t>
        </is>
      </c>
      <c r="B1539" s="1" t="n">
        <v>45810.65674768519</v>
      </c>
      <c r="C1539" s="1" t="n">
        <v>45881</v>
      </c>
      <c r="D1539" t="inlineStr">
        <is>
          <t>VÄSTERNORRLANDS LÄN</t>
        </is>
      </c>
      <c r="E1539" t="inlineStr">
        <is>
          <t>SUNDSVALL</t>
        </is>
      </c>
      <c r="F1539" t="inlineStr">
        <is>
          <t>SCA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50325-2024</t>
        </is>
      </c>
      <c r="B1540" s="1" t="n">
        <v>45600</v>
      </c>
      <c r="C1540" s="1" t="n">
        <v>45881</v>
      </c>
      <c r="D1540" t="inlineStr">
        <is>
          <t>VÄSTERNORRLANDS LÄN</t>
        </is>
      </c>
      <c r="E1540" t="inlineStr">
        <is>
          <t>SUNDSVALL</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35120-2025</t>
        </is>
      </c>
      <c r="B1541" s="1" t="n">
        <v>45852</v>
      </c>
      <c r="C1541" s="1" t="n">
        <v>45881</v>
      </c>
      <c r="D1541" t="inlineStr">
        <is>
          <t>VÄSTERNORRLANDS LÄN</t>
        </is>
      </c>
      <c r="E1541" t="inlineStr">
        <is>
          <t>SUNDSVALL</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26408-2025</t>
        </is>
      </c>
      <c r="B1542" s="1" t="n">
        <v>45807.34425925926</v>
      </c>
      <c r="C1542" s="1" t="n">
        <v>45881</v>
      </c>
      <c r="D1542" t="inlineStr">
        <is>
          <t>VÄSTERNORRLANDS LÄN</t>
        </is>
      </c>
      <c r="E1542" t="inlineStr">
        <is>
          <t>SUNDSVALL</t>
        </is>
      </c>
      <c r="F1542" t="inlineStr">
        <is>
          <t>Naturvårdsverket</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23513-2023</t>
        </is>
      </c>
      <c r="B1543" s="1" t="n">
        <v>45076</v>
      </c>
      <c r="C1543" s="1" t="n">
        <v>45881</v>
      </c>
      <c r="D1543" t="inlineStr">
        <is>
          <t>VÄSTERNORRLANDS LÄN</t>
        </is>
      </c>
      <c r="E1543" t="inlineStr">
        <is>
          <t>SUNDSVALL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26428-2025</t>
        </is>
      </c>
      <c r="B1544" s="1" t="n">
        <v>45807.38597222222</v>
      </c>
      <c r="C1544" s="1" t="n">
        <v>45881</v>
      </c>
      <c r="D1544" t="inlineStr">
        <is>
          <t>VÄSTERNORRLANDS LÄN</t>
        </is>
      </c>
      <c r="E1544" t="inlineStr">
        <is>
          <t>SUNDSVALL</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35318-2021</t>
        </is>
      </c>
      <c r="B1545" s="1" t="n">
        <v>44384</v>
      </c>
      <c r="C1545" s="1" t="n">
        <v>45881</v>
      </c>
      <c r="D1545" t="inlineStr">
        <is>
          <t>VÄSTERNORRLANDS LÄN</t>
        </is>
      </c>
      <c r="E1545" t="inlineStr">
        <is>
          <t>SUNDSVALL</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51108-2023</t>
        </is>
      </c>
      <c r="B1546" s="1" t="n">
        <v>45218</v>
      </c>
      <c r="C1546" s="1" t="n">
        <v>45881</v>
      </c>
      <c r="D1546" t="inlineStr">
        <is>
          <t>VÄSTERNORRLANDS LÄN</t>
        </is>
      </c>
      <c r="E1546" t="inlineStr">
        <is>
          <t>SUNDSVALL</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51109-2023</t>
        </is>
      </c>
      <c r="B1547" s="1" t="n">
        <v>45218.96215277778</v>
      </c>
      <c r="C1547" s="1" t="n">
        <v>45881</v>
      </c>
      <c r="D1547" t="inlineStr">
        <is>
          <t>VÄSTERNORRLANDS LÄN</t>
        </is>
      </c>
      <c r="E1547" t="inlineStr">
        <is>
          <t>SUNDSVALL</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58773-2023</t>
        </is>
      </c>
      <c r="B1548" s="1" t="n">
        <v>45251.9671875</v>
      </c>
      <c r="C1548" s="1" t="n">
        <v>45881</v>
      </c>
      <c r="D1548" t="inlineStr">
        <is>
          <t>VÄSTERNORRLANDS LÄN</t>
        </is>
      </c>
      <c r="E1548" t="inlineStr">
        <is>
          <t>SUNDSVALL</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21776-2023</t>
        </is>
      </c>
      <c r="B1549" s="1" t="n">
        <v>45065.9264699074</v>
      </c>
      <c r="C1549" s="1" t="n">
        <v>45881</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26250-2024</t>
        </is>
      </c>
      <c r="B1550" s="1" t="n">
        <v>45468.64174768519</v>
      </c>
      <c r="C1550" s="1" t="n">
        <v>45881</v>
      </c>
      <c r="D1550" t="inlineStr">
        <is>
          <t>VÄSTERNORRLANDS LÄN</t>
        </is>
      </c>
      <c r="E1550" t="inlineStr">
        <is>
          <t>SUNDSVALL</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11263-2025</t>
        </is>
      </c>
      <c r="B1551" s="1" t="n">
        <v>45726</v>
      </c>
      <c r="C1551" s="1" t="n">
        <v>45881</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4635-2024</t>
        </is>
      </c>
      <c r="B1552" s="1" t="n">
        <v>45328</v>
      </c>
      <c r="C1552" s="1" t="n">
        <v>45881</v>
      </c>
      <c r="D1552" t="inlineStr">
        <is>
          <t>VÄSTERNORRLANDS LÄN</t>
        </is>
      </c>
      <c r="E1552" t="inlineStr">
        <is>
          <t>SUNDSVALL</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26407-2025</t>
        </is>
      </c>
      <c r="B1553" s="1" t="n">
        <v>45807.34410879629</v>
      </c>
      <c r="C1553" s="1" t="n">
        <v>45881</v>
      </c>
      <c r="D1553" t="inlineStr">
        <is>
          <t>VÄSTERNORRLANDS LÄN</t>
        </is>
      </c>
      <c r="E1553" t="inlineStr">
        <is>
          <t>SUNDSVALL</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26427-2025</t>
        </is>
      </c>
      <c r="B1554" s="1" t="n">
        <v>45807.38585648148</v>
      </c>
      <c r="C1554" s="1" t="n">
        <v>45881</v>
      </c>
      <c r="D1554" t="inlineStr">
        <is>
          <t>VÄSTERNORRLANDS LÄN</t>
        </is>
      </c>
      <c r="E1554" t="inlineStr">
        <is>
          <t>SUNDSVALL</t>
        </is>
      </c>
      <c r="F1554" t="inlineStr">
        <is>
          <t>Naturvårdsverket</t>
        </is>
      </c>
      <c r="G1554" t="n">
        <v>16.6</v>
      </c>
      <c r="H1554" t="n">
        <v>0</v>
      </c>
      <c r="I1554" t="n">
        <v>0</v>
      </c>
      <c r="J1554" t="n">
        <v>0</v>
      </c>
      <c r="K1554" t="n">
        <v>0</v>
      </c>
      <c r="L1554" t="n">
        <v>0</v>
      </c>
      <c r="M1554" t="n">
        <v>0</v>
      </c>
      <c r="N1554" t="n">
        <v>0</v>
      </c>
      <c r="O1554" t="n">
        <v>0</v>
      </c>
      <c r="P1554" t="n">
        <v>0</v>
      </c>
      <c r="Q1554" t="n">
        <v>0</v>
      </c>
      <c r="R1554" s="2" t="inlineStr"/>
    </row>
    <row r="1555" ht="15" customHeight="1">
      <c r="A1555" t="inlineStr">
        <is>
          <t>A 27046-2025</t>
        </is>
      </c>
      <c r="B1555" s="1" t="n">
        <v>45811.61524305555</v>
      </c>
      <c r="C1555" s="1" t="n">
        <v>45881</v>
      </c>
      <c r="D1555" t="inlineStr">
        <is>
          <t>VÄSTERNORRLANDS LÄN</t>
        </is>
      </c>
      <c r="E1555" t="inlineStr">
        <is>
          <t>SUNDSVALL</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19184-2025</t>
        </is>
      </c>
      <c r="B1556" s="1" t="n">
        <v>45769</v>
      </c>
      <c r="C1556" s="1" t="n">
        <v>45881</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27340-2025</t>
        </is>
      </c>
      <c r="B1557" s="1" t="n">
        <v>45812.61524305555</v>
      </c>
      <c r="C1557" s="1" t="n">
        <v>45881</v>
      </c>
      <c r="D1557" t="inlineStr">
        <is>
          <t>VÄSTERNORRLANDS LÄN</t>
        </is>
      </c>
      <c r="E1557" t="inlineStr">
        <is>
          <t>SUNDSVALL</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19092-2025</t>
        </is>
      </c>
      <c r="B1558" s="1" t="n">
        <v>45767</v>
      </c>
      <c r="C1558" s="1" t="n">
        <v>45881</v>
      </c>
      <c r="D1558" t="inlineStr">
        <is>
          <t>VÄSTERNORRLANDS LÄN</t>
        </is>
      </c>
      <c r="E1558" t="inlineStr">
        <is>
          <t>SUNDSVALL</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45000-2023</t>
        </is>
      </c>
      <c r="B1559" s="1" t="n">
        <v>45190.95990740741</v>
      </c>
      <c r="C1559" s="1" t="n">
        <v>45881</v>
      </c>
      <c r="D1559" t="inlineStr">
        <is>
          <t>VÄSTERNORRLANDS LÄN</t>
        </is>
      </c>
      <c r="E1559" t="inlineStr">
        <is>
          <t>SUNDSVALL</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45001-2023</t>
        </is>
      </c>
      <c r="B1560" s="1" t="n">
        <v>45190.95998842592</v>
      </c>
      <c r="C1560" s="1" t="n">
        <v>45881</v>
      </c>
      <c r="D1560" t="inlineStr">
        <is>
          <t>VÄSTERNORRLANDS LÄN</t>
        </is>
      </c>
      <c r="E1560" t="inlineStr">
        <is>
          <t>SUNDSVALL</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4815-2025</t>
        </is>
      </c>
      <c r="B1561" s="1" t="n">
        <v>45688</v>
      </c>
      <c r="C1561" s="1" t="n">
        <v>45881</v>
      </c>
      <c r="D1561" t="inlineStr">
        <is>
          <t>VÄSTERNORRLANDS LÄN</t>
        </is>
      </c>
      <c r="E1561" t="inlineStr">
        <is>
          <t>SUNDSVALL</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4933-2025</t>
        </is>
      </c>
      <c r="B1562" s="1" t="n">
        <v>45688.68486111111</v>
      </c>
      <c r="C1562" s="1" t="n">
        <v>45881</v>
      </c>
      <c r="D1562" t="inlineStr">
        <is>
          <t>VÄSTERNORRLANDS LÄN</t>
        </is>
      </c>
      <c r="E1562" t="inlineStr">
        <is>
          <t>SUNDSVALL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17592-2025</t>
        </is>
      </c>
      <c r="B1563" s="1" t="n">
        <v>45757.69828703703</v>
      </c>
      <c r="C1563" s="1" t="n">
        <v>45881</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56015-2024</t>
        </is>
      </c>
      <c r="B1564" s="1" t="n">
        <v>45623.87550925926</v>
      </c>
      <c r="C1564" s="1" t="n">
        <v>45881</v>
      </c>
      <c r="D1564" t="inlineStr">
        <is>
          <t>VÄSTERNORRLANDS LÄN</t>
        </is>
      </c>
      <c r="E1564" t="inlineStr">
        <is>
          <t>SUNDSVALL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18113-2025</t>
        </is>
      </c>
      <c r="B1565" s="1" t="n">
        <v>45761.57361111111</v>
      </c>
      <c r="C1565" s="1" t="n">
        <v>45881</v>
      </c>
      <c r="D1565" t="inlineStr">
        <is>
          <t>VÄSTERNORRLANDS LÄN</t>
        </is>
      </c>
      <c r="E1565" t="inlineStr">
        <is>
          <t>SUNDSVALL</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27169-2025</t>
        </is>
      </c>
      <c r="B1566" s="1" t="n">
        <v>45812.34481481482</v>
      </c>
      <c r="C1566" s="1" t="n">
        <v>45881</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27096-2025</t>
        </is>
      </c>
      <c r="B1567" s="1" t="n">
        <v>45811.67756944444</v>
      </c>
      <c r="C1567" s="1" t="n">
        <v>45881</v>
      </c>
      <c r="D1567" t="inlineStr">
        <is>
          <t>VÄSTERNORRLANDS LÄN</t>
        </is>
      </c>
      <c r="E1567" t="inlineStr">
        <is>
          <t>SUNDSVALL</t>
        </is>
      </c>
      <c r="F1567" t="inlineStr">
        <is>
          <t>Naturvårdsverket</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57875-2024</t>
        </is>
      </c>
      <c r="B1568" s="1" t="n">
        <v>45631.44851851852</v>
      </c>
      <c r="C1568" s="1" t="n">
        <v>45881</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27210-2025</t>
        </is>
      </c>
      <c r="B1569" s="1" t="n">
        <v>45812.40680555555</v>
      </c>
      <c r="C1569" s="1" t="n">
        <v>45881</v>
      </c>
      <c r="D1569" t="inlineStr">
        <is>
          <t>VÄSTERNORRLANDS LÄN</t>
        </is>
      </c>
      <c r="E1569" t="inlineStr">
        <is>
          <t>SUNDSVALL</t>
        </is>
      </c>
      <c r="F1569" t="inlineStr">
        <is>
          <t>SCA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50763-2023</t>
        </is>
      </c>
      <c r="B1570" s="1" t="n">
        <v>45210</v>
      </c>
      <c r="C1570" s="1" t="n">
        <v>45881</v>
      </c>
      <c r="D1570" t="inlineStr">
        <is>
          <t>VÄSTERNORRLANDS LÄN</t>
        </is>
      </c>
      <c r="E1570" t="inlineStr">
        <is>
          <t>SUNDSVALL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16404-2025</t>
        </is>
      </c>
      <c r="B1571" s="1" t="n">
        <v>45751</v>
      </c>
      <c r="C1571" s="1" t="n">
        <v>45881</v>
      </c>
      <c r="D1571" t="inlineStr">
        <is>
          <t>VÄSTERNORRLANDS LÄN</t>
        </is>
      </c>
      <c r="E1571" t="inlineStr">
        <is>
          <t>SUNDSVALL</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27095-2025</t>
        </is>
      </c>
      <c r="B1572" s="1" t="n">
        <v>45811.67743055556</v>
      </c>
      <c r="C1572" s="1" t="n">
        <v>45881</v>
      </c>
      <c r="D1572" t="inlineStr">
        <is>
          <t>VÄSTERNORRLANDS LÄN</t>
        </is>
      </c>
      <c r="E1572" t="inlineStr">
        <is>
          <t>SUNDSVALL</t>
        </is>
      </c>
      <c r="F1572" t="inlineStr">
        <is>
          <t>Naturvårdsverket</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27065-2025</t>
        </is>
      </c>
      <c r="B1573" s="1" t="n">
        <v>45811.63635416667</v>
      </c>
      <c r="C1573" s="1" t="n">
        <v>45881</v>
      </c>
      <c r="D1573" t="inlineStr">
        <is>
          <t>VÄSTERNORRLANDS LÄN</t>
        </is>
      </c>
      <c r="E1573" t="inlineStr">
        <is>
          <t>SUNDSVALL</t>
        </is>
      </c>
      <c r="F1573" t="inlineStr">
        <is>
          <t>Naturvårdsverket</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27099-2025</t>
        </is>
      </c>
      <c r="B1574" s="1" t="n">
        <v>45811.67792824074</v>
      </c>
      <c r="C1574" s="1" t="n">
        <v>45881</v>
      </c>
      <c r="D1574" t="inlineStr">
        <is>
          <t>VÄSTERNORRLANDS LÄN</t>
        </is>
      </c>
      <c r="E1574" t="inlineStr">
        <is>
          <t>SUNDSVALL</t>
        </is>
      </c>
      <c r="F1574" t="inlineStr">
        <is>
          <t>Naturvårdsverket</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34390-2025</t>
        </is>
      </c>
      <c r="B1575" s="1" t="n">
        <v>45846.57333333333</v>
      </c>
      <c r="C1575" s="1" t="n">
        <v>45881</v>
      </c>
      <c r="D1575" t="inlineStr">
        <is>
          <t>VÄSTERNORRLANDS LÄN</t>
        </is>
      </c>
      <c r="E1575" t="inlineStr">
        <is>
          <t>SUNDSVALL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35461-2025</t>
        </is>
      </c>
      <c r="B1576" s="1" t="n">
        <v>45855.61505787037</v>
      </c>
      <c r="C1576" s="1" t="n">
        <v>45881</v>
      </c>
      <c r="D1576" t="inlineStr">
        <is>
          <t>VÄSTERNORRLANDS LÄN</t>
        </is>
      </c>
      <c r="E1576" t="inlineStr">
        <is>
          <t>SUNDSVALL</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18212-2025</t>
        </is>
      </c>
      <c r="B1577" s="1" t="n">
        <v>45761.69392361111</v>
      </c>
      <c r="C1577" s="1" t="n">
        <v>45881</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34558-2025</t>
        </is>
      </c>
      <c r="B1578" s="1" t="n">
        <v>45847.57377314815</v>
      </c>
      <c r="C1578" s="1" t="n">
        <v>45881</v>
      </c>
      <c r="D1578" t="inlineStr">
        <is>
          <t>VÄSTERNORRLANDS LÄN</t>
        </is>
      </c>
      <c r="E1578" t="inlineStr">
        <is>
          <t>SUNDSVALL</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7005-2024</t>
        </is>
      </c>
      <c r="B1579" s="1" t="n">
        <v>45343</v>
      </c>
      <c r="C1579" s="1" t="n">
        <v>45881</v>
      </c>
      <c r="D1579" t="inlineStr">
        <is>
          <t>VÄSTERNORRLANDS LÄN</t>
        </is>
      </c>
      <c r="E1579" t="inlineStr">
        <is>
          <t>SUNDSVALL</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19699-2025</t>
        </is>
      </c>
      <c r="B1580" s="1" t="n">
        <v>45771.32137731482</v>
      </c>
      <c r="C1580" s="1" t="n">
        <v>45881</v>
      </c>
      <c r="D1580" t="inlineStr">
        <is>
          <t>VÄSTERNORRLANDS LÄN</t>
        </is>
      </c>
      <c r="E1580" t="inlineStr">
        <is>
          <t>SUNDSVALL</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123-2024</t>
        </is>
      </c>
      <c r="B1581" s="1" t="n">
        <v>45294.3955324074</v>
      </c>
      <c r="C1581" s="1" t="n">
        <v>45881</v>
      </c>
      <c r="D1581" t="inlineStr">
        <is>
          <t>VÄSTERNORRLANDS LÄN</t>
        </is>
      </c>
      <c r="E1581" t="inlineStr">
        <is>
          <t>SUNDSVALL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19902-2023</t>
        </is>
      </c>
      <c r="B1582" s="1" t="n">
        <v>45054</v>
      </c>
      <c r="C1582" s="1" t="n">
        <v>45881</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28726-2022</t>
        </is>
      </c>
      <c r="B1583" s="1" t="n">
        <v>44748</v>
      </c>
      <c r="C1583" s="1" t="n">
        <v>45881</v>
      </c>
      <c r="D1583" t="inlineStr">
        <is>
          <t>VÄSTERNORRLANDS LÄN</t>
        </is>
      </c>
      <c r="E1583" t="inlineStr">
        <is>
          <t>SUNDSVALL</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60583-2023</t>
        </is>
      </c>
      <c r="B1584" s="1" t="n">
        <v>45259</v>
      </c>
      <c r="C1584" s="1" t="n">
        <v>45881</v>
      </c>
      <c r="D1584" t="inlineStr">
        <is>
          <t>VÄSTERNORRLANDS LÄN</t>
        </is>
      </c>
      <c r="E1584" t="inlineStr">
        <is>
          <t>SUNDSVALL</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53038-2023</t>
        </is>
      </c>
      <c r="B1585" s="1" t="n">
        <v>45226.96298611111</v>
      </c>
      <c r="C1585" s="1" t="n">
        <v>45881</v>
      </c>
      <c r="D1585" t="inlineStr">
        <is>
          <t>VÄSTERNORRLANDS LÄN</t>
        </is>
      </c>
      <c r="E1585" t="inlineStr">
        <is>
          <t>SUNDSVALL</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15712-2022</t>
        </is>
      </c>
      <c r="B1586" s="1" t="n">
        <v>44663</v>
      </c>
      <c r="C1586" s="1" t="n">
        <v>45881</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65019-2023</t>
        </is>
      </c>
      <c r="B1587" s="1" t="n">
        <v>45282</v>
      </c>
      <c r="C1587" s="1" t="n">
        <v>45881</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9514-2025</t>
        </is>
      </c>
      <c r="B1588" s="1" t="n">
        <v>45715.54472222222</v>
      </c>
      <c r="C1588" s="1" t="n">
        <v>45881</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15871-2025</t>
        </is>
      </c>
      <c r="B1589" s="1" t="n">
        <v>45749</v>
      </c>
      <c r="C1589" s="1" t="n">
        <v>45881</v>
      </c>
      <c r="D1589" t="inlineStr">
        <is>
          <t>VÄSTERNORRLANDS LÄN</t>
        </is>
      </c>
      <c r="E1589" t="inlineStr">
        <is>
          <t>SUNDSVALL</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4052-2024</t>
        </is>
      </c>
      <c r="B1590" s="1" t="n">
        <v>45323</v>
      </c>
      <c r="C1590" s="1" t="n">
        <v>45881</v>
      </c>
      <c r="D1590" t="inlineStr">
        <is>
          <t>VÄSTERNORRLANDS LÄN</t>
        </is>
      </c>
      <c r="E1590" t="inlineStr">
        <is>
          <t>SUNDSVALL</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62219-2023</t>
        </is>
      </c>
      <c r="B1591" s="1" t="n">
        <v>45267</v>
      </c>
      <c r="C1591" s="1" t="n">
        <v>45881</v>
      </c>
      <c r="D1591" t="inlineStr">
        <is>
          <t>VÄSTERNORRLANDS LÄN</t>
        </is>
      </c>
      <c r="E1591" t="inlineStr">
        <is>
          <t>SUNDSVALL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8518-2024</t>
        </is>
      </c>
      <c r="B1592" s="1" t="n">
        <v>45351</v>
      </c>
      <c r="C1592" s="1" t="n">
        <v>45881</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51366-2022</t>
        </is>
      </c>
      <c r="B1593" s="1" t="n">
        <v>44869</v>
      </c>
      <c r="C1593" s="1" t="n">
        <v>45881</v>
      </c>
      <c r="D1593" t="inlineStr">
        <is>
          <t>VÄSTERNORRLANDS LÄN</t>
        </is>
      </c>
      <c r="E1593" t="inlineStr">
        <is>
          <t>SUNDSVALL</t>
        </is>
      </c>
      <c r="G1593" t="n">
        <v>31.8</v>
      </c>
      <c r="H1593" t="n">
        <v>0</v>
      </c>
      <c r="I1593" t="n">
        <v>0</v>
      </c>
      <c r="J1593" t="n">
        <v>0</v>
      </c>
      <c r="K1593" t="n">
        <v>0</v>
      </c>
      <c r="L1593" t="n">
        <v>0</v>
      </c>
      <c r="M1593" t="n">
        <v>0</v>
      </c>
      <c r="N1593" t="n">
        <v>0</v>
      </c>
      <c r="O1593" t="n">
        <v>0</v>
      </c>
      <c r="P1593" t="n">
        <v>0</v>
      </c>
      <c r="Q1593" t="n">
        <v>0</v>
      </c>
      <c r="R1593" s="2" t="inlineStr"/>
    </row>
    <row r="1594" ht="15" customHeight="1">
      <c r="A1594" t="inlineStr">
        <is>
          <t>A 18246-2024</t>
        </is>
      </c>
      <c r="B1594" s="1" t="n">
        <v>45421</v>
      </c>
      <c r="C1594" s="1" t="n">
        <v>45881</v>
      </c>
      <c r="D1594" t="inlineStr">
        <is>
          <t>VÄSTERNORRLANDS LÄN</t>
        </is>
      </c>
      <c r="E1594" t="inlineStr">
        <is>
          <t>SUNDSVALL</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13440-2025</t>
        </is>
      </c>
      <c r="B1595" s="1" t="n">
        <v>45736</v>
      </c>
      <c r="C1595" s="1" t="n">
        <v>45881</v>
      </c>
      <c r="D1595" t="inlineStr">
        <is>
          <t>VÄSTERNORRLANDS LÄN</t>
        </is>
      </c>
      <c r="E1595" t="inlineStr">
        <is>
          <t>SUNDSVALL</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41805-2022</t>
        </is>
      </c>
      <c r="B1596" s="1" t="n">
        <v>44827</v>
      </c>
      <c r="C1596" s="1" t="n">
        <v>45881</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27690-2025</t>
        </is>
      </c>
      <c r="B1597" s="1" t="n">
        <v>45813.65657407408</v>
      </c>
      <c r="C1597" s="1" t="n">
        <v>45881</v>
      </c>
      <c r="D1597" t="inlineStr">
        <is>
          <t>VÄSTERNORRLANDS LÄN</t>
        </is>
      </c>
      <c r="E1597" t="inlineStr">
        <is>
          <t>SUNDSVALL</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23690-2025</t>
        </is>
      </c>
      <c r="B1598" s="1" t="n">
        <v>45793.34466435185</v>
      </c>
      <c r="C1598" s="1" t="n">
        <v>45881</v>
      </c>
      <c r="D1598" t="inlineStr">
        <is>
          <t>VÄSTERNORRLANDS LÄN</t>
        </is>
      </c>
      <c r="E1598" t="inlineStr">
        <is>
          <t>SUNDSVALL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60651-2022</t>
        </is>
      </c>
      <c r="B1599" s="1" t="n">
        <v>44911</v>
      </c>
      <c r="C1599" s="1" t="n">
        <v>45881</v>
      </c>
      <c r="D1599" t="inlineStr">
        <is>
          <t>VÄSTERNORRLANDS LÄN</t>
        </is>
      </c>
      <c r="E1599" t="inlineStr">
        <is>
          <t>SUNDSVALL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15735-2025</t>
        </is>
      </c>
      <c r="B1600" s="1" t="n">
        <v>45748.53971064815</v>
      </c>
      <c r="C1600" s="1" t="n">
        <v>45881</v>
      </c>
      <c r="D1600" t="inlineStr">
        <is>
          <t>VÄSTERNORRLANDS LÄN</t>
        </is>
      </c>
      <c r="E1600" t="inlineStr">
        <is>
          <t>SUNDSVALL</t>
        </is>
      </c>
      <c r="F1600" t="inlineStr">
        <is>
          <t>SCA</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64642-2021</t>
        </is>
      </c>
      <c r="B1601" s="1" t="n">
        <v>44511</v>
      </c>
      <c r="C1601" s="1" t="n">
        <v>45881</v>
      </c>
      <c r="D1601" t="inlineStr">
        <is>
          <t>VÄSTERNORRLANDS LÄN</t>
        </is>
      </c>
      <c r="E1601" t="inlineStr">
        <is>
          <t>SUNDSVALL</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5569-2025</t>
        </is>
      </c>
      <c r="B1602" s="1" t="n">
        <v>45693</v>
      </c>
      <c r="C1602" s="1" t="n">
        <v>45881</v>
      </c>
      <c r="D1602" t="inlineStr">
        <is>
          <t>VÄSTERNORRLANDS LÄN</t>
        </is>
      </c>
      <c r="E1602" t="inlineStr">
        <is>
          <t>SUNDSVALL</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7404-2024</t>
        </is>
      </c>
      <c r="B1603" s="1" t="n">
        <v>45345</v>
      </c>
      <c r="C1603" s="1" t="n">
        <v>45881</v>
      </c>
      <c r="D1603" t="inlineStr">
        <is>
          <t>VÄSTERNORRLANDS LÄN</t>
        </is>
      </c>
      <c r="E1603" t="inlineStr">
        <is>
          <t>SUNDSVALL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7412-2024</t>
        </is>
      </c>
      <c r="B1604" s="1" t="n">
        <v>45345</v>
      </c>
      <c r="C1604" s="1" t="n">
        <v>45881</v>
      </c>
      <c r="D1604" t="inlineStr">
        <is>
          <t>VÄSTERNORRLANDS LÄN</t>
        </is>
      </c>
      <c r="E1604" t="inlineStr">
        <is>
          <t>SUNDSVALL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39916-2024</t>
        </is>
      </c>
      <c r="B1605" s="1" t="n">
        <v>45553</v>
      </c>
      <c r="C1605" s="1" t="n">
        <v>45881</v>
      </c>
      <c r="D1605" t="inlineStr">
        <is>
          <t>VÄSTERNORRLANDS LÄN</t>
        </is>
      </c>
      <c r="E1605" t="inlineStr">
        <is>
          <t>SUNDSVALL</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4810-2025</t>
        </is>
      </c>
      <c r="B1606" s="1" t="n">
        <v>45688</v>
      </c>
      <c r="C1606" s="1" t="n">
        <v>45881</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50151-2020</t>
        </is>
      </c>
      <c r="B1607" s="1" t="n">
        <v>44109</v>
      </c>
      <c r="C1607" s="1" t="n">
        <v>45881</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61490-2023</t>
        </is>
      </c>
      <c r="B1608" s="1" t="n">
        <v>45264</v>
      </c>
      <c r="C1608" s="1" t="n">
        <v>45881</v>
      </c>
      <c r="D1608" t="inlineStr">
        <is>
          <t>VÄSTERNORRLANDS LÄN</t>
        </is>
      </c>
      <c r="E1608" t="inlineStr">
        <is>
          <t>SUNDSVALL</t>
        </is>
      </c>
      <c r="F1608" t="inlineStr">
        <is>
          <t>SCA</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8418-2024</t>
        </is>
      </c>
      <c r="B1609" s="1" t="n">
        <v>45352.98878472222</v>
      </c>
      <c r="C1609" s="1" t="n">
        <v>45881</v>
      </c>
      <c r="D1609" t="inlineStr">
        <is>
          <t>VÄSTERNORRLANDS LÄN</t>
        </is>
      </c>
      <c r="E1609" t="inlineStr">
        <is>
          <t>SUNDSVALL</t>
        </is>
      </c>
      <c r="F1609" t="inlineStr">
        <is>
          <t>SCA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7416-2025</t>
        </is>
      </c>
      <c r="B1610" s="1" t="n">
        <v>45705</v>
      </c>
      <c r="C1610" s="1" t="n">
        <v>45881</v>
      </c>
      <c r="D1610" t="inlineStr">
        <is>
          <t>VÄSTERNORRLANDS LÄN</t>
        </is>
      </c>
      <c r="E1610" t="inlineStr">
        <is>
          <t>SUNDSVALL</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34556-2025</t>
        </is>
      </c>
      <c r="B1611" s="1" t="n">
        <v>45847.57347222222</v>
      </c>
      <c r="C1611" s="1" t="n">
        <v>45881</v>
      </c>
      <c r="D1611" t="inlineStr">
        <is>
          <t>VÄSTERNORRLANDS LÄN</t>
        </is>
      </c>
      <c r="E1611" t="inlineStr">
        <is>
          <t>SUNDSVALL</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34557-2025</t>
        </is>
      </c>
      <c r="B1612" s="1" t="n">
        <v>45847.57372685185</v>
      </c>
      <c r="C1612" s="1" t="n">
        <v>45881</v>
      </c>
      <c r="D1612" t="inlineStr">
        <is>
          <t>VÄSTERNORRLANDS LÄN</t>
        </is>
      </c>
      <c r="E1612" t="inlineStr">
        <is>
          <t>SUNDSVALL</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15617-2025</t>
        </is>
      </c>
      <c r="B1613" s="1" t="n">
        <v>45748.35231481482</v>
      </c>
      <c r="C1613" s="1" t="n">
        <v>45881</v>
      </c>
      <c r="D1613" t="inlineStr">
        <is>
          <t>VÄSTERNORRLANDS LÄN</t>
        </is>
      </c>
      <c r="E1613" t="inlineStr">
        <is>
          <t>SUNDSVALL</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55152-2024</t>
        </is>
      </c>
      <c r="B1614" s="1" t="n">
        <v>45621.49590277778</v>
      </c>
      <c r="C1614" s="1" t="n">
        <v>45881</v>
      </c>
      <c r="D1614" t="inlineStr">
        <is>
          <t>VÄSTERNORRLANDS LÄN</t>
        </is>
      </c>
      <c r="E1614" t="inlineStr">
        <is>
          <t>SUNDSVALL</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31525-2022</t>
        </is>
      </c>
      <c r="B1615" s="1" t="n">
        <v>44775.25996527778</v>
      </c>
      <c r="C1615" s="1" t="n">
        <v>45881</v>
      </c>
      <c r="D1615" t="inlineStr">
        <is>
          <t>VÄSTERNORRLANDS LÄN</t>
        </is>
      </c>
      <c r="E1615" t="inlineStr">
        <is>
          <t>SUNDSVALL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25037-2023</t>
        </is>
      </c>
      <c r="B1616" s="1" t="n">
        <v>45085.92905092592</v>
      </c>
      <c r="C1616" s="1" t="n">
        <v>45881</v>
      </c>
      <c r="D1616" t="inlineStr">
        <is>
          <t>VÄSTERNORRLANDS LÄN</t>
        </is>
      </c>
      <c r="E1616" t="inlineStr">
        <is>
          <t>SUNDSVALL</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27944-2025</t>
        </is>
      </c>
      <c r="B1617" s="1" t="n">
        <v>45817.51094907407</v>
      </c>
      <c r="C1617" s="1" t="n">
        <v>45881</v>
      </c>
      <c r="D1617" t="inlineStr">
        <is>
          <t>VÄSTERNORRLANDS LÄN</t>
        </is>
      </c>
      <c r="E1617" t="inlineStr">
        <is>
          <t>SUNDSVALL</t>
        </is>
      </c>
      <c r="F1617" t="inlineStr">
        <is>
          <t>Naturvårdsverket</t>
        </is>
      </c>
      <c r="G1617" t="n">
        <v>3.1</v>
      </c>
      <c r="H1617" t="n">
        <v>0</v>
      </c>
      <c r="I1617" t="n">
        <v>0</v>
      </c>
      <c r="J1617" t="n">
        <v>0</v>
      </c>
      <c r="K1617" t="n">
        <v>0</v>
      </c>
      <c r="L1617" t="n">
        <v>0</v>
      </c>
      <c r="M1617" t="n">
        <v>0</v>
      </c>
      <c r="N1617" t="n">
        <v>0</v>
      </c>
      <c r="O1617" t="n">
        <v>0</v>
      </c>
      <c r="P1617" t="n">
        <v>0</v>
      </c>
      <c r="Q1617" t="n">
        <v>0</v>
      </c>
      <c r="R1617" s="2" t="inlineStr"/>
      <c r="U1617">
        <f>HYPERLINK("https://klasma.github.io/Logging_2281/knärot/A 27944-2025 karta knärot.png", "A 27944-2025")</f>
        <v/>
      </c>
      <c r="V1617">
        <f>HYPERLINK("https://klasma.github.io/Logging_2281/klagomål/A 27944-2025 FSC-klagomål.docx", "A 27944-2025")</f>
        <v/>
      </c>
      <c r="W1617">
        <f>HYPERLINK("https://klasma.github.io/Logging_2281/klagomålsmail/A 27944-2025 FSC-klagomål mail.docx", "A 27944-2025")</f>
        <v/>
      </c>
      <c r="X1617">
        <f>HYPERLINK("https://klasma.github.io/Logging_2281/tillsyn/A 27944-2025 tillsynsbegäran.docx", "A 27944-2025")</f>
        <v/>
      </c>
      <c r="Y1617">
        <f>HYPERLINK("https://klasma.github.io/Logging_2281/tillsynsmail/A 27944-2025 tillsynsbegäran mail.docx", "A 27944-2025")</f>
        <v/>
      </c>
    </row>
    <row r="1618" ht="15" customHeight="1">
      <c r="A1618" t="inlineStr">
        <is>
          <t>A 39796-2023</t>
        </is>
      </c>
      <c r="B1618" s="1" t="n">
        <v>45167</v>
      </c>
      <c r="C1618" s="1" t="n">
        <v>45881</v>
      </c>
      <c r="D1618" t="inlineStr">
        <is>
          <t>VÄSTERNORRLANDS LÄN</t>
        </is>
      </c>
      <c r="E1618" t="inlineStr">
        <is>
          <t>SUNDSVALL</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43168-2024</t>
        </is>
      </c>
      <c r="B1619" s="1" t="n">
        <v>45567.656875</v>
      </c>
      <c r="C1619" s="1" t="n">
        <v>45881</v>
      </c>
      <c r="D1619" t="inlineStr">
        <is>
          <t>VÄSTERNORRLANDS LÄN</t>
        </is>
      </c>
      <c r="E1619" t="inlineStr">
        <is>
          <t>SUNDSVALL</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23832-2024</t>
        </is>
      </c>
      <c r="B1620" s="1" t="n">
        <v>45455.4840625</v>
      </c>
      <c r="C1620" s="1" t="n">
        <v>45881</v>
      </c>
      <c r="D1620" t="inlineStr">
        <is>
          <t>VÄSTERNORRLANDS LÄN</t>
        </is>
      </c>
      <c r="E1620" t="inlineStr">
        <is>
          <t>SUNDSVALL</t>
        </is>
      </c>
      <c r="F1620" t="inlineStr">
        <is>
          <t>Holmen skog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46735-2022</t>
        </is>
      </c>
      <c r="B1621" s="1" t="n">
        <v>44851</v>
      </c>
      <c r="C1621" s="1" t="n">
        <v>45881</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27366-2021</t>
        </is>
      </c>
      <c r="B1622" s="1" t="n">
        <v>44351.4417824074</v>
      </c>
      <c r="C1622" s="1" t="n">
        <v>45881</v>
      </c>
      <c r="D1622" t="inlineStr">
        <is>
          <t>VÄSTERNORRLANDS LÄN</t>
        </is>
      </c>
      <c r="E1622" t="inlineStr">
        <is>
          <t>SUNDSVALL</t>
        </is>
      </c>
      <c r="G1622" t="n">
        <v>15.9</v>
      </c>
      <c r="H1622" t="n">
        <v>0</v>
      </c>
      <c r="I1622" t="n">
        <v>0</v>
      </c>
      <c r="J1622" t="n">
        <v>0</v>
      </c>
      <c r="K1622" t="n">
        <v>0</v>
      </c>
      <c r="L1622" t="n">
        <v>0</v>
      </c>
      <c r="M1622" t="n">
        <v>0</v>
      </c>
      <c r="N1622" t="n">
        <v>0</v>
      </c>
      <c r="O1622" t="n">
        <v>0</v>
      </c>
      <c r="P1622" t="n">
        <v>0</v>
      </c>
      <c r="Q1622" t="n">
        <v>0</v>
      </c>
      <c r="R1622" s="2" t="inlineStr"/>
    </row>
    <row r="1623" ht="15" customHeight="1">
      <c r="A1623" t="inlineStr">
        <is>
          <t>A 32203-2023</t>
        </is>
      </c>
      <c r="B1623" s="1" t="n">
        <v>45119.92622685185</v>
      </c>
      <c r="C1623" s="1" t="n">
        <v>45881</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27754-2025</t>
        </is>
      </c>
      <c r="B1624" s="1" t="n">
        <v>45815.69635416667</v>
      </c>
      <c r="C1624" s="1" t="n">
        <v>45881</v>
      </c>
      <c r="D1624" t="inlineStr">
        <is>
          <t>VÄSTERNORRLANDS LÄN</t>
        </is>
      </c>
      <c r="E1624" t="inlineStr">
        <is>
          <t>SUNDSVALL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50272-2023</t>
        </is>
      </c>
      <c r="B1625" s="1" t="n">
        <v>45216</v>
      </c>
      <c r="C1625" s="1" t="n">
        <v>45881</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21188-2025</t>
        </is>
      </c>
      <c r="B1626" s="1" t="n">
        <v>45777</v>
      </c>
      <c r="C1626" s="1" t="n">
        <v>45881</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35716-2025</t>
        </is>
      </c>
      <c r="B1627" s="1" t="n">
        <v>45860.42753472222</v>
      </c>
      <c r="C1627" s="1" t="n">
        <v>45881</v>
      </c>
      <c r="D1627" t="inlineStr">
        <is>
          <t>VÄSTERNORRLANDS LÄN</t>
        </is>
      </c>
      <c r="E1627" t="inlineStr">
        <is>
          <t>SUNDSVALL</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33735-2024</t>
        </is>
      </c>
      <c r="B1628" s="1" t="n">
        <v>45520</v>
      </c>
      <c r="C1628" s="1" t="n">
        <v>45881</v>
      </c>
      <c r="D1628" t="inlineStr">
        <is>
          <t>VÄSTERNORRLANDS LÄN</t>
        </is>
      </c>
      <c r="E1628" t="inlineStr">
        <is>
          <t>SUNDSVALL</t>
        </is>
      </c>
      <c r="F1628" t="inlineStr">
        <is>
          <t>SCA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27753-2025</t>
        </is>
      </c>
      <c r="B1629" s="1" t="n">
        <v>45815.69273148148</v>
      </c>
      <c r="C1629" s="1" t="n">
        <v>45881</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17993-2022</t>
        </is>
      </c>
      <c r="B1630" s="1" t="n">
        <v>44683</v>
      </c>
      <c r="C1630" s="1" t="n">
        <v>45881</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27823-2025</t>
        </is>
      </c>
      <c r="B1631" s="1" t="n">
        <v>45817.34424768519</v>
      </c>
      <c r="C1631" s="1" t="n">
        <v>45881</v>
      </c>
      <c r="D1631" t="inlineStr">
        <is>
          <t>VÄSTERNORRLANDS LÄN</t>
        </is>
      </c>
      <c r="E1631" t="inlineStr">
        <is>
          <t>SUNDSVALL</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35780-2025</t>
        </is>
      </c>
      <c r="B1632" s="1" t="n">
        <v>45860.70089120371</v>
      </c>
      <c r="C1632" s="1" t="n">
        <v>45881</v>
      </c>
      <c r="D1632" t="inlineStr">
        <is>
          <t>VÄSTERNORRLANDS LÄN</t>
        </is>
      </c>
      <c r="E1632" t="inlineStr">
        <is>
          <t>SUNDSVALL</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28766-2025</t>
        </is>
      </c>
      <c r="B1633" s="1" t="n">
        <v>45820.42622685185</v>
      </c>
      <c r="C1633" s="1" t="n">
        <v>45881</v>
      </c>
      <c r="D1633" t="inlineStr">
        <is>
          <t>VÄSTERNORRLANDS LÄN</t>
        </is>
      </c>
      <c r="E1633" t="inlineStr">
        <is>
          <t>SUNDSVALL</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28407-2025</t>
        </is>
      </c>
      <c r="B1634" s="1" t="n">
        <v>45819.34581018519</v>
      </c>
      <c r="C1634" s="1" t="n">
        <v>45881</v>
      </c>
      <c r="D1634" t="inlineStr">
        <is>
          <t>VÄSTERNORRLANDS LÄN</t>
        </is>
      </c>
      <c r="E1634" t="inlineStr">
        <is>
          <t>SUNDSVALL</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28392-2025</t>
        </is>
      </c>
      <c r="B1635" s="1" t="n">
        <v>45819.32815972222</v>
      </c>
      <c r="C1635" s="1" t="n">
        <v>45881</v>
      </c>
      <c r="D1635" t="inlineStr">
        <is>
          <t>VÄSTERNORRLANDS LÄN</t>
        </is>
      </c>
      <c r="E1635" t="inlineStr">
        <is>
          <t>SUNDSVALL</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63814-2023</t>
        </is>
      </c>
      <c r="B1636" s="1" t="n">
        <v>45278</v>
      </c>
      <c r="C1636" s="1" t="n">
        <v>45881</v>
      </c>
      <c r="D1636" t="inlineStr">
        <is>
          <t>VÄSTERNORRLANDS LÄN</t>
        </is>
      </c>
      <c r="E1636" t="inlineStr">
        <is>
          <t>SUNDSVALL</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2494-2025</t>
        </is>
      </c>
      <c r="B1637" s="1" t="n">
        <v>45674.51091435185</v>
      </c>
      <c r="C1637" s="1" t="n">
        <v>45881</v>
      </c>
      <c r="D1637" t="inlineStr">
        <is>
          <t>VÄSTERNORRLANDS LÄN</t>
        </is>
      </c>
      <c r="E1637" t="inlineStr">
        <is>
          <t>SUNDSVALL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35861-2025</t>
        </is>
      </c>
      <c r="B1638" s="1" t="n">
        <v>45861.65689814815</v>
      </c>
      <c r="C1638" s="1" t="n">
        <v>45881</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35927-2025</t>
        </is>
      </c>
      <c r="B1639" s="1" t="n">
        <v>45862.5943287037</v>
      </c>
      <c r="C1639" s="1" t="n">
        <v>45881</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35901-2025</t>
        </is>
      </c>
      <c r="B1640" s="1" t="n">
        <v>45862.48984953704</v>
      </c>
      <c r="C1640" s="1" t="n">
        <v>45881</v>
      </c>
      <c r="D1640" t="inlineStr">
        <is>
          <t>VÄSTERNORRLANDS LÄN</t>
        </is>
      </c>
      <c r="E1640" t="inlineStr">
        <is>
          <t>SUNDSVALL</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35926-2025</t>
        </is>
      </c>
      <c r="B1641" s="1" t="n">
        <v>45862.59415509259</v>
      </c>
      <c r="C1641" s="1" t="n">
        <v>45881</v>
      </c>
      <c r="D1641" t="inlineStr">
        <is>
          <t>VÄSTERNORRLANDS LÄN</t>
        </is>
      </c>
      <c r="E1641" t="inlineStr">
        <is>
          <t>SUNDSVALL</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35942-2025</t>
        </is>
      </c>
      <c r="B1642" s="1" t="n">
        <v>45862.6775</v>
      </c>
      <c r="C1642" s="1" t="n">
        <v>45881</v>
      </c>
      <c r="D1642" t="inlineStr">
        <is>
          <t>VÄSTERNORRLANDS LÄN</t>
        </is>
      </c>
      <c r="E1642" t="inlineStr">
        <is>
          <t>SUNDSVALL</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35881-2025</t>
        </is>
      </c>
      <c r="B1643" s="1" t="n">
        <v>45862.38577546296</v>
      </c>
      <c r="C1643" s="1" t="n">
        <v>45881</v>
      </c>
      <c r="D1643" t="inlineStr">
        <is>
          <t>VÄSTERNORRLANDS LÄN</t>
        </is>
      </c>
      <c r="E1643" t="inlineStr">
        <is>
          <t>SUNDSVALL</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36001-2025</t>
        </is>
      </c>
      <c r="B1644" s="1" t="n">
        <v>45863.51965277778</v>
      </c>
      <c r="C1644" s="1" t="n">
        <v>45881</v>
      </c>
      <c r="D1644" t="inlineStr">
        <is>
          <t>VÄSTERNORRLANDS LÄN</t>
        </is>
      </c>
      <c r="E1644" t="inlineStr">
        <is>
          <t>SUNDSVALL</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52368-2024</t>
        </is>
      </c>
      <c r="B1645" s="1" t="n">
        <v>45608</v>
      </c>
      <c r="C1645" s="1" t="n">
        <v>45881</v>
      </c>
      <c r="D1645" t="inlineStr">
        <is>
          <t>VÄSTERNORRLANDS LÄN</t>
        </is>
      </c>
      <c r="E1645" t="inlineStr">
        <is>
          <t>SUNDSVALL</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36072-2025</t>
        </is>
      </c>
      <c r="B1646" s="1" t="n">
        <v>45866.42975694445</v>
      </c>
      <c r="C1646" s="1" t="n">
        <v>45881</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36073-2025</t>
        </is>
      </c>
      <c r="B1647" s="1" t="n">
        <v>45866.4346412037</v>
      </c>
      <c r="C1647" s="1" t="n">
        <v>45881</v>
      </c>
      <c r="D1647" t="inlineStr">
        <is>
          <t>VÄSTERNORRLANDS LÄN</t>
        </is>
      </c>
      <c r="E1647" t="inlineStr">
        <is>
          <t>SUNDSVALL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29231-2025</t>
        </is>
      </c>
      <c r="B1648" s="1" t="n">
        <v>45824.34424768519</v>
      </c>
      <c r="C1648" s="1" t="n">
        <v>45881</v>
      </c>
      <c r="D1648" t="inlineStr">
        <is>
          <t>VÄSTERNORRLANDS LÄN</t>
        </is>
      </c>
      <c r="E1648" t="inlineStr">
        <is>
          <t>SUNDSVALL</t>
        </is>
      </c>
      <c r="F1648" t="inlineStr">
        <is>
          <t>Naturvårdsverket</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35973-2025</t>
        </is>
      </c>
      <c r="B1649" s="1" t="n">
        <v>45863.42748842593</v>
      </c>
      <c r="C1649" s="1" t="n">
        <v>45881</v>
      </c>
      <c r="D1649" t="inlineStr">
        <is>
          <t>VÄSTERNORRLANDS LÄN</t>
        </is>
      </c>
      <c r="E1649" t="inlineStr">
        <is>
          <t>SUNDSVALL</t>
        </is>
      </c>
      <c r="F1649" t="inlineStr">
        <is>
          <t>SCA</t>
        </is>
      </c>
      <c r="G1649" t="n">
        <v>15.5</v>
      </c>
      <c r="H1649" t="n">
        <v>0</v>
      </c>
      <c r="I1649" t="n">
        <v>0</v>
      </c>
      <c r="J1649" t="n">
        <v>0</v>
      </c>
      <c r="K1649" t="n">
        <v>0</v>
      </c>
      <c r="L1649" t="n">
        <v>0</v>
      </c>
      <c r="M1649" t="n">
        <v>0</v>
      </c>
      <c r="N1649" t="n">
        <v>0</v>
      </c>
      <c r="O1649" t="n">
        <v>0</v>
      </c>
      <c r="P1649" t="n">
        <v>0</v>
      </c>
      <c r="Q1649" t="n">
        <v>0</v>
      </c>
      <c r="R1649" s="2" t="inlineStr"/>
    </row>
    <row r="1650" ht="15" customHeight="1">
      <c r="A1650" t="inlineStr">
        <is>
          <t>A 47246-2024</t>
        </is>
      </c>
      <c r="B1650" s="1" t="n">
        <v>45586.69940972222</v>
      </c>
      <c r="C1650" s="1" t="n">
        <v>45881</v>
      </c>
      <c r="D1650" t="inlineStr">
        <is>
          <t>VÄSTERNORRLANDS LÄN</t>
        </is>
      </c>
      <c r="E1650" t="inlineStr">
        <is>
          <t>SUNDSVALL</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35979-2025</t>
        </is>
      </c>
      <c r="B1651" s="1" t="n">
        <v>45863.44825231482</v>
      </c>
      <c r="C1651" s="1" t="n">
        <v>45881</v>
      </c>
      <c r="D1651" t="inlineStr">
        <is>
          <t>VÄSTERNORRLANDS LÄN</t>
        </is>
      </c>
      <c r="E1651" t="inlineStr">
        <is>
          <t>SUNDSVALL</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29370-2025</t>
        </is>
      </c>
      <c r="B1652" s="1" t="n">
        <v>45824.57320601852</v>
      </c>
      <c r="C1652" s="1" t="n">
        <v>45881</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49360-2024</t>
        </is>
      </c>
      <c r="B1653" s="1" t="n">
        <v>45595.626875</v>
      </c>
      <c r="C1653" s="1" t="n">
        <v>45881</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53921-2022</t>
        </is>
      </c>
      <c r="B1654" s="1" t="n">
        <v>44880</v>
      </c>
      <c r="C1654" s="1" t="n">
        <v>45881</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53939-2022</t>
        </is>
      </c>
      <c r="B1655" s="1" t="n">
        <v>44880.95625</v>
      </c>
      <c r="C1655" s="1" t="n">
        <v>45881</v>
      </c>
      <c r="D1655" t="inlineStr">
        <is>
          <t>VÄSTERNORRLANDS LÄN</t>
        </is>
      </c>
      <c r="E1655" t="inlineStr">
        <is>
          <t>SUNDSVALL</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53943-2022</t>
        </is>
      </c>
      <c r="B1656" s="1" t="n">
        <v>44880</v>
      </c>
      <c r="C1656" s="1" t="n">
        <v>45881</v>
      </c>
      <c r="D1656" t="inlineStr">
        <is>
          <t>VÄSTERNORRLANDS LÄN</t>
        </is>
      </c>
      <c r="E1656" t="inlineStr">
        <is>
          <t>SUNDSVALL</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57838-2022</t>
        </is>
      </c>
      <c r="B1657" s="1" t="n">
        <v>44897</v>
      </c>
      <c r="C1657" s="1" t="n">
        <v>45881</v>
      </c>
      <c r="D1657" t="inlineStr">
        <is>
          <t>VÄSTERNORRLANDS LÄN</t>
        </is>
      </c>
      <c r="E1657" t="inlineStr">
        <is>
          <t>SUNDSVALL</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56211-2024</t>
        </is>
      </c>
      <c r="B1658" s="1" t="n">
        <v>45624.60011574074</v>
      </c>
      <c r="C1658" s="1" t="n">
        <v>45881</v>
      </c>
      <c r="D1658" t="inlineStr">
        <is>
          <t>VÄSTERNORRLANDS LÄN</t>
        </is>
      </c>
      <c r="E1658" t="inlineStr">
        <is>
          <t>SUNDSVALL</t>
        </is>
      </c>
      <c r="G1658" t="n">
        <v>21.5</v>
      </c>
      <c r="H1658" t="n">
        <v>0</v>
      </c>
      <c r="I1658" t="n">
        <v>0</v>
      </c>
      <c r="J1658" t="n">
        <v>0</v>
      </c>
      <c r="K1658" t="n">
        <v>0</v>
      </c>
      <c r="L1658" t="n">
        <v>0</v>
      </c>
      <c r="M1658" t="n">
        <v>0</v>
      </c>
      <c r="N1658" t="n">
        <v>0</v>
      </c>
      <c r="O1658" t="n">
        <v>0</v>
      </c>
      <c r="P1658" t="n">
        <v>0</v>
      </c>
      <c r="Q1658" t="n">
        <v>0</v>
      </c>
      <c r="R1658" s="2" t="inlineStr"/>
    </row>
    <row r="1659" ht="15" customHeight="1">
      <c r="A1659" t="inlineStr">
        <is>
          <t>A 21247-2024</t>
        </is>
      </c>
      <c r="B1659" s="1" t="n">
        <v>45440</v>
      </c>
      <c r="C1659" s="1" t="n">
        <v>45881</v>
      </c>
      <c r="D1659" t="inlineStr">
        <is>
          <t>VÄSTERNORRLANDS LÄN</t>
        </is>
      </c>
      <c r="E1659" t="inlineStr">
        <is>
          <t>SUNDSVALL</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29711-2025</t>
        </is>
      </c>
      <c r="B1660" s="1" t="n">
        <v>45825</v>
      </c>
      <c r="C1660" s="1" t="n">
        <v>45881</v>
      </c>
      <c r="D1660" t="inlineStr">
        <is>
          <t>VÄSTERNORRLANDS LÄN</t>
        </is>
      </c>
      <c r="E1660" t="inlineStr">
        <is>
          <t>SUNDSVALL</t>
        </is>
      </c>
      <c r="F1660" t="inlineStr">
        <is>
          <t>Kyrkan</t>
        </is>
      </c>
      <c r="G1660" t="n">
        <v>43.8</v>
      </c>
      <c r="H1660" t="n">
        <v>0</v>
      </c>
      <c r="I1660" t="n">
        <v>0</v>
      </c>
      <c r="J1660" t="n">
        <v>0</v>
      </c>
      <c r="K1660" t="n">
        <v>0</v>
      </c>
      <c r="L1660" t="n">
        <v>0</v>
      </c>
      <c r="M1660" t="n">
        <v>0</v>
      </c>
      <c r="N1660" t="n">
        <v>0</v>
      </c>
      <c r="O1660" t="n">
        <v>0</v>
      </c>
      <c r="P1660" t="n">
        <v>0</v>
      </c>
      <c r="Q1660" t="n">
        <v>0</v>
      </c>
      <c r="R1660" s="2" t="inlineStr"/>
    </row>
    <row r="1661" ht="15" customHeight="1">
      <c r="A1661" t="inlineStr">
        <is>
          <t>A 57288-2024</t>
        </is>
      </c>
      <c r="B1661" s="1" t="n">
        <v>45629.58568287037</v>
      </c>
      <c r="C1661" s="1" t="n">
        <v>45881</v>
      </c>
      <c r="D1661" t="inlineStr">
        <is>
          <t>VÄSTERNORRLANDS LÄN</t>
        </is>
      </c>
      <c r="E1661" t="inlineStr">
        <is>
          <t>SUNDSVALL</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2836-2021</t>
        </is>
      </c>
      <c r="B1662" s="1" t="n">
        <v>44215</v>
      </c>
      <c r="C1662" s="1" t="n">
        <v>45881</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31204-2023</t>
        </is>
      </c>
      <c r="B1663" s="1" t="n">
        <v>45113.95047453704</v>
      </c>
      <c r="C1663" s="1" t="n">
        <v>45881</v>
      </c>
      <c r="D1663" t="inlineStr">
        <is>
          <t>VÄSTERNORRLANDS LÄN</t>
        </is>
      </c>
      <c r="E1663" t="inlineStr">
        <is>
          <t>SUNDSVALL</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29881-2025</t>
        </is>
      </c>
      <c r="B1664" s="1" t="n">
        <v>45826.3653125</v>
      </c>
      <c r="C1664" s="1" t="n">
        <v>45881</v>
      </c>
      <c r="D1664" t="inlineStr">
        <is>
          <t>VÄSTERNORRLANDS LÄN</t>
        </is>
      </c>
      <c r="E1664" t="inlineStr">
        <is>
          <t>SUNDSVALL</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29923-2025</t>
        </is>
      </c>
      <c r="B1665" s="1" t="n">
        <v>45826.42758101852</v>
      </c>
      <c r="C1665" s="1" t="n">
        <v>45881</v>
      </c>
      <c r="D1665" t="inlineStr">
        <is>
          <t>VÄSTERNORRLANDS LÄN</t>
        </is>
      </c>
      <c r="E1665" t="inlineStr">
        <is>
          <t>SUNDSVALL</t>
        </is>
      </c>
      <c r="F1665" t="inlineStr">
        <is>
          <t>Naturvårdsverket</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29973-2025</t>
        </is>
      </c>
      <c r="B1666" s="1" t="n">
        <v>45826.49049768518</v>
      </c>
      <c r="C1666" s="1" t="n">
        <v>45881</v>
      </c>
      <c r="D1666" t="inlineStr">
        <is>
          <t>VÄSTERNORRLANDS LÄN</t>
        </is>
      </c>
      <c r="E1666" t="inlineStr">
        <is>
          <t>SUNDSVALL</t>
        </is>
      </c>
      <c r="F1666" t="inlineStr">
        <is>
          <t>Naturvårdsverket</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29955-2025</t>
        </is>
      </c>
      <c r="B1667" s="1" t="n">
        <v>45826.47030092592</v>
      </c>
      <c r="C1667" s="1" t="n">
        <v>45881</v>
      </c>
      <c r="D1667" t="inlineStr">
        <is>
          <t>VÄSTERNORRLANDS LÄN</t>
        </is>
      </c>
      <c r="E1667" t="inlineStr">
        <is>
          <t>SUNDSVALL</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29954-2025</t>
        </is>
      </c>
      <c r="B1668" s="1" t="n">
        <v>45826.47004629629</v>
      </c>
      <c r="C1668" s="1" t="n">
        <v>45881</v>
      </c>
      <c r="D1668" t="inlineStr">
        <is>
          <t>VÄSTERNORRLANDS LÄN</t>
        </is>
      </c>
      <c r="E1668" t="inlineStr">
        <is>
          <t>SUNDSVALL</t>
        </is>
      </c>
      <c r="F1668" t="inlineStr">
        <is>
          <t>Naturvårdsverket</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29970-2025</t>
        </is>
      </c>
      <c r="B1669" s="1" t="n">
        <v>45826.49003472222</v>
      </c>
      <c r="C1669" s="1" t="n">
        <v>45881</v>
      </c>
      <c r="D1669" t="inlineStr">
        <is>
          <t>VÄSTERNORRLANDS LÄN</t>
        </is>
      </c>
      <c r="E1669" t="inlineStr">
        <is>
          <t>SUNDSVALL</t>
        </is>
      </c>
      <c r="F1669" t="inlineStr">
        <is>
          <t>Naturvårdsverket</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36330-2025</t>
        </is>
      </c>
      <c r="B1670" s="1" t="n">
        <v>45868.42768518518</v>
      </c>
      <c r="C1670" s="1" t="n">
        <v>45881</v>
      </c>
      <c r="D1670" t="inlineStr">
        <is>
          <t>VÄSTERNORRLANDS LÄN</t>
        </is>
      </c>
      <c r="E1670" t="inlineStr">
        <is>
          <t>SUNDSVALL</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29952-2025</t>
        </is>
      </c>
      <c r="B1671" s="1" t="n">
        <v>45826.46950231482</v>
      </c>
      <c r="C1671" s="1" t="n">
        <v>45881</v>
      </c>
      <c r="D1671" t="inlineStr">
        <is>
          <t>VÄSTERNORRLANDS LÄN</t>
        </is>
      </c>
      <c r="E1671" t="inlineStr">
        <is>
          <t>SUNDSVALL</t>
        </is>
      </c>
      <c r="F1671" t="inlineStr">
        <is>
          <t>Naturvårdsverket</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29700-2025</t>
        </is>
      </c>
      <c r="B1672" s="1" t="n">
        <v>45825.55259259259</v>
      </c>
      <c r="C1672" s="1" t="n">
        <v>45881</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68880-2021</t>
        </is>
      </c>
      <c r="B1673" s="1" t="n">
        <v>44529</v>
      </c>
      <c r="C1673" s="1" t="n">
        <v>45881</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22053-2025</t>
        </is>
      </c>
      <c r="B1674" s="1" t="n">
        <v>45785.3650462963</v>
      </c>
      <c r="C1674" s="1" t="n">
        <v>45881</v>
      </c>
      <c r="D1674" t="inlineStr">
        <is>
          <t>VÄSTERNORRLANDS LÄN</t>
        </is>
      </c>
      <c r="E1674" t="inlineStr">
        <is>
          <t>SUNDSVALL</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36329-2025</t>
        </is>
      </c>
      <c r="B1675" s="1" t="n">
        <v>45868.42763888889</v>
      </c>
      <c r="C1675" s="1" t="n">
        <v>45881</v>
      </c>
      <c r="D1675" t="inlineStr">
        <is>
          <t>VÄSTERNORRLANDS LÄN</t>
        </is>
      </c>
      <c r="E1675" t="inlineStr">
        <is>
          <t>SUNDSVALL</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30464-2025</t>
        </is>
      </c>
      <c r="B1676" s="1" t="n">
        <v>45827.72248842593</v>
      </c>
      <c r="C1676" s="1" t="n">
        <v>45881</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36323-2025</t>
        </is>
      </c>
      <c r="B1677" s="1" t="n">
        <v>45868</v>
      </c>
      <c r="C1677" s="1" t="n">
        <v>45881</v>
      </c>
      <c r="D1677" t="inlineStr">
        <is>
          <t>VÄSTERNORRLANDS LÄN</t>
        </is>
      </c>
      <c r="E1677" t="inlineStr">
        <is>
          <t>SUNDSVALL</t>
        </is>
      </c>
      <c r="F1677" t="inlineStr">
        <is>
          <t>SCA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30259-2025</t>
        </is>
      </c>
      <c r="B1678" s="1" t="n">
        <v>45827.42768518518</v>
      </c>
      <c r="C1678" s="1" t="n">
        <v>45881</v>
      </c>
      <c r="D1678" t="inlineStr">
        <is>
          <t>VÄSTERNORRLANDS LÄN</t>
        </is>
      </c>
      <c r="E1678" t="inlineStr">
        <is>
          <t>SUNDSVALL</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30268-2025</t>
        </is>
      </c>
      <c r="B1679" s="1" t="n">
        <v>45827.44883101852</v>
      </c>
      <c r="C1679" s="1" t="n">
        <v>45881</v>
      </c>
      <c r="D1679" t="inlineStr">
        <is>
          <t>VÄSTERNORRLANDS LÄN</t>
        </is>
      </c>
      <c r="E1679" t="inlineStr">
        <is>
          <t>SUNDSVALL</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36458-2025</t>
        </is>
      </c>
      <c r="B1680" s="1" t="n">
        <v>45869.44858796296</v>
      </c>
      <c r="C1680" s="1" t="n">
        <v>45881</v>
      </c>
      <c r="D1680" t="inlineStr">
        <is>
          <t>VÄSTERNORRLANDS LÄN</t>
        </is>
      </c>
      <c r="E1680" t="inlineStr">
        <is>
          <t>SUNDSVALL</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3161-2022</t>
        </is>
      </c>
      <c r="B1681" s="1" t="n">
        <v>44582.58618055555</v>
      </c>
      <c r="C1681" s="1" t="n">
        <v>45881</v>
      </c>
      <c r="D1681" t="inlineStr">
        <is>
          <t>VÄSTERNORRLANDS LÄN</t>
        </is>
      </c>
      <c r="E1681" t="inlineStr">
        <is>
          <t>SUNDSVALL</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30213-2025</t>
        </is>
      </c>
      <c r="B1682" s="1" t="n">
        <v>45827.36622685185</v>
      </c>
      <c r="C1682" s="1" t="n">
        <v>45881</v>
      </c>
      <c r="D1682" t="inlineStr">
        <is>
          <t>VÄSTERNORRLANDS LÄN</t>
        </is>
      </c>
      <c r="E1682" t="inlineStr">
        <is>
          <t>SUNDSVALL</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36546-2025</t>
        </is>
      </c>
      <c r="B1683" s="1" t="n">
        <v>45869.69824074074</v>
      </c>
      <c r="C1683" s="1" t="n">
        <v>45881</v>
      </c>
      <c r="D1683" t="inlineStr">
        <is>
          <t>VÄSTERNORRLANDS LÄN</t>
        </is>
      </c>
      <c r="E1683" t="inlineStr">
        <is>
          <t>SUNDSVALL</t>
        </is>
      </c>
      <c r="F1683" t="inlineStr">
        <is>
          <t>SCA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36622-2025</t>
        </is>
      </c>
      <c r="B1684" s="1" t="n">
        <v>45870.65707175926</v>
      </c>
      <c r="C1684" s="1" t="n">
        <v>45881</v>
      </c>
      <c r="D1684" t="inlineStr">
        <is>
          <t>VÄSTERNORRLANDS LÄN</t>
        </is>
      </c>
      <c r="E1684" t="inlineStr">
        <is>
          <t>SUNDSVALL</t>
        </is>
      </c>
      <c r="F1684" t="inlineStr">
        <is>
          <t>SCA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41200-2024</t>
        </is>
      </c>
      <c r="B1685" s="1" t="n">
        <v>45559.51616898148</v>
      </c>
      <c r="C1685" s="1" t="n">
        <v>45881</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37009-2025</t>
        </is>
      </c>
      <c r="B1686" s="1" t="n">
        <v>45874.70120370371</v>
      </c>
      <c r="C1686" s="1" t="n">
        <v>45881</v>
      </c>
      <c r="D1686" t="inlineStr">
        <is>
          <t>VÄSTERNORRLANDS LÄN</t>
        </is>
      </c>
      <c r="E1686" t="inlineStr">
        <is>
          <t>SUNDSVALL</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20514-2021</t>
        </is>
      </c>
      <c r="B1687" s="1" t="n">
        <v>44315</v>
      </c>
      <c r="C1687" s="1" t="n">
        <v>45881</v>
      </c>
      <c r="D1687" t="inlineStr">
        <is>
          <t>VÄSTERNORRLANDS LÄN</t>
        </is>
      </c>
      <c r="E1687" t="inlineStr">
        <is>
          <t>SUNDSVALL</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31114-2025</t>
        </is>
      </c>
      <c r="B1688" s="1" t="n">
        <v>45832.61521990741</v>
      </c>
      <c r="C1688" s="1" t="n">
        <v>45881</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36743-2025</t>
        </is>
      </c>
      <c r="B1689" s="1" t="n">
        <v>45873.53770833334</v>
      </c>
      <c r="C1689" s="1" t="n">
        <v>45881</v>
      </c>
      <c r="D1689" t="inlineStr">
        <is>
          <t>VÄSTERNORRLANDS LÄN</t>
        </is>
      </c>
      <c r="E1689" t="inlineStr">
        <is>
          <t>SUNDSVALL</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30810-2025</t>
        </is>
      </c>
      <c r="B1690" s="1" t="n">
        <v>45831.65712962963</v>
      </c>
      <c r="C1690" s="1" t="n">
        <v>45881</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34931-2021</t>
        </is>
      </c>
      <c r="B1691" s="1" t="n">
        <v>44379</v>
      </c>
      <c r="C1691" s="1" t="n">
        <v>45881</v>
      </c>
      <c r="D1691" t="inlineStr">
        <is>
          <t>VÄSTERNORRLANDS LÄN</t>
        </is>
      </c>
      <c r="E1691" t="inlineStr">
        <is>
          <t>SUNDSVALL</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10890-2022</t>
        </is>
      </c>
      <c r="B1692" s="1" t="n">
        <v>44627</v>
      </c>
      <c r="C1692" s="1" t="n">
        <v>45881</v>
      </c>
      <c r="D1692" t="inlineStr">
        <is>
          <t>VÄSTERNORRLANDS LÄN</t>
        </is>
      </c>
      <c r="E1692" t="inlineStr">
        <is>
          <t>SUNDSVALL</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30546-2025</t>
        </is>
      </c>
      <c r="B1693" s="1" t="n">
        <v>45831</v>
      </c>
      <c r="C1693" s="1" t="n">
        <v>45881</v>
      </c>
      <c r="D1693" t="inlineStr">
        <is>
          <t>VÄSTERNORRLANDS LÄN</t>
        </is>
      </c>
      <c r="E1693" t="inlineStr">
        <is>
          <t>SUNDSVALL</t>
        </is>
      </c>
      <c r="F1693" t="inlineStr">
        <is>
          <t>Kyrkan</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37003-2025</t>
        </is>
      </c>
      <c r="B1694" s="1" t="n">
        <v>45874.68918981482</v>
      </c>
      <c r="C1694" s="1" t="n">
        <v>45881</v>
      </c>
      <c r="D1694" t="inlineStr">
        <is>
          <t>VÄSTERNORRLANDS LÄN</t>
        </is>
      </c>
      <c r="E1694" t="inlineStr">
        <is>
          <t>SUNDSVALL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59770-2022</t>
        </is>
      </c>
      <c r="B1695" s="1" t="n">
        <v>44908</v>
      </c>
      <c r="C1695" s="1" t="n">
        <v>45881</v>
      </c>
      <c r="D1695" t="inlineStr">
        <is>
          <t>VÄSTERNORRLANDS LÄN</t>
        </is>
      </c>
      <c r="E1695" t="inlineStr">
        <is>
          <t>SUNDSVALL</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37001-2025</t>
        </is>
      </c>
      <c r="B1696" s="1" t="n">
        <v>45874.68542824074</v>
      </c>
      <c r="C1696" s="1" t="n">
        <v>45881</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36950-2025</t>
        </is>
      </c>
      <c r="B1697" s="1" t="n">
        <v>45874.60196759259</v>
      </c>
      <c r="C1697" s="1" t="n">
        <v>45881</v>
      </c>
      <c r="D1697" t="inlineStr">
        <is>
          <t>VÄSTERNORRLANDS LÄN</t>
        </is>
      </c>
      <c r="E1697" t="inlineStr">
        <is>
          <t>SUNDSVALL</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16223-2024</t>
        </is>
      </c>
      <c r="B1698" s="1" t="n">
        <v>45406.96440972222</v>
      </c>
      <c r="C1698" s="1" t="n">
        <v>45881</v>
      </c>
      <c r="D1698" t="inlineStr">
        <is>
          <t>VÄSTERNORRLANDS LÄN</t>
        </is>
      </c>
      <c r="E1698" t="inlineStr">
        <is>
          <t>SUNDSVALL</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36972-2025</t>
        </is>
      </c>
      <c r="B1699" s="1" t="n">
        <v>45874.63732638889</v>
      </c>
      <c r="C1699" s="1" t="n">
        <v>45881</v>
      </c>
      <c r="D1699" t="inlineStr">
        <is>
          <t>VÄSTERNORRLANDS LÄN</t>
        </is>
      </c>
      <c r="E1699" t="inlineStr">
        <is>
          <t>SUNDSVALL</t>
        </is>
      </c>
      <c r="F1699" t="inlineStr">
        <is>
          <t>SCA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14732-2025</t>
        </is>
      </c>
      <c r="B1700" s="1" t="n">
        <v>45742.63611111111</v>
      </c>
      <c r="C1700" s="1" t="n">
        <v>45881</v>
      </c>
      <c r="D1700" t="inlineStr">
        <is>
          <t>VÄSTERNORRLANDS LÄN</t>
        </is>
      </c>
      <c r="E1700" t="inlineStr">
        <is>
          <t>SUNDSVALL</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57900-2020</t>
        </is>
      </c>
      <c r="B1701" s="1" t="n">
        <v>44140</v>
      </c>
      <c r="C1701" s="1" t="n">
        <v>45881</v>
      </c>
      <c r="D1701" t="inlineStr">
        <is>
          <t>VÄSTERNORRLANDS LÄN</t>
        </is>
      </c>
      <c r="E1701" t="inlineStr">
        <is>
          <t>SUNDSVALL</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36667-2025</t>
        </is>
      </c>
      <c r="B1702" s="1" t="n">
        <v>45873.381875</v>
      </c>
      <c r="C1702" s="1" t="n">
        <v>45881</v>
      </c>
      <c r="D1702" t="inlineStr">
        <is>
          <t>VÄSTERNORRLANDS LÄN</t>
        </is>
      </c>
      <c r="E1702" t="inlineStr">
        <is>
          <t>SUNDSVALL</t>
        </is>
      </c>
      <c r="F1702" t="inlineStr">
        <is>
          <t>Holmen skog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23951-2021</t>
        </is>
      </c>
      <c r="B1703" s="1" t="n">
        <v>44335</v>
      </c>
      <c r="C1703" s="1" t="n">
        <v>45881</v>
      </c>
      <c r="D1703" t="inlineStr">
        <is>
          <t>VÄSTERNORRLANDS LÄN</t>
        </is>
      </c>
      <c r="E1703" t="inlineStr">
        <is>
          <t>SUNDSVALL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36755-2025</t>
        </is>
      </c>
      <c r="B1704" s="1" t="n">
        <v>45873.56207175926</v>
      </c>
      <c r="C1704" s="1" t="n">
        <v>45881</v>
      </c>
      <c r="D1704" t="inlineStr">
        <is>
          <t>VÄSTERNORRLANDS LÄN</t>
        </is>
      </c>
      <c r="E1704" t="inlineStr">
        <is>
          <t>SUNDSVALL</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2591-2025</t>
        </is>
      </c>
      <c r="B1705" s="1" t="n">
        <v>45674.69960648148</v>
      </c>
      <c r="C1705" s="1" t="n">
        <v>45881</v>
      </c>
      <c r="D1705" t="inlineStr">
        <is>
          <t>VÄSTERNORRLANDS LÄN</t>
        </is>
      </c>
      <c r="E1705" t="inlineStr">
        <is>
          <t>SUNDSVALL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2595-2025</t>
        </is>
      </c>
      <c r="B1706" s="1" t="n">
        <v>45674.70722222222</v>
      </c>
      <c r="C1706" s="1" t="n">
        <v>45881</v>
      </c>
      <c r="D1706" t="inlineStr">
        <is>
          <t>VÄSTERNORRLANDS LÄN</t>
        </is>
      </c>
      <c r="E1706" t="inlineStr">
        <is>
          <t>SUNDSVALL</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695-2021</t>
        </is>
      </c>
      <c r="B1707" s="1" t="n">
        <v>44203</v>
      </c>
      <c r="C1707" s="1" t="n">
        <v>45881</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31115-2025</t>
        </is>
      </c>
      <c r="B1708" s="1" t="n">
        <v>45832.61564814814</v>
      </c>
      <c r="C1708" s="1" t="n">
        <v>45881</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36946-2025</t>
        </is>
      </c>
      <c r="B1709" s="1" t="n">
        <v>45874.59483796296</v>
      </c>
      <c r="C1709" s="1" t="n">
        <v>45881</v>
      </c>
      <c r="D1709" t="inlineStr">
        <is>
          <t>VÄSTERNORRLANDS LÄN</t>
        </is>
      </c>
      <c r="E1709" t="inlineStr">
        <is>
          <t>SUNDSVALL</t>
        </is>
      </c>
      <c r="F1709" t="inlineStr">
        <is>
          <t>SCA</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18171-2023</t>
        </is>
      </c>
      <c r="B1710" s="1" t="n">
        <v>45040.94369212963</v>
      </c>
      <c r="C1710" s="1" t="n">
        <v>45881</v>
      </c>
      <c r="D1710" t="inlineStr">
        <is>
          <t>VÄSTERNORRLANDS LÄN</t>
        </is>
      </c>
      <c r="E1710" t="inlineStr">
        <is>
          <t>SUNDSVALL</t>
        </is>
      </c>
      <c r="F1710" t="inlineStr">
        <is>
          <t>SCA</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36953-2025</t>
        </is>
      </c>
      <c r="B1711" s="1" t="n">
        <v>45874.60950231482</v>
      </c>
      <c r="C1711" s="1" t="n">
        <v>45881</v>
      </c>
      <c r="D1711" t="inlineStr">
        <is>
          <t>VÄSTERNORRLANDS LÄN</t>
        </is>
      </c>
      <c r="E1711" t="inlineStr">
        <is>
          <t>SUNDSVALL</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4332-2022</t>
        </is>
      </c>
      <c r="B1712" s="1" t="n">
        <v>44588</v>
      </c>
      <c r="C1712" s="1" t="n">
        <v>45881</v>
      </c>
      <c r="D1712" t="inlineStr">
        <is>
          <t>VÄSTERNORRLANDS LÄN</t>
        </is>
      </c>
      <c r="E1712" t="inlineStr">
        <is>
          <t>SUNDSVALL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31185-2025</t>
        </is>
      </c>
      <c r="B1713" s="1" t="n">
        <v>45832.67805555555</v>
      </c>
      <c r="C1713" s="1" t="n">
        <v>45881</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18987-2022</t>
        </is>
      </c>
      <c r="B1714" s="1" t="n">
        <v>44690.92653935185</v>
      </c>
      <c r="C1714" s="1" t="n">
        <v>45881</v>
      </c>
      <c r="D1714" t="inlineStr">
        <is>
          <t>VÄSTERNORRLANDS LÄN</t>
        </is>
      </c>
      <c r="E1714" t="inlineStr">
        <is>
          <t>SUNDSVALL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31695-2025</t>
        </is>
      </c>
      <c r="B1715" s="1" t="n">
        <v>45834.40709490741</v>
      </c>
      <c r="C1715" s="1" t="n">
        <v>45881</v>
      </c>
      <c r="D1715" t="inlineStr">
        <is>
          <t>VÄSTERNORRLANDS LÄN</t>
        </is>
      </c>
      <c r="E1715" t="inlineStr">
        <is>
          <t>SUNDSVALL</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31424-2025</t>
        </is>
      </c>
      <c r="B1716" s="1" t="n">
        <v>45833.49002314815</v>
      </c>
      <c r="C1716" s="1" t="n">
        <v>45881</v>
      </c>
      <c r="D1716" t="inlineStr">
        <is>
          <t>VÄSTERNORRLANDS LÄN</t>
        </is>
      </c>
      <c r="E1716" t="inlineStr">
        <is>
          <t>SUNDSVALL</t>
        </is>
      </c>
      <c r="F1716" t="inlineStr">
        <is>
          <t>Naturvårdsverket</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26337-2022</t>
        </is>
      </c>
      <c r="B1717" s="1" t="n">
        <v>44735</v>
      </c>
      <c r="C1717" s="1" t="n">
        <v>45881</v>
      </c>
      <c r="D1717" t="inlineStr">
        <is>
          <t>VÄSTERNORRLANDS LÄN</t>
        </is>
      </c>
      <c r="E1717" t="inlineStr">
        <is>
          <t>SUNDSVALL</t>
        </is>
      </c>
      <c r="F1717" t="inlineStr">
        <is>
          <t>Holmen skog AB</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5918-2024</t>
        </is>
      </c>
      <c r="B1718" s="1" t="n">
        <v>45335</v>
      </c>
      <c r="C1718" s="1" t="n">
        <v>45881</v>
      </c>
      <c r="D1718" t="inlineStr">
        <is>
          <t>VÄSTERNORRLANDS LÄN</t>
        </is>
      </c>
      <c r="E1718" t="inlineStr">
        <is>
          <t>SUNDSVALL</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31229-2025</t>
        </is>
      </c>
      <c r="B1719" s="1" t="n">
        <v>45832.81157407408</v>
      </c>
      <c r="C1719" s="1" t="n">
        <v>45881</v>
      </c>
      <c r="D1719" t="inlineStr">
        <is>
          <t>VÄSTERNORRLANDS LÄN</t>
        </is>
      </c>
      <c r="E1719" t="inlineStr">
        <is>
          <t>SUNDSVALL</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31319-2025</t>
        </is>
      </c>
      <c r="B1720" s="1" t="n">
        <v>45833</v>
      </c>
      <c r="C1720" s="1" t="n">
        <v>45881</v>
      </c>
      <c r="D1720" t="inlineStr">
        <is>
          <t>VÄSTERNORRLANDS LÄN</t>
        </is>
      </c>
      <c r="E1720" t="inlineStr">
        <is>
          <t>SUNDSVALL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58285-2022</t>
        </is>
      </c>
      <c r="B1721" s="1" t="n">
        <v>44901.49482638889</v>
      </c>
      <c r="C1721" s="1" t="n">
        <v>45881</v>
      </c>
      <c r="D1721" t="inlineStr">
        <is>
          <t>VÄSTERNORRLANDS LÄN</t>
        </is>
      </c>
      <c r="E1721" t="inlineStr">
        <is>
          <t>SUNDSVALL</t>
        </is>
      </c>
      <c r="G1721" t="n">
        <v>12.5</v>
      </c>
      <c r="H1721" t="n">
        <v>0</v>
      </c>
      <c r="I1721" t="n">
        <v>0</v>
      </c>
      <c r="J1721" t="n">
        <v>0</v>
      </c>
      <c r="K1721" t="n">
        <v>0</v>
      </c>
      <c r="L1721" t="n">
        <v>0</v>
      </c>
      <c r="M1721" t="n">
        <v>0</v>
      </c>
      <c r="N1721" t="n">
        <v>0</v>
      </c>
      <c r="O1721" t="n">
        <v>0</v>
      </c>
      <c r="P1721" t="n">
        <v>0</v>
      </c>
      <c r="Q1721" t="n">
        <v>0</v>
      </c>
      <c r="R1721" s="2" t="inlineStr"/>
    </row>
    <row r="1722" ht="15" customHeight="1">
      <c r="A1722" t="inlineStr">
        <is>
          <t>A 37080-2025</t>
        </is>
      </c>
      <c r="B1722" s="1" t="n">
        <v>45875.42811342593</v>
      </c>
      <c r="C1722" s="1" t="n">
        <v>45881</v>
      </c>
      <c r="D1722" t="inlineStr">
        <is>
          <t>VÄSTERNORRLANDS LÄN</t>
        </is>
      </c>
      <c r="E1722" t="inlineStr">
        <is>
          <t>SUNDSVALL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36971-2025</t>
        </is>
      </c>
      <c r="B1723" s="1" t="n">
        <v>45874.6371875</v>
      </c>
      <c r="C1723" s="1" t="n">
        <v>45881</v>
      </c>
      <c r="D1723" t="inlineStr">
        <is>
          <t>VÄSTERNORRLANDS LÄN</t>
        </is>
      </c>
      <c r="E1723" t="inlineStr">
        <is>
          <t>SUNDSVALL</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31270-2025</t>
        </is>
      </c>
      <c r="B1724" s="1" t="n">
        <v>45833.33703703704</v>
      </c>
      <c r="C1724" s="1" t="n">
        <v>45881</v>
      </c>
      <c r="D1724" t="inlineStr">
        <is>
          <t>VÄSTERNORRLANDS LÄN</t>
        </is>
      </c>
      <c r="E1724" t="inlineStr">
        <is>
          <t>SUNDSVALL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31299-2025</t>
        </is>
      </c>
      <c r="B1725" s="1" t="n">
        <v>45833.37456018518</v>
      </c>
      <c r="C1725" s="1" t="n">
        <v>45881</v>
      </c>
      <c r="D1725" t="inlineStr">
        <is>
          <t>VÄSTERNORRLANDS LÄN</t>
        </is>
      </c>
      <c r="E1725" t="inlineStr">
        <is>
          <t>SUNDSVALL</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31322-2025</t>
        </is>
      </c>
      <c r="B1726" s="1" t="n">
        <v>45833</v>
      </c>
      <c r="C1726" s="1" t="n">
        <v>45881</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37113-2025</t>
        </is>
      </c>
      <c r="B1727" s="1" t="n">
        <v>45875.51104166666</v>
      </c>
      <c r="C1727" s="1" t="n">
        <v>45881</v>
      </c>
      <c r="D1727" t="inlineStr">
        <is>
          <t>VÄSTERNORRLANDS LÄN</t>
        </is>
      </c>
      <c r="E1727" t="inlineStr">
        <is>
          <t>SUNDSVALL</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31388-2025</t>
        </is>
      </c>
      <c r="B1728" s="1" t="n">
        <v>45833.45306712963</v>
      </c>
      <c r="C1728" s="1" t="n">
        <v>45881</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37205-2025</t>
        </is>
      </c>
      <c r="B1729" s="1" t="n">
        <v>45875.69844907407</v>
      </c>
      <c r="C1729" s="1" t="n">
        <v>45881</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1100-2022</t>
        </is>
      </c>
      <c r="B1730" s="1" t="n">
        <v>44571</v>
      </c>
      <c r="C1730" s="1" t="n">
        <v>45881</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36295-2025</t>
        </is>
      </c>
      <c r="B1731" s="1" t="n">
        <v>45867</v>
      </c>
      <c r="C1731" s="1" t="n">
        <v>45881</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1561-2021</t>
        </is>
      </c>
      <c r="B1732" s="1" t="n">
        <v>44209.44822916666</v>
      </c>
      <c r="C1732" s="1" t="n">
        <v>45881</v>
      </c>
      <c r="D1732" t="inlineStr">
        <is>
          <t>VÄSTERNORRLANDS LÄN</t>
        </is>
      </c>
      <c r="E1732" t="inlineStr">
        <is>
          <t>SUNDSVALL</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31385-2025</t>
        </is>
      </c>
      <c r="B1733" s="1" t="n">
        <v>45833.45167824074</v>
      </c>
      <c r="C1733" s="1" t="n">
        <v>45881</v>
      </c>
      <c r="D1733" t="inlineStr">
        <is>
          <t>VÄSTERNORRLANDS LÄN</t>
        </is>
      </c>
      <c r="E1733" t="inlineStr">
        <is>
          <t>SUNDSVALL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37081-2025</t>
        </is>
      </c>
      <c r="B1734" s="1" t="n">
        <v>45875.43229166666</v>
      </c>
      <c r="C1734" s="1" t="n">
        <v>45881</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37114-2025</t>
        </is>
      </c>
      <c r="B1735" s="1" t="n">
        <v>45875.5112037037</v>
      </c>
      <c r="C1735" s="1" t="n">
        <v>45881</v>
      </c>
      <c r="D1735" t="inlineStr">
        <is>
          <t>VÄSTERNORRLANDS LÄN</t>
        </is>
      </c>
      <c r="E1735" t="inlineStr">
        <is>
          <t>SUNDSVALL</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31708-2025</t>
        </is>
      </c>
      <c r="B1736" s="1" t="n">
        <v>45834.42398148148</v>
      </c>
      <c r="C1736" s="1" t="n">
        <v>45881</v>
      </c>
      <c r="D1736" t="inlineStr">
        <is>
          <t>VÄSTERNORRLANDS LÄN</t>
        </is>
      </c>
      <c r="E1736" t="inlineStr">
        <is>
          <t>SUNDSVALL</t>
        </is>
      </c>
      <c r="F1736" t="inlineStr">
        <is>
          <t>Kommuner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31382-2025</t>
        </is>
      </c>
      <c r="B1737" s="1" t="n">
        <v>45833.4502199074</v>
      </c>
      <c r="C1737" s="1" t="n">
        <v>45881</v>
      </c>
      <c r="D1737" t="inlineStr">
        <is>
          <t>VÄSTERNORRLANDS LÄN</t>
        </is>
      </c>
      <c r="E1737" t="inlineStr">
        <is>
          <t>SUNDSVALL</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31486-2025</t>
        </is>
      </c>
      <c r="B1738" s="1" t="n">
        <v>45833.57436342593</v>
      </c>
      <c r="C1738" s="1" t="n">
        <v>45881</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31295-2025</t>
        </is>
      </c>
      <c r="B1739" s="1" t="n">
        <v>45833.36490740741</v>
      </c>
      <c r="C1739" s="1" t="n">
        <v>45881</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37165-2025</t>
        </is>
      </c>
      <c r="B1740" s="1" t="n">
        <v>45875.60496527778</v>
      </c>
      <c r="C1740" s="1" t="n">
        <v>45881</v>
      </c>
      <c r="D1740" t="inlineStr">
        <is>
          <t>VÄSTERNORRLANDS LÄN</t>
        </is>
      </c>
      <c r="E1740" t="inlineStr">
        <is>
          <t>SUNDSVALL</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31261-2025</t>
        </is>
      </c>
      <c r="B1741" s="1" t="n">
        <v>45833.32525462963</v>
      </c>
      <c r="C1741" s="1" t="n">
        <v>45881</v>
      </c>
      <c r="D1741" t="inlineStr">
        <is>
          <t>VÄSTERNORRLANDS LÄN</t>
        </is>
      </c>
      <c r="E1741" t="inlineStr">
        <is>
          <t>SUNDSVALL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31931-2025</t>
        </is>
      </c>
      <c r="B1742" s="1" t="n">
        <v>45834.95619212963</v>
      </c>
      <c r="C1742" s="1" t="n">
        <v>45881</v>
      </c>
      <c r="D1742" t="inlineStr">
        <is>
          <t>VÄSTERNORRLANDS LÄN</t>
        </is>
      </c>
      <c r="E1742" t="inlineStr">
        <is>
          <t>SUNDSVALL</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28492-2025</t>
        </is>
      </c>
      <c r="B1743" s="1" t="n">
        <v>45819</v>
      </c>
      <c r="C1743" s="1" t="n">
        <v>45881</v>
      </c>
      <c r="D1743" t="inlineStr">
        <is>
          <t>VÄSTERNORRLANDS LÄN</t>
        </is>
      </c>
      <c r="E1743" t="inlineStr">
        <is>
          <t>SUNDSVALL</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20264-2023</t>
        </is>
      </c>
      <c r="B1744" s="1" t="n">
        <v>45055</v>
      </c>
      <c r="C1744" s="1" t="n">
        <v>45881</v>
      </c>
      <c r="D1744" t="inlineStr">
        <is>
          <t>VÄSTERNORRLANDS LÄN</t>
        </is>
      </c>
      <c r="E1744" t="inlineStr">
        <is>
          <t>SUNDSVALL</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37588-2025</t>
        </is>
      </c>
      <c r="B1745" s="1" t="n">
        <v>45880.40707175926</v>
      </c>
      <c r="C1745" s="1" t="n">
        <v>45881</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32359-2025</t>
        </is>
      </c>
      <c r="B1746" s="1" t="n">
        <v>45837.59410879629</v>
      </c>
      <c r="C1746" s="1" t="n">
        <v>45881</v>
      </c>
      <c r="D1746" t="inlineStr">
        <is>
          <t>VÄSTERNORRLANDS LÄN</t>
        </is>
      </c>
      <c r="E1746" t="inlineStr">
        <is>
          <t>SUNDSVALL</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37329-2025</t>
        </is>
      </c>
      <c r="B1747" s="1" t="n">
        <v>45876</v>
      </c>
      <c r="C1747" s="1" t="n">
        <v>45881</v>
      </c>
      <c r="D1747" t="inlineStr">
        <is>
          <t>VÄSTERNORRLANDS LÄN</t>
        </is>
      </c>
      <c r="E1747" t="inlineStr">
        <is>
          <t>SUNDSVALL</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32385-2025</t>
        </is>
      </c>
      <c r="B1748" s="1" t="n">
        <v>45837.80767361111</v>
      </c>
      <c r="C1748" s="1" t="n">
        <v>45881</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32351-2025</t>
        </is>
      </c>
      <c r="B1749" s="1" t="n">
        <v>45837.4900462963</v>
      </c>
      <c r="C1749" s="1" t="n">
        <v>45881</v>
      </c>
      <c r="D1749" t="inlineStr">
        <is>
          <t>VÄSTERNORRLANDS LÄN</t>
        </is>
      </c>
      <c r="E1749" t="inlineStr">
        <is>
          <t>SUNDSVALL</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32360-2025</t>
        </is>
      </c>
      <c r="B1750" s="1" t="n">
        <v>45837.59423611111</v>
      </c>
      <c r="C1750" s="1" t="n">
        <v>45881</v>
      </c>
      <c r="D1750" t="inlineStr">
        <is>
          <t>VÄSTERNORRLANDS LÄN</t>
        </is>
      </c>
      <c r="E1750" t="inlineStr">
        <is>
          <t>SUNDSVALL</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32350-2025</t>
        </is>
      </c>
      <c r="B1751" s="1" t="n">
        <v>45837.48990740741</v>
      </c>
      <c r="C1751" s="1" t="n">
        <v>45881</v>
      </c>
      <c r="D1751" t="inlineStr">
        <is>
          <t>VÄSTERNORRLANDS LÄN</t>
        </is>
      </c>
      <c r="E1751" t="inlineStr">
        <is>
          <t>SUNDSVALL</t>
        </is>
      </c>
      <c r="F1751" t="inlineStr">
        <is>
          <t>SCA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31932-2025</t>
        </is>
      </c>
      <c r="B1752" s="1" t="n">
        <v>45834.95900462963</v>
      </c>
      <c r="C1752" s="1" t="n">
        <v>45881</v>
      </c>
      <c r="D1752" t="inlineStr">
        <is>
          <t>VÄSTERNORRLANDS LÄN</t>
        </is>
      </c>
      <c r="E1752" t="inlineStr">
        <is>
          <t>SUNDSVALL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36772-2025</t>
        </is>
      </c>
      <c r="B1753" s="1" t="n">
        <v>45873</v>
      </c>
      <c r="C1753" s="1" t="n">
        <v>45881</v>
      </c>
      <c r="D1753" t="inlineStr">
        <is>
          <t>VÄSTERNORRLANDS LÄN</t>
        </is>
      </c>
      <c r="E1753" t="inlineStr">
        <is>
          <t>SUNDSVALL</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24155-2023</t>
        </is>
      </c>
      <c r="B1754" s="1" t="n">
        <v>45076</v>
      </c>
      <c r="C1754" s="1" t="n">
        <v>45881</v>
      </c>
      <c r="D1754" t="inlineStr">
        <is>
          <t>VÄSTERNORRLANDS LÄN</t>
        </is>
      </c>
      <c r="E1754" t="inlineStr">
        <is>
          <t>SUNDSVALL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32275-2025</t>
        </is>
      </c>
      <c r="B1755" s="1" t="n">
        <v>45835.65856481482</v>
      </c>
      <c r="C1755" s="1" t="n">
        <v>45881</v>
      </c>
      <c r="D1755" t="inlineStr">
        <is>
          <t>VÄSTERNORRLANDS LÄN</t>
        </is>
      </c>
      <c r="E1755" t="inlineStr">
        <is>
          <t>SUNDSVALL</t>
        </is>
      </c>
      <c r="F1755" t="inlineStr">
        <is>
          <t>Kyrkan</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37577-2025</t>
        </is>
      </c>
      <c r="B1756" s="1" t="n">
        <v>45880.38368055555</v>
      </c>
      <c r="C1756" s="1" t="n">
        <v>45881</v>
      </c>
      <c r="D1756" t="inlineStr">
        <is>
          <t>VÄSTERNORRLANDS LÄN</t>
        </is>
      </c>
      <c r="E1756" t="inlineStr">
        <is>
          <t>SUNDSVALL</t>
        </is>
      </c>
      <c r="F1756" t="inlineStr">
        <is>
          <t>Holmen skog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32285-2025</t>
        </is>
      </c>
      <c r="B1757" s="1" t="n">
        <v>45835.68939814815</v>
      </c>
      <c r="C1757" s="1" t="n">
        <v>45881</v>
      </c>
      <c r="D1757" t="inlineStr">
        <is>
          <t>VÄSTERNORRLANDS LÄN</t>
        </is>
      </c>
      <c r="E1757" t="inlineStr">
        <is>
          <t>SUNDSVALL</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32288-2025</t>
        </is>
      </c>
      <c r="B1758" s="1" t="n">
        <v>45835.69495370371</v>
      </c>
      <c r="C1758" s="1" t="n">
        <v>45881</v>
      </c>
      <c r="D1758" t="inlineStr">
        <is>
          <t>VÄSTERNORRLANDS LÄN</t>
        </is>
      </c>
      <c r="E1758" t="inlineStr">
        <is>
          <t>SUNDSVALL</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21639-2023</t>
        </is>
      </c>
      <c r="B1759" s="1" t="n">
        <v>45063</v>
      </c>
      <c r="C1759" s="1" t="n">
        <v>45881</v>
      </c>
      <c r="D1759" t="inlineStr">
        <is>
          <t>VÄSTERNORRLANDS LÄN</t>
        </is>
      </c>
      <c r="E1759" t="inlineStr">
        <is>
          <t>SUNDSVALL</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32492-2025</t>
        </is>
      </c>
      <c r="B1760" s="1" t="n">
        <v>45838.44849537037</v>
      </c>
      <c r="C1760" s="1" t="n">
        <v>45881</v>
      </c>
      <c r="D1760" t="inlineStr">
        <is>
          <t>VÄSTERNORRLANDS LÄN</t>
        </is>
      </c>
      <c r="E1760" t="inlineStr">
        <is>
          <t>SUNDSVALL</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34375-2025</t>
        </is>
      </c>
      <c r="B1761" s="1" t="n">
        <v>45846</v>
      </c>
      <c r="C1761" s="1" t="n">
        <v>45881</v>
      </c>
      <c r="D1761" t="inlineStr">
        <is>
          <t>VÄSTERNORRLANDS LÄN</t>
        </is>
      </c>
      <c r="E1761" t="inlineStr">
        <is>
          <t>SUNDSVALL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31935-2025</t>
        </is>
      </c>
      <c r="B1762" s="1" t="n">
        <v>45834.97435185185</v>
      </c>
      <c r="C1762" s="1" t="n">
        <v>45881</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42201-2021</t>
        </is>
      </c>
      <c r="B1763" s="1" t="n">
        <v>44426</v>
      </c>
      <c r="C1763" s="1" t="n">
        <v>45881</v>
      </c>
      <c r="D1763" t="inlineStr">
        <is>
          <t>VÄSTERNORRLANDS LÄN</t>
        </is>
      </c>
      <c r="E1763" t="inlineStr">
        <is>
          <t>SUNDSVALL</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32068-2025</t>
        </is>
      </c>
      <c r="B1764" s="1" t="n">
        <v>45835.44856481482</v>
      </c>
      <c r="C1764" s="1" t="n">
        <v>45881</v>
      </c>
      <c r="D1764" t="inlineStr">
        <is>
          <t>VÄSTERNORRLANDS LÄN</t>
        </is>
      </c>
      <c r="E1764" t="inlineStr">
        <is>
          <t>SUNDSVALL</t>
        </is>
      </c>
      <c r="F1764" t="inlineStr">
        <is>
          <t>Naturvårdsverket</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37567-2025</t>
        </is>
      </c>
      <c r="B1765" s="1" t="n">
        <v>45880.36350694444</v>
      </c>
      <c r="C1765" s="1" t="n">
        <v>45881</v>
      </c>
      <c r="D1765" t="inlineStr">
        <is>
          <t>VÄSTERNORRLANDS LÄN</t>
        </is>
      </c>
      <c r="E1765" t="inlineStr">
        <is>
          <t>SUNDSVALL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31933-2025</t>
        </is>
      </c>
      <c r="B1766" s="1" t="n">
        <v>45834.96138888889</v>
      </c>
      <c r="C1766" s="1" t="n">
        <v>45881</v>
      </c>
      <c r="D1766" t="inlineStr">
        <is>
          <t>VÄSTERNORRLANDS LÄN</t>
        </is>
      </c>
      <c r="E1766" t="inlineStr">
        <is>
          <t>SUNDSVALL</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31934-2025</t>
        </is>
      </c>
      <c r="B1767" s="1" t="n">
        <v>45834.96792824074</v>
      </c>
      <c r="C1767" s="1" t="n">
        <v>45881</v>
      </c>
      <c r="D1767" t="inlineStr">
        <is>
          <t>VÄSTERNORRLANDS LÄN</t>
        </is>
      </c>
      <c r="E1767" t="inlineStr">
        <is>
          <t>SUNDSVALL</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37437-2025</t>
        </is>
      </c>
      <c r="B1768" s="1" t="n">
        <v>45877.53177083333</v>
      </c>
      <c r="C1768" s="1" t="n">
        <v>45881</v>
      </c>
      <c r="D1768" t="inlineStr">
        <is>
          <t>VÄSTERNORRLANDS LÄN</t>
        </is>
      </c>
      <c r="E1768" t="inlineStr">
        <is>
          <t>SUNDSVALL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2108-2023</t>
        </is>
      </c>
      <c r="B1769" s="1" t="n">
        <v>44939.92412037037</v>
      </c>
      <c r="C1769" s="1" t="n">
        <v>45881</v>
      </c>
      <c r="D1769" t="inlineStr">
        <is>
          <t>VÄSTERNORRLANDS LÄN</t>
        </is>
      </c>
      <c r="E1769" t="inlineStr">
        <is>
          <t>SUNDSVALL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32356-2025</t>
        </is>
      </c>
      <c r="B1770" s="1" t="n">
        <v>45837.57331018519</v>
      </c>
      <c r="C1770" s="1" t="n">
        <v>45881</v>
      </c>
      <c r="D1770" t="inlineStr">
        <is>
          <t>VÄSTERNORRLANDS LÄN</t>
        </is>
      </c>
      <c r="E1770" t="inlineStr">
        <is>
          <t>SUNDSVALL</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32357-2025</t>
        </is>
      </c>
      <c r="B1771" s="1" t="n">
        <v>45837.5734375</v>
      </c>
      <c r="C1771" s="1" t="n">
        <v>45881</v>
      </c>
      <c r="D1771" t="inlineStr">
        <is>
          <t>VÄSTERNORRLANDS LÄN</t>
        </is>
      </c>
      <c r="E1771" t="inlineStr">
        <is>
          <t>SUNDSVALL</t>
        </is>
      </c>
      <c r="F1771" t="inlineStr">
        <is>
          <t>SCA</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37597-2025</t>
        </is>
      </c>
      <c r="B1772" s="1" t="n">
        <v>45880.41709490741</v>
      </c>
      <c r="C1772" s="1" t="n">
        <v>45881</v>
      </c>
      <c r="D1772" t="inlineStr">
        <is>
          <t>VÄSTERNORRLANDS LÄN</t>
        </is>
      </c>
      <c r="E1772" t="inlineStr">
        <is>
          <t>SUNDSVALL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37598-2025</t>
        </is>
      </c>
      <c r="B1773" s="1" t="n">
        <v>45880.41893518518</v>
      </c>
      <c r="C1773" s="1" t="n">
        <v>45881</v>
      </c>
      <c r="D1773" t="inlineStr">
        <is>
          <t>VÄSTERNORRLANDS LÄN</t>
        </is>
      </c>
      <c r="E1773" t="inlineStr">
        <is>
          <t>SUNDSVALL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32383-2025</t>
        </is>
      </c>
      <c r="B1774" s="1" t="n">
        <v>45837.80671296296</v>
      </c>
      <c r="C1774" s="1" t="n">
        <v>45881</v>
      </c>
      <c r="D1774" t="inlineStr">
        <is>
          <t>VÄSTERNORRLANDS LÄN</t>
        </is>
      </c>
      <c r="E1774" t="inlineStr">
        <is>
          <t>SUNDSVALL</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4123-2021</t>
        </is>
      </c>
      <c r="B1775" s="1" t="n">
        <v>44222</v>
      </c>
      <c r="C1775" s="1" t="n">
        <v>45881</v>
      </c>
      <c r="D1775" t="inlineStr">
        <is>
          <t>VÄSTERNORRLANDS LÄN</t>
        </is>
      </c>
      <c r="E1775" t="inlineStr">
        <is>
          <t>SUNDSVALL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21339-2024</t>
        </is>
      </c>
      <c r="B1776" s="1" t="n">
        <v>45440</v>
      </c>
      <c r="C1776" s="1" t="n">
        <v>45881</v>
      </c>
      <c r="D1776" t="inlineStr">
        <is>
          <t>VÄSTERNORRLANDS LÄN</t>
        </is>
      </c>
      <c r="E1776" t="inlineStr">
        <is>
          <t>SUNDSVALL</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17821-2023</t>
        </is>
      </c>
      <c r="B1777" s="1" t="n">
        <v>45037</v>
      </c>
      <c r="C1777" s="1" t="n">
        <v>45881</v>
      </c>
      <c r="D1777" t="inlineStr">
        <is>
          <t>VÄSTERNORRLANDS LÄN</t>
        </is>
      </c>
      <c r="E1777" t="inlineStr">
        <is>
          <t>SUNDSVALL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39037-2024</t>
        </is>
      </c>
      <c r="B1778" s="1" t="n">
        <v>45548.47015046296</v>
      </c>
      <c r="C1778" s="1" t="n">
        <v>45881</v>
      </c>
      <c r="D1778" t="inlineStr">
        <is>
          <t>VÄSTERNORRLANDS LÄN</t>
        </is>
      </c>
      <c r="E1778" t="inlineStr">
        <is>
          <t>SUNDSVALL</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61723-2020</t>
        </is>
      </c>
      <c r="B1779" s="1" t="n">
        <v>44158</v>
      </c>
      <c r="C1779" s="1" t="n">
        <v>45881</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33206-2021</t>
        </is>
      </c>
      <c r="B1780" s="1" t="n">
        <v>44376.93366898148</v>
      </c>
      <c r="C1780" s="1" t="n">
        <v>45881</v>
      </c>
      <c r="D1780" t="inlineStr">
        <is>
          <t>VÄSTERNORRLANDS LÄN</t>
        </is>
      </c>
      <c r="E1780" t="inlineStr">
        <is>
          <t>SUNDSVALL</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45062-2023</t>
        </is>
      </c>
      <c r="B1781" s="1" t="n">
        <v>45191</v>
      </c>
      <c r="C1781" s="1" t="n">
        <v>45881</v>
      </c>
      <c r="D1781" t="inlineStr">
        <is>
          <t>VÄSTERNORRLANDS LÄN</t>
        </is>
      </c>
      <c r="E1781" t="inlineStr">
        <is>
          <t>SUNDSVALL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14462-2022</t>
        </is>
      </c>
      <c r="B1782" s="1" t="n">
        <v>44654.62800925926</v>
      </c>
      <c r="C1782" s="1" t="n">
        <v>45881</v>
      </c>
      <c r="D1782" t="inlineStr">
        <is>
          <t>VÄSTERNORRLANDS LÄN</t>
        </is>
      </c>
      <c r="E1782" t="inlineStr">
        <is>
          <t>SUNDSVALL</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44966-2023</t>
        </is>
      </c>
      <c r="B1783" s="1" t="n">
        <v>45190.92496527778</v>
      </c>
      <c r="C1783" s="1" t="n">
        <v>45881</v>
      </c>
      <c r="D1783" t="inlineStr">
        <is>
          <t>VÄSTERNORRLANDS LÄN</t>
        </is>
      </c>
      <c r="E1783" t="inlineStr">
        <is>
          <t>SUNDSVALL</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48019-2023</t>
        </is>
      </c>
      <c r="B1784" s="1" t="n">
        <v>45198</v>
      </c>
      <c r="C1784" s="1" t="n">
        <v>45881</v>
      </c>
      <c r="D1784" t="inlineStr">
        <is>
          <t>VÄSTERNORRLANDS LÄN</t>
        </is>
      </c>
      <c r="E1784" t="inlineStr">
        <is>
          <t>SUNDSVALL</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49631-2024</t>
        </is>
      </c>
      <c r="B1785" s="1" t="n">
        <v>45596.59438657408</v>
      </c>
      <c r="C1785" s="1" t="n">
        <v>45881</v>
      </c>
      <c r="D1785" t="inlineStr">
        <is>
          <t>VÄSTERNORRLANDS LÄN</t>
        </is>
      </c>
      <c r="E1785" t="inlineStr">
        <is>
          <t>SUNDSVALL</t>
        </is>
      </c>
      <c r="F1785" t="inlineStr">
        <is>
          <t>Holmen skog AB</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1573-2023</t>
        </is>
      </c>
      <c r="B1786" s="1" t="n">
        <v>44937.61605324074</v>
      </c>
      <c r="C1786" s="1" t="n">
        <v>45881</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9744-2023</t>
        </is>
      </c>
      <c r="B1787" s="1" t="n">
        <v>44984</v>
      </c>
      <c r="C1787" s="1" t="n">
        <v>45881</v>
      </c>
      <c r="D1787" t="inlineStr">
        <is>
          <t>VÄSTERNORRLANDS LÄN</t>
        </is>
      </c>
      <c r="E1787" t="inlineStr">
        <is>
          <t>SUNDSVALL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64491-2023</t>
        </is>
      </c>
      <c r="B1788" s="1" t="n">
        <v>45280</v>
      </c>
      <c r="C1788" s="1" t="n">
        <v>45881</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16479-2025</t>
        </is>
      </c>
      <c r="B1789" s="1" t="n">
        <v>45751</v>
      </c>
      <c r="C1789" s="1" t="n">
        <v>45881</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62184-2021</t>
        </is>
      </c>
      <c r="B1790" s="1" t="n">
        <v>44502</v>
      </c>
      <c r="C1790" s="1" t="n">
        <v>45881</v>
      </c>
      <c r="D1790" t="inlineStr">
        <is>
          <t>VÄSTERNORRLANDS LÄN</t>
        </is>
      </c>
      <c r="E1790" t="inlineStr">
        <is>
          <t>SUNDSVALL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63055-2023</t>
        </is>
      </c>
      <c r="B1791" s="1" t="n">
        <v>45272</v>
      </c>
      <c r="C1791" s="1" t="n">
        <v>45881</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14231-2021</t>
        </is>
      </c>
      <c r="B1792" s="1" t="n">
        <v>44277</v>
      </c>
      <c r="C1792" s="1" t="n">
        <v>45881</v>
      </c>
      <c r="D1792" t="inlineStr">
        <is>
          <t>VÄSTERNORRLANDS LÄN</t>
        </is>
      </c>
      <c r="E1792" t="inlineStr">
        <is>
          <t>SUNDSVALL</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25996-2023</t>
        </is>
      </c>
      <c r="B1793" s="1" t="n">
        <v>45090.92568287037</v>
      </c>
      <c r="C1793" s="1" t="n">
        <v>45881</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26200-2024</t>
        </is>
      </c>
      <c r="B1794" s="1" t="n">
        <v>45468</v>
      </c>
      <c r="C1794" s="1" t="n">
        <v>45881</v>
      </c>
      <c r="D1794" t="inlineStr">
        <is>
          <t>VÄSTERNORRLANDS LÄN</t>
        </is>
      </c>
      <c r="E1794" t="inlineStr">
        <is>
          <t>SUNDSVALL</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45881</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45881</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54314-2024</t>
        </is>
      </c>
      <c r="B1797" s="1" t="n">
        <v>45617.34430555555</v>
      </c>
      <c r="C1797" s="1" t="n">
        <v>45881</v>
      </c>
      <c r="D1797" t="inlineStr">
        <is>
          <t>VÄSTERNORRLANDS LÄN</t>
        </is>
      </c>
      <c r="E1797" t="inlineStr">
        <is>
          <t>SUNDSVALL</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51476-2024</t>
        </is>
      </c>
      <c r="B1798" s="1" t="n">
        <v>45604</v>
      </c>
      <c r="C1798" s="1" t="n">
        <v>45881</v>
      </c>
      <c r="D1798" t="inlineStr">
        <is>
          <t>VÄSTERNORRLANDS LÄN</t>
        </is>
      </c>
      <c r="E1798" t="inlineStr">
        <is>
          <t>SUNDSVALL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51368-2020</t>
        </is>
      </c>
      <c r="B1799" s="1" t="n">
        <v>44112</v>
      </c>
      <c r="C1799" s="1" t="n">
        <v>45881</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43195-2021</t>
        </is>
      </c>
      <c r="B1800" s="1" t="n">
        <v>44431</v>
      </c>
      <c r="C1800" s="1" t="n">
        <v>45881</v>
      </c>
      <c r="D1800" t="inlineStr">
        <is>
          <t>VÄSTERNORRLANDS LÄN</t>
        </is>
      </c>
      <c r="E1800" t="inlineStr">
        <is>
          <t>SUNDSVALL</t>
        </is>
      </c>
      <c r="G1800" t="n">
        <v>3.7</v>
      </c>
      <c r="H1800" t="n">
        <v>0</v>
      </c>
      <c r="I1800" t="n">
        <v>0</v>
      </c>
      <c r="J1800" t="n">
        <v>0</v>
      </c>
      <c r="K1800" t="n">
        <v>0</v>
      </c>
      <c r="L1800" t="n">
        <v>0</v>
      </c>
      <c r="M1800" t="n">
        <v>0</v>
      </c>
      <c r="N1800" t="n">
        <v>0</v>
      </c>
      <c r="O1800" t="n">
        <v>0</v>
      </c>
      <c r="P1800" t="n">
        <v>0</v>
      </c>
      <c r="Q1800" t="n">
        <v>0</v>
      </c>
      <c r="R1800" s="2" t="inlineStr"/>
    </row>
    <row r="1801">
      <c r="A1801" t="inlineStr">
        <is>
          <t>A 52119-2023</t>
        </is>
      </c>
      <c r="B1801" s="1" t="n">
        <v>45223</v>
      </c>
      <c r="C1801" s="1" t="n">
        <v>45881</v>
      </c>
      <c r="D1801" t="inlineStr">
        <is>
          <t>VÄSTERNORRLANDS LÄN</t>
        </is>
      </c>
      <c r="E1801" t="inlineStr">
        <is>
          <t>SUNDSVALL</t>
        </is>
      </c>
      <c r="F1801" t="inlineStr">
        <is>
          <t>SCA</t>
        </is>
      </c>
      <c r="G1801" t="n">
        <v>2.9</v>
      </c>
      <c r="H1801" t="n">
        <v>0</v>
      </c>
      <c r="I1801" t="n">
        <v>0</v>
      </c>
      <c r="J1801" t="n">
        <v>0</v>
      </c>
      <c r="K1801" t="n">
        <v>0</v>
      </c>
      <c r="L1801" t="n">
        <v>0</v>
      </c>
      <c r="M1801" t="n">
        <v>0</v>
      </c>
      <c r="N1801" t="n">
        <v>0</v>
      </c>
      <c r="O1801" t="n">
        <v>0</v>
      </c>
      <c r="P1801" t="n">
        <v>0</v>
      </c>
      <c r="Q1801" t="n">
        <v>0</v>
      </c>
      <c r="R1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2025-08-12T08:24:00Z</dcterms:created>
  <dcterms:modified xmlns:dcterms="http://purl.org/dc/terms/" xmlns:xsi="http://www.w3.org/2001/XMLSchema-instance" xsi:type="dcterms:W3CDTF">2025-08-12T08:24:02Z</dcterms:modified>
</cp:coreProperties>
</file>