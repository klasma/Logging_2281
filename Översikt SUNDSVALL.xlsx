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45709</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45709</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45709</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45709</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45709</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45709</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45709</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45709</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45709</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45709</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45709</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45709</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45709</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45709</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45709</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45709</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45709</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45709</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45709</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45709</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45709</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45709</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45709</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45709</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45709</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45709</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45709</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45709</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45709</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45709</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45709</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45709</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45709</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45709</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45709</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45709</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45709</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45709</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45709</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45709</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45709</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45709</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45709</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45709</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45709</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45709</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45709</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45709</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45709</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45709</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45709</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45709</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45709</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45709</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45709</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45709</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45709</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45709</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45709</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45709</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45709</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45709</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45709</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45709</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45709</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45709</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45709</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45709</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45709</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45709</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45709</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45709</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45709</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45709</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45709</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45709</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45709</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45709</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45709</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45709</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45709</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45709</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45709</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45709</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45709</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45709</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45709</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45709</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45709</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45709</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45709</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45709</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45709</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45709</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45709</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45709</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45709</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45709</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45709</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45709</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45709</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45709</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45709</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45709</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45709</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45709</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45709</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45709</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45709</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45709</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45709</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45709</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45709</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45709</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45709</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45709</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45709</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45709</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45709</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45709</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45709</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45709</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45709</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45709</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45709</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45709</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45709</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45709</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45709</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45709</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45709</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45709</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45709</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45709</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45709</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45709</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45709</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45709</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45709</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45709</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45709</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45709</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45709</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45709</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45709</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45709</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45709</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45709</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45709</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45709</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45709</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45709</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45709</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45709</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45709</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45709</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45709</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45709</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45709</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45709</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45709</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45709</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45709</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45709</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45709</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45709</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45709</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45709</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45709</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45709</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45709</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45709</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45709</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45709</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45709</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45709</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45709</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45709</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45709</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45709</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45709</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45709</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45709</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45709</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45709</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4856-2025</t>
        </is>
      </c>
      <c r="B197" s="1" t="n">
        <v>45688</v>
      </c>
      <c r="C197" s="1" t="n">
        <v>45709</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4896-2025</t>
        </is>
      </c>
      <c r="B198" s="1" t="n">
        <v>45688</v>
      </c>
      <c r="C198" s="1" t="n">
        <v>45709</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4878-2025</t>
        </is>
      </c>
      <c r="B199" s="1" t="n">
        <v>45688</v>
      </c>
      <c r="C199" s="1" t="n">
        <v>45709</v>
      </c>
      <c r="D199" t="inlineStr">
        <is>
          <t>VÄSTERNORRLANDS LÄN</t>
        </is>
      </c>
      <c r="E199" t="inlineStr">
        <is>
          <t>SUNDSVALL</t>
        </is>
      </c>
      <c r="F199" t="inlineStr">
        <is>
          <t>SCA</t>
        </is>
      </c>
      <c r="G199" t="n">
        <v>4.2</v>
      </c>
      <c r="H199" t="n">
        <v>1</v>
      </c>
      <c r="I199" t="n">
        <v>0</v>
      </c>
      <c r="J199" t="n">
        <v>0</v>
      </c>
      <c r="K199" t="n">
        <v>1</v>
      </c>
      <c r="L199" t="n">
        <v>0</v>
      </c>
      <c r="M199" t="n">
        <v>0</v>
      </c>
      <c r="N199" t="n">
        <v>0</v>
      </c>
      <c r="O199" t="n">
        <v>1</v>
      </c>
      <c r="P199" t="n">
        <v>1</v>
      </c>
      <c r="Q199" t="n">
        <v>1</v>
      </c>
      <c r="R199" s="2" t="inlineStr">
        <is>
          <t>Knärot</t>
        </is>
      </c>
      <c r="S199">
        <f>HYPERLINK("https://klasma.github.io/Logging_2281/artfynd/A 4878-2025 artfynd.xlsx", "A 4878-2025")</f>
        <v/>
      </c>
      <c r="T199">
        <f>HYPERLINK("https://klasma.github.io/Logging_2281/kartor/A 4878-2025 karta.png", "A 4878-2025")</f>
        <v/>
      </c>
      <c r="U199">
        <f>HYPERLINK("https://klasma.github.io/Logging_2281/knärot/A 4878-2025 karta knärot.png", "A 4878-2025")</f>
        <v/>
      </c>
      <c r="V199">
        <f>HYPERLINK("https://klasma.github.io/Logging_2281/klagomål/A 4878-2025 FSC-klagomål.docx", "A 4878-2025")</f>
        <v/>
      </c>
      <c r="W199">
        <f>HYPERLINK("https://klasma.github.io/Logging_2281/klagomålsmail/A 4878-2025 FSC-klagomål mail.docx", "A 4878-2025")</f>
        <v/>
      </c>
      <c r="X199">
        <f>HYPERLINK("https://klasma.github.io/Logging_2281/tillsyn/A 4878-2025 tillsynsbegäran.docx", "A 4878-2025")</f>
        <v/>
      </c>
      <c r="Y199">
        <f>HYPERLINK("https://klasma.github.io/Logging_2281/tillsynsmail/A 4878-2025 tillsynsbegäran mail.docx", "A 4878-2025")</f>
        <v/>
      </c>
    </row>
    <row r="200" ht="15" customHeight="1">
      <c r="A200" t="inlineStr">
        <is>
          <t>A 18070-2019</t>
        </is>
      </c>
      <c r="B200" s="1" t="n">
        <v>43557</v>
      </c>
      <c r="C200" s="1" t="n">
        <v>45709</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45709</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45709</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45709</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45709</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45709</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45709</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45709</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45709</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45709</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45709</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45709</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45709</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45709</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45709</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45709</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45709</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45709</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45709</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45709</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45709</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45709</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45709</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45709</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45709</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45709</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45709</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45709</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45709</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45709</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45709</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45709</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45709</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45709</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45709</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45709</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45709</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45709</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45709</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45709</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45709</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45709</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45709</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45709</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45709</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45709</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45709</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45709</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45709</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45709</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45709</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45709</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45709</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45709</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45709</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45709</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45709</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45709</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45709</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45709</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45709</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45709</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45709</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45709</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45709</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45709</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45709</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45709</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45709</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45709</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45709</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45709</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45709</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45709</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45709</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45709</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45709</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45709</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45709</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45709</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45709</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45709</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45709</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45709</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45709</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45709</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45709</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45709</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45709</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45709</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45709</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45709</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45709</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45709</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45709</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45709</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45709</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45709</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45709</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45709</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45709</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45709</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45709</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45709</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45709</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45709</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45709</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45709</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45709</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45709</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45709</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45709</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45709</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45709</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45709</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45709</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45709</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45709</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45709</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45709</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45709</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45709</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45709</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45709</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45709</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45709</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45709</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45709</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45709</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45709</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45709</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45709</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45709</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45709</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45709</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45709</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45709</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45709</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45709</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45709</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45709</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45709</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45709</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45709</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45709</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45709</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45709</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45709</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45709</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45709</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45709</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45709</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45709</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45709</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45709</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45709</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45709</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45709</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45709</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45709</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45709</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45709</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45709</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45709</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45709</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45709</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45709</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45709</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45709</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45709</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45709</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45709</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45709</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45709</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45709</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45709</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45709</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45709</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45709</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45709</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45709</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45709</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45709</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45709</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45709</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45709</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45709</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45709</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45709</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45709</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45709</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45709</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45709</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45709</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45709</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45709</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45709</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45709</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45709</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45709</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45709</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45709</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45709</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45709</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45709</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45709</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45709</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45709</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45709</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45709</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45709</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45709</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45709</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45709</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45709</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45709</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45709</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45709</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45709</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45709</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45709</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45709</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45709</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45709</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45709</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45709</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45709</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45709</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45709</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45709</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45709</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45709</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45709</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45709</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45709</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45709</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45709</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45709</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45709</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45709</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45709</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45709</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45709</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45709</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45709</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45709</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45709</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45709</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45709</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45709</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45709</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45709</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45709</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45709</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45709</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45709</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45709</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45709</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45709</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45709</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45709</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45709</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45709</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45709</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45709</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45709</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45709</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45709</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45709</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45709</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45709</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45709</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45709</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45709</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45709</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45709</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45709</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45709</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45709</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45709</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45709</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45709</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45709</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45709</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45709</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45709</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45709</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45709</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45709</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45709</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45709</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45709</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45709</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45709</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45709</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45709</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45709</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45709</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45709</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45709</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45709</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45709</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45709</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45709</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45709</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45709</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45709</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45709</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45709</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45709</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45709</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45709</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45709</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45709</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45709</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45709</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45709</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45709</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45709</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45709</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45709</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45709</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45709</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45709</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45709</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45709</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45709</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45709</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45709</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45709</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45709</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45709</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45709</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45709</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45709</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45709</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45709</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45709</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45709</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45709</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45709</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45709</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45709</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45709</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45709</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45709</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45709</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45709</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45709</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45709</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45709</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45709</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45709</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45709</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45709</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45709</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45709</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45709</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45709</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45709</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45709</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45709</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45709</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45709</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45709</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45709</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45709</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45709</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45709</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45709</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45709</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45709</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45709</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45709</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45709</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45709</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45709</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45709</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45709</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45709</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45709</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45709</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45709</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45709</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45709</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45709</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45709</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45709</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45709</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45709</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45709</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45709</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45709</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45709</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45709</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45709</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45709</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45709</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45709</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45709</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45709</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45709</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45709</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45709</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45709</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45709</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45709</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45709</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45709</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45709</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45709</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45709</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45709</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45709</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45709</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45709</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45709</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45709</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45709</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45709</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45709</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45709</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45709</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45709</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45709</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45709</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45709</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45709</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45709</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45709</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45709</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45709</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45709</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45709</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45709</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45709</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45709</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45709</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45709</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45709</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45709</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45709</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45709</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45709</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45709</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45709</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45709</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45709</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45709</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45709</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45709</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45709</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45709</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45709</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45709</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45709</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45709</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45709</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45709</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45709</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45709</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45709</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45709</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45709</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45709</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45709</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45709</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45709</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45709</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45709</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45709</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45709</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45709</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45709</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45709</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45709</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45709</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45709</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45709</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45709</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45709</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45709</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45709</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45709</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45709</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45709</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45709</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45709</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45709</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45709</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45709</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45709</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45709</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45709</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45709</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45709</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45709</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45709</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45709</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45709</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45709</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45709</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45709</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45709</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45709</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45709</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45709</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45709</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45709</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45709</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45709</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45709</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45709</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45709</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45709</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45709</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45709</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45709</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45709</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45709</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45709</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45709</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45709</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45709</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45709</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45709</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45709</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45709</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45709</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45709</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45709</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45709</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45709</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45709</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45709</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45709</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45709</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45709</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45709</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45709</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45709</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45709</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45709</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45709</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45709</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45709</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45709</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45709</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45709</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45709</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45709</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45709</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45709</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45709</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45709</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45709</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45709</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45709</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45709</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45709</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45709</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45709</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45709</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45709</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45709</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45709</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45709</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45709</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45709</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45709</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45709</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45709</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45709</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45709</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45709</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45709</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45709</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45709</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45709</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45709</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45709</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45709</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45709</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45709</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45709</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45709</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45709</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45709</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45709</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45709</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45709</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45709</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45709</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45709</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45709</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45709</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45709</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45709</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45709</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45709</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45709</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45709</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45709</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45709</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45709</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45709</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45709</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45709</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45709</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45709</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45709</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45709</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45709</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45709</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45709</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45709</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45709</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45709</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45709</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45709</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45709</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45709</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45709</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45709</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45709</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45709</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45709</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45709</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45709</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45709</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45709</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45709</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45709</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45709</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45709</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45709</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45709</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45709</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45709</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45709</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45709</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45709</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45709</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45709</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45709</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45709</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45709</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45709</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45709</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45709</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45709</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45709</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45709</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45709</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45709</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45709</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45709</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45709</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45709</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45709</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45709</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45709</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45709</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45709</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45709</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45709</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45709</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45709</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45709</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45709</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45709</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45709</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45709</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45709</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45709</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45709</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45709</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45709</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45709</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45709</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45709</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45709</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45709</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45709</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45709</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45709</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45709</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45709</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45709</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45709</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45709</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45709</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45709</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45709</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45709</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45709</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45709</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45709</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45709</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45709</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45709</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45709</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45709</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45709</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45709</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45709</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45709</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45709</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45709</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45709</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45709</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45709</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45709</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45709</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45709</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45709</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45709</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45709</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45709</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45709</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45709</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45709</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45709</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45709</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45709</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45709</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45709</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45709</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45709</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45709</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45709</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45709</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45709</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45709</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45709</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45709</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45709</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45709</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45709</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45709</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45709</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45709</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45709</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45709</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45709</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45709</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45709</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45709</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45709</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45709</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45709</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45709</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45709</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45709</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45709</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45709</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45709</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45709</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45709</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45709</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45709</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45709</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45709</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45709</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45709</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45709</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45709</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45709</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45709</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45709</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45709</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45709</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45709</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45709</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45709</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45709</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45709</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45709</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45709</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45709</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45709</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45709</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45709</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45709</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45709</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45709</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45709</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45709</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45709</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45709</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45709</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45709</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45709</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45709</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45709</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45709</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45709</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45709</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45709</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45709</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45709</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45709</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45709</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45709</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45709</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45709</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45709</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45709</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45709</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45709</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45709</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45709</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45709</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45709</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45709</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45709</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45709</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45709</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45709</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45709</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45709</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45709</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45709</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45709</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45709</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45709</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45709</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45709</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45709</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45709</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45709</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45709</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45709</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45709</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45709</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45709</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45709</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45709</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45709</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45709</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45709</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45709</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45709</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45709</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45709</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45709</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45709</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45709</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45709</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45709</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45709</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45709</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45709</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45709</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45709</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45709</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45709</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45709</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45709</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45709</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45709</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45709</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45709</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45709</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45709</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45709</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45709</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45709</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45709</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45709</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45709</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45709</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45709</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45709</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45709</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45709</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45709</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45709</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45709</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45709</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45709</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45709</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45709</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45709</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45709</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45709</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45709</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45709</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45709</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45709</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45709</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45709</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45709</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45709</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45709</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45709</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45709</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45709</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45709</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45709</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45709</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45709</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45709</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45709</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45709</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45709</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45709</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45709</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45709</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45709</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45709</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45709</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45709</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45709</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45709</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45709</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45709</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45709</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45709</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45709</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45709</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45709</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45709</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45709</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45709</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45709</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45709</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45709</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45709</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45709</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45709</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45709</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45709</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45709</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45709</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45709</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45709</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45709</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45709</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45709</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45709</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45709</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45709</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45709</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45709</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45709</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45709</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45709</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45709</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45709</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45709</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45709</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45709</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45709</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45709</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45709</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45709</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45709</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45709</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45709</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45709</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45709</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45709</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45709</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45709</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45709</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45709</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45709</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45709</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45709</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45709</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45709</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45709</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45709</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45709</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45709</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45709</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45709</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45709</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45709</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45709</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45709</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45709</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45709</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45709</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45709</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45709</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45709</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45709</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45709</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45709</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45709</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45709</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45709</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45709</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45709</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45709</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45709</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45709</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45709</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45709</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45709</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45709</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45709</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45709</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45709</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45709</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45709</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45709</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45709</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45709</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45709</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45709</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45709</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45709</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45709</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45709</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45709</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45709</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45709</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45709</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45709</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45709</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45709</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45709</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45709</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45709</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45709</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45709</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45709</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45709</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45709</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45709</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45709</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45709</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45709</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45709</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45709</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45709</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45709</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45709</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45709</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45709</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45709</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45709</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45709</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45709</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45709</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45709</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45709</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45709</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45709</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45709</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45709</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45709</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45709</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45709</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45709</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45709</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45709</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45709</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45709</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45709</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45709</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45709</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45709</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45709</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45709</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45709</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45709</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45709</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45709</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45709</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45709</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45709</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45709</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45709</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45709</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45709</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45709</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45709</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45709</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45709</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45709</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45709</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45709</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45709</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45709</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45709</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45709</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45709</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45709</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45709</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45709</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45709</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45709</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45709</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45709</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45709</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45709</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45709</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45709</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45709</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45709</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45709</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45709</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45709</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45709</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45709</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45709</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45709</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45709</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45709</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45709</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45709</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45709</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45709</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45709</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45709</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45709</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45709</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45709</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45709</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45709</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45709</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45709</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45709</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45709</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45709</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45709</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45709</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45709</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45709</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45709</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45709</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45709</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45709</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45709</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45709</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45709</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45709</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45709</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45709</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45709</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45709</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45709</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45709</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45709</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45709</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45709</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45709</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45709</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45709</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45709</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45709</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45709</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45709</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45709</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45709</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45709</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45709</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45709</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45709</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45709</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45709</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45709</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45709</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45709</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45709</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45709</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45709</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45709</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45709</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45709</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45709</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45709</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45709</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45709</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45709</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45709</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45709</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45709</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45709</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45709</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45709</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45709</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45709</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45709</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45709</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45709</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45709</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45709</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45709</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45709</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45709</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45709</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45709</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45709</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45709</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45709</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45709</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45709</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45709</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45709</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45709</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45709</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45709</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45709</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45709</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45709</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45709</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45709</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45709</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45709</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45709</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45709</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45709</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45709</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45709</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45709</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45709</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45709</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45709</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45709</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45709</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45709</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45709</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45709</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45709</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45709</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45709</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45709</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45709</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45709</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45709</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45709</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45709</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45709</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45709</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45709</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45709</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45709</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45709</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45709</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45709</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45709</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45709</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45709</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45709</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45709</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45709</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45709</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45709</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45709</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45709</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45709</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45709</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45709</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45709</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45709</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45709</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45709</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45709</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45709</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45709</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45709</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45709</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45709</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45709</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45709</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45709</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45709</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45709</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45709</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45709</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45709</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45709</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45709</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45709</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45709</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45709</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45709</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45709</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45709</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45709</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45709</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45709</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45709</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45709</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45709</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45709</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45709</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45709</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45709</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45709</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45709</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45709</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45709</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45709</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45709</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45709</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45709</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45709</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45709</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45709</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45709</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45709</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45709</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45709</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45709</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45709</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45709</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45709</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45709</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45709</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45709</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45709</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45709</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45709</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45709</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45709</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45709</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45709</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45709</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45709</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45709</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45709</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45709</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45709</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45709</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45709</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45709</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45709</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45709</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45709</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45709</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45709</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45709</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45709</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45709</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45709</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45709</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45709</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45709</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45709</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45709</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45709</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45709</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45709</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45709</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45709</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45709</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45709</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45709</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45709</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45709</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45709</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45709</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45709</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45709</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45709</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45709</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45709</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45709</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45709</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45709</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45709</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45709</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45709</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45709</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45709</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45709</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45709</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45709</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45709</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45709</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45709</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45709</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45709</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45709</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45709</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45709</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45709</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45709</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45709</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45709</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45709</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45709</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45709</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45709</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45709</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45709</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45709</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45709</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45709</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45709</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45709</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45709</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45709</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45709</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45709</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45709</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45709</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45709</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45709</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45709</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45709</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45709</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45709</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45709</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45709</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45709</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45709</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45709</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45709</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45709</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45709</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45709</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45709</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45709</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45709</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45709</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45709</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45709</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45709</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45709</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45709</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45709</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45709</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45709</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45709</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45709</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45709</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45709</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45709</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45709</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45709</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45709</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45709</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45709</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45709</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45709</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45709</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45709</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45709</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45709</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45709</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45709</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45709</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45709</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45709</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45709</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45709</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45709</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45709</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45709</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45709</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45709</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45709</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45709</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45709</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45709</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45709</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45709</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45709</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45709</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45709</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45709</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45709</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45709</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45709</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45709</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45709</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45709</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45709</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45709</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45709</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45709</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45709</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45709</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45709</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45709</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45709</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45709</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45709</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45709</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45709</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45709</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45709</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45709</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45709</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45709</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45709</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45709</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45709</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45709</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45709</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45709</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45709</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45709</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45709</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45709</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45709</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45709</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45709</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45709</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45709</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45709</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45709</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45709</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45709</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45709</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45709</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45709</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45709</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45709</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45709</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45709</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45709</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45709</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45709</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45709</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45709</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45709</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45709</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45709</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45709</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45709</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45709</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45709</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45709</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45709</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45709</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45709</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45709</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45709</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45709</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45709</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45709</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45709</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45709</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45709</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45709</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45709</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45709</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45709</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45709</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45709</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45709</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45709</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45709</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45709</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45709</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45709</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45709</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45709</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45709</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45709</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45709</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45709</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45709</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45709</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45709</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45709</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45709</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45709</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45709</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45709</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45709</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45709</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45709</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45709</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45709</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45709</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45709</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45709</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45709</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45709</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45709</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45709</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45709</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45709</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45709</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45709</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45709</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45709</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45709</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45709</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45709</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45709</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45709</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45709</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45709</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45709</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45709</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45709</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45709</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45709</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45709</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45709</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45709</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45709</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45709</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45709</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45709</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45709</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45709</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45709</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45709</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45709</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45709</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45709</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45709</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45709</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45709</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45709</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45709</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45709</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45709</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45709</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45709</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45709</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45709</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45709</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45709</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45709</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45709</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45709</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45709</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45709</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45709</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45709</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45709</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45709</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45709</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45709</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45709</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45709</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45709</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45709</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45709</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45709</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45709</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45709</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45709</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45709</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45709</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45709</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45709</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45709</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45709</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45709</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45709</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45709</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45709</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45709</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45709</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45709</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45709</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45709</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45709</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45709</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45709</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45709</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45709</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45709</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45709</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45709</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45709</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45709</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45709</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45709</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45709</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45709</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45709</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45709</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45709</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45709</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45709</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45709</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45709</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45709</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45709</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45709</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45709</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45709</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45709</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45709</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45709</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45709</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45709</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45709</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45709</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45709</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45709</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45709</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45709</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45709</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45709</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45709</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45709</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45709</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45709</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45709</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45709</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45709</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45709</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45709</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45709</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45709</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45709</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45709</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45709</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45709</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45709</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45709</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45709</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45709</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45709</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45709</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45709</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45709</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45709</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45709</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45709</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45709</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45709</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45709</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45709</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45709</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45709</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45709</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45709</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45709</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45709</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45709</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45709</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45709</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45709</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45709</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45709</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45709</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45709</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45709</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45709</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45709</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45709</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45709</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45709</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45709</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45709</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45709</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45709</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45709</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45709</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45709</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45709</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45709</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45709</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45709</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45709</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45709</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45709</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45709</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45709</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45709</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45709</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45709</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45709</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45709</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45709</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45709</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45709</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45709</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45709</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45709</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45709</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45709</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45709</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45709</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45709</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45709</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45709</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45709</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45709</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45709</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45709</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45709</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45709</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45709</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45709</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45709</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45709</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45709</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45709</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45709</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45709</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45709</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45709</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45709</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45709</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45709</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45709</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45709</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45709</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45709</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45709</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45709</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45709</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45709</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45709</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45709</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45709</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45709</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45709</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45709</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45709</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45709</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45709</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45709</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45709</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45709</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45709</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45709</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45709</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45709</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45709</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45709</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45709</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45709</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45709</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45709</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45709</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45709</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45709</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45709</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45709</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45709</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45709</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45709</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45709</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45709</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45709</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45709</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45709</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45709</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45709</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45709</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45709</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45709</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45709</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45709</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45709</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45709</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45709</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45709</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45709</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45709</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45709</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45709</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45709</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45709</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45709</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45709</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45709</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45709</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45709</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45709</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45709</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45709</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45709</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45709</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45709</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45709</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45709</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45709</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45709</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45709</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45709</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45709</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45709</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45709</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45709</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45709</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45709</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45709</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45709</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45709</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45709</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45709</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45709</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45709</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45709</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45709</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45709</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45709</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45709</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45709</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45709</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45709</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45709</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45709</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45709</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45709</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45709</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45709</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45709</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45709</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45709</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45709</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45709</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45709</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45709</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45709</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45709</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45709</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45709</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45709</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45709</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45709</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45709</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45709</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45709</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45709</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45709</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45709</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45709</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45709</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45709</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45709</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45709</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45709</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45709</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45709</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45709</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45709</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45709</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45709</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45709</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45709</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45709</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45709</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45709</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45709</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45709</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45709</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45709</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45709</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45709</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45709</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45709</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45709</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45709</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45709</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45709</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45709</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45709</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45709</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45709</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45709</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45709</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45709</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45709</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45709</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45709</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45709</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45709</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45709</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45709</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45709</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45709</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45709</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45709</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45709</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45709</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45709</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45709</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45709</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45709</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45709</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45709</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45709</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45709</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45709</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45709</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45709</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45709</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45709</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45709</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45709</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45709</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45709</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45709</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45709</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45709</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45709</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45709</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45709</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45709</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45709</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45709</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45709</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45709</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45709</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45709</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45709</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45709</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45709</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45709</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45709</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45709</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45709</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45709</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45709</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45709</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45709</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45709</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45709</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45709</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45709</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45709</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45709</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45709</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45709</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45709</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45709</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45709</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45709</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45709</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45709</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45709</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45709</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45709</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45709</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45709</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45709</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45709</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45709</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45709</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45709</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45709</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45709</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45709</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45709</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45709</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45709</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45709</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45709</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45709</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45709</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45709</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45709</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45709</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45709</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45709</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45709</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45709</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45709</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45709</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45709</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45709</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45709</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45709</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45709</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45709</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45709</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45709</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45709</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45709</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45709</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45709</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45709</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45709</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45709</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45709</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45709</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45709</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45709</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45709</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45709</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45709</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45709</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45709</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45709</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45709</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45709</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45709</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45709</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45709</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45709</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45709</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45709</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45709</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45709</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45709</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45709</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45709</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45709</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45709</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45709</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45709</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45709</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45709</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45709</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45709</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45709</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45709</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45709</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45709</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45709</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45709</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45709</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45709</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45709</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45709</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45709</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45709</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45709</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45709</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45709</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45709</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45709</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45709</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45709</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45709</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45709</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45709</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45709</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45709</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45709</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45709</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45709</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45709</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45709</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45709</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45709</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45709</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45709</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45709</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45709</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45709</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45709</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45709</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45709</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45709</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45709</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45709</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45709</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45709</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45709</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45709</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45709</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45709</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45709</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45709</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45709</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45709</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45709</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45709</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45709</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45709</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45709</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45709</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45709</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45709</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45709</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45709</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45709</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45709</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45709</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45709</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45709</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45709</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45709</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45709</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45709</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45709</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45709</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45709</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45709</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45709</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45709</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45709</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45709</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45709</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45709</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45709</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45709</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45709</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45709</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45709</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45709</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45709</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45709</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45709</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45709</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45709</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45709</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45709</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45709</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45709</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45709</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45709</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45709</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45709</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45709</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45709</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45709</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45709</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45709</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45709</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45709</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45709</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45709</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45709</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45709</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45709</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45709</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45709</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45709</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45709</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45709</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45709</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45709</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45709</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45709</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45709</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45709</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45709</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45709</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45709</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45709</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45709</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45709</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45709</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45709</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45709</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45709</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45709</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45709</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45709</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45709</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45709</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45709</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45709</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45709</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45709</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45709</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45709</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45709</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45709</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45709</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45709</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45709</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45709</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45709</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45709</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45709</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45709</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45709</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45709</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45709</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45709</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45709</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45709</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45709</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45709</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45709</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45709</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45709</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45709</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45709</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45709</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45709</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45709</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45709</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45709</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45709</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45709</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45709</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45709</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45709</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45709</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45709</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45709</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45709</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45709</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45709</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45709</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45709</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45709</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45709</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45709</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45709</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45709</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45709</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45709</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45709</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45709</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45709</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45709</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45709</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45709</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45709</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45709</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45709</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45709</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45709</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45709</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45709</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45709</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45709</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45709</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45709</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45709</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45709</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45709</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45709</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45709</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45709</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45709</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45709</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45709</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45709</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45709</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45709</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45709</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45709</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45709</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45709</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45709</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45709</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45709</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45709</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45709</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45709</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45709</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45709</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45709</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45709</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45709</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45709</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45709</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45709</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45709</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45709</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45709</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45709</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45709</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45709</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45709</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45709</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45709</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45709</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45709</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45709</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45709</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45709</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45709</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45709</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45709</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45709</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45709</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45709</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45709</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45709</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45709</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45709</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45709</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45709</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45709</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45709</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45709</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45709</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45709</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45709</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45709</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45709</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45709</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45709</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45709</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45709</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45709</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45709</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45709</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45709</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45709</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45709</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45709</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45709</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45709</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45709</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45709</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45709</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45709</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45709</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45709</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45709</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45709</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45709</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45709</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45709</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45709</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45709</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45709</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45709</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45709</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45709</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45709</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45709</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45709</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45709</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45709</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45709</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45709</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45709</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45709</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45709</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45709</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45709</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45709</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45709</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45709</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45709</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45709</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45709</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45709</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45709</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45709</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45709</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45709</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45709</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45709</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45709</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45709</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45709</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45709</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45709</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45709</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45709</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45709</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45709</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45709</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45709</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45709</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45709</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45709</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45709</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45709</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45709</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45709</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45709</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45709</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45709</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45709</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45709</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45709</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45709</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45709</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45709</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45709</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45709</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45709</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45709</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45709</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45709</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45709</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45709</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45709</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45709</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45709</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45709</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45709</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45709</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45709</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45709</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45709</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45709</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45709</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45709</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45709</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45709</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45709</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45709</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45709</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45709</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45709</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45709</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45709</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45709</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45709</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45709</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45709</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45709</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45709</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45709</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45709</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45709</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45709</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45709</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45709</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45709</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45709</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45709</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45709</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45709</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45709</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45709</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45709</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45709</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45709</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45709</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45709</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45709</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45709</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45709</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45709</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45709</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45709</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45709</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45709</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45709</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45709</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45709</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45709</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45709</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45709</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45709</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45709</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45709</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45709</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45709</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45709</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45709</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45709</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45709</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45709</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45709</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45709</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45709</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45709</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45709</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45709</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45709</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45709</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45709</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45709</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45709</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45709</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45709</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45709</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45709</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45709</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45709</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45709</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45709</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45709</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45709</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45709</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45709</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45709</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45709</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45709</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45709</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45709</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45709</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45709</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45709</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45709</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45709</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45709</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45709</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45709</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45709</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45709</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45709</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45709</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45709</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45709</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45709</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45709</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45709</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45709</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45709</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45709</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45709</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45709</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45709</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45709</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45709</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45709</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45709</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45709</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45709</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45709</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45709</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45709</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45709</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45709</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45709</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45709</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45709</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45709</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45709</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45709</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45709</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45709</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45709</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45709</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45709</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45709</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45709</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45709</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45709</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45709</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45709</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45709</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45709</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45709</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45709</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45709</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45709</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45709</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45709</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45709</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45709</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45709</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45709</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45709</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45709</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45709</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45709</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45709</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45709</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45709</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45709</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45709</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45709</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45709</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45709</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45709</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45709</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45709</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45709</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45709</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45709</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45709</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45709</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45709</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45709</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45709</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45709</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45709</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45709</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45709</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45709</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45709</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45709</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45709</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45709</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45709</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45709</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45709</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45709</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45709</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45709</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45709</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45709</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45709</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45709</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45709</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45709</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45709</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45709</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45709</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45709</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45709</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45709</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45709</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45709</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45709</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45709</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45709</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45709</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45709</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45709</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45709</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45709</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45709</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45709</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45709</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45709</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45709</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45709</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45709</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45709</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45709</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45709</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45709</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45709</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45709</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45709</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45709</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45709</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45709</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45709</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45709</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45709</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45709</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45709</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45709</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45709</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45709</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45709</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45709</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45709</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45709</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45709</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45709</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45709</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45709</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45709</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45709</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45709</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45709</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45709</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45709</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45709</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45709</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45709</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45709</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45709</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45709</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45709</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45709</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45709</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45709</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45709</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45709</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45709</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45709</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45709</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45709</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45709</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45709</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45709</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45709</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45709</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45709</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45709</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45709</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45709</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45709</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45709</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45709</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45709</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45709</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45709</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45709</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45709</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45709</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45709</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45709</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45709</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45709</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45709</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45709</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45709</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45709</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45709</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45709</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45709</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45709</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45709</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45709</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45709</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45709</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45709</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45709</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45709</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45709</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45709</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45709</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45709</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45709</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45709</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45709</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45709</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45709</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45709</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45709</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45709</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45709</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45709</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45709</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45709</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45709</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45709</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45709</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45709</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45709</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45709</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45709</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45709</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45709</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45709</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45709</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45709</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45709</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45709</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45709</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45709</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45709</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45709</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45709</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45709</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45709</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45709</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45709</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45709</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45709</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45709</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45709</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45709</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45709</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45709</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45709</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45709</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45709</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45709</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45709</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45709</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45709</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45709</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45709</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45709</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45709</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4111-2025</t>
        </is>
      </c>
      <c r="B3037" s="1" t="n">
        <v>45684</v>
      </c>
      <c r="C3037" s="1" t="n">
        <v>45709</v>
      </c>
      <c r="D3037" t="inlineStr">
        <is>
          <t>VÄSTERNORRLANDS LÄN</t>
        </is>
      </c>
      <c r="E3037" t="inlineStr">
        <is>
          <t>SUNDSVALL</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3924-2025</t>
        </is>
      </c>
      <c r="B3038" s="1" t="n">
        <v>45684</v>
      </c>
      <c r="C3038" s="1" t="n">
        <v>45709</v>
      </c>
      <c r="D3038" t="inlineStr">
        <is>
          <t>VÄSTERNORRLANDS LÄN</t>
        </is>
      </c>
      <c r="E3038" t="inlineStr">
        <is>
          <t>SUNDSVALL</t>
        </is>
      </c>
      <c r="F3038" t="inlineStr">
        <is>
          <t>SCA</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3948-2025</t>
        </is>
      </c>
      <c r="B3039" s="1" t="n">
        <v>45684</v>
      </c>
      <c r="C3039" s="1" t="n">
        <v>45709</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45709</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4888-2025</t>
        </is>
      </c>
      <c r="B3041" s="1" t="n">
        <v>45688</v>
      </c>
      <c r="C3041" s="1" t="n">
        <v>45709</v>
      </c>
      <c r="D3041" t="inlineStr">
        <is>
          <t>VÄSTERNORRLANDS LÄN</t>
        </is>
      </c>
      <c r="E3041" t="inlineStr">
        <is>
          <t>SUNDSVALL</t>
        </is>
      </c>
      <c r="F3041" t="inlineStr">
        <is>
          <t>SCA</t>
        </is>
      </c>
      <c r="G3041" t="n">
        <v>8.6</v>
      </c>
      <c r="H3041" t="n">
        <v>0</v>
      </c>
      <c r="I3041" t="n">
        <v>0</v>
      </c>
      <c r="J3041" t="n">
        <v>0</v>
      </c>
      <c r="K3041" t="n">
        <v>0</v>
      </c>
      <c r="L3041" t="n">
        <v>0</v>
      </c>
      <c r="M3041" t="n">
        <v>0</v>
      </c>
      <c r="N3041" t="n">
        <v>0</v>
      </c>
      <c r="O3041" t="n">
        <v>0</v>
      </c>
      <c r="P3041" t="n">
        <v>0</v>
      </c>
      <c r="Q3041" t="n">
        <v>0</v>
      </c>
      <c r="R3041" s="2" t="inlineStr"/>
    </row>
    <row r="3042" ht="15" customHeight="1">
      <c r="A3042" t="inlineStr">
        <is>
          <t>A 4900-2025</t>
        </is>
      </c>
      <c r="B3042" s="1" t="n">
        <v>45688</v>
      </c>
      <c r="C3042" s="1" t="n">
        <v>45709</v>
      </c>
      <c r="D3042" t="inlineStr">
        <is>
          <t>VÄSTERNORRLANDS LÄN</t>
        </is>
      </c>
      <c r="E3042" t="inlineStr">
        <is>
          <t>SUNDSVALL</t>
        </is>
      </c>
      <c r="F3042" t="inlineStr">
        <is>
          <t>SCA</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4815-2025</t>
        </is>
      </c>
      <c r="B3043" s="1" t="n">
        <v>45688</v>
      </c>
      <c r="C3043" s="1" t="n">
        <v>45709</v>
      </c>
      <c r="D3043" t="inlineStr">
        <is>
          <t>VÄSTERNORRLANDS LÄN</t>
        </is>
      </c>
      <c r="E3043" t="inlineStr">
        <is>
          <t>SUNDSVALL</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4871-2025</t>
        </is>
      </c>
      <c r="B3044" s="1" t="n">
        <v>45688</v>
      </c>
      <c r="C3044" s="1" t="n">
        <v>45709</v>
      </c>
      <c r="D3044" t="inlineStr">
        <is>
          <t>VÄSTERNORRLANDS LÄN</t>
        </is>
      </c>
      <c r="E3044" t="inlineStr">
        <is>
          <t>SUNDSVALL</t>
        </is>
      </c>
      <c r="F3044" t="inlineStr">
        <is>
          <t>SCA</t>
        </is>
      </c>
      <c r="G3044" t="n">
        <v>11.5</v>
      </c>
      <c r="H3044" t="n">
        <v>0</v>
      </c>
      <c r="I3044" t="n">
        <v>0</v>
      </c>
      <c r="J3044" t="n">
        <v>0</v>
      </c>
      <c r="K3044" t="n">
        <v>0</v>
      </c>
      <c r="L3044" t="n">
        <v>0</v>
      </c>
      <c r="M3044" t="n">
        <v>0</v>
      </c>
      <c r="N3044" t="n">
        <v>0</v>
      </c>
      <c r="O3044" t="n">
        <v>0</v>
      </c>
      <c r="P3044" t="n">
        <v>0</v>
      </c>
      <c r="Q3044" t="n">
        <v>0</v>
      </c>
      <c r="R3044" s="2" t="inlineStr"/>
    </row>
    <row r="3045" ht="15" customHeight="1">
      <c r="A3045" t="inlineStr">
        <is>
          <t>A 4932-2025</t>
        </is>
      </c>
      <c r="B3045" s="1" t="n">
        <v>45688</v>
      </c>
      <c r="C3045" s="1" t="n">
        <v>45709</v>
      </c>
      <c r="D3045" t="inlineStr">
        <is>
          <t>VÄSTERNORRLANDS LÄN</t>
        </is>
      </c>
      <c r="E3045" t="inlineStr">
        <is>
          <t>SUNDSVALL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4784-2025</t>
        </is>
      </c>
      <c r="B3046" s="1" t="n">
        <v>45688</v>
      </c>
      <c r="C3046" s="1" t="n">
        <v>45709</v>
      </c>
      <c r="D3046" t="inlineStr">
        <is>
          <t>VÄSTERNORRLANDS LÄN</t>
        </is>
      </c>
      <c r="E3046" t="inlineStr">
        <is>
          <t>SUNDSVALL</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4810-2025</t>
        </is>
      </c>
      <c r="B3047" s="1" t="n">
        <v>45688</v>
      </c>
      <c r="C3047" s="1" t="n">
        <v>45709</v>
      </c>
      <c r="D3047" t="inlineStr">
        <is>
          <t>VÄSTERNORRLANDS LÄN</t>
        </is>
      </c>
      <c r="E3047" t="inlineStr">
        <is>
          <t>SUNDSVALL</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4813-2025</t>
        </is>
      </c>
      <c r="B3048" s="1" t="n">
        <v>45688</v>
      </c>
      <c r="C3048" s="1" t="n">
        <v>45709</v>
      </c>
      <c r="D3048" t="inlineStr">
        <is>
          <t>VÄSTERNORRLANDS LÄN</t>
        </is>
      </c>
      <c r="E3048" t="inlineStr">
        <is>
          <t>SUNDSVALL</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4853-2025</t>
        </is>
      </c>
      <c r="B3049" s="1" t="n">
        <v>45688</v>
      </c>
      <c r="C3049" s="1" t="n">
        <v>45709</v>
      </c>
      <c r="D3049" t="inlineStr">
        <is>
          <t>VÄSTERNORRLANDS LÄN</t>
        </is>
      </c>
      <c r="E3049" t="inlineStr">
        <is>
          <t>SUNDSVALL</t>
        </is>
      </c>
      <c r="F3049" t="inlineStr">
        <is>
          <t>SCA</t>
        </is>
      </c>
      <c r="G3049" t="n">
        <v>18.3</v>
      </c>
      <c r="H3049" t="n">
        <v>0</v>
      </c>
      <c r="I3049" t="n">
        <v>0</v>
      </c>
      <c r="J3049" t="n">
        <v>0</v>
      </c>
      <c r="K3049" t="n">
        <v>0</v>
      </c>
      <c r="L3049" t="n">
        <v>0</v>
      </c>
      <c r="M3049" t="n">
        <v>0</v>
      </c>
      <c r="N3049" t="n">
        <v>0</v>
      </c>
      <c r="O3049" t="n">
        <v>0</v>
      </c>
      <c r="P3049" t="n">
        <v>0</v>
      </c>
      <c r="Q3049" t="n">
        <v>0</v>
      </c>
      <c r="R3049" s="2" t="inlineStr"/>
    </row>
    <row r="3050" ht="15" customHeight="1">
      <c r="A3050" t="inlineStr">
        <is>
          <t>A 4865-2025</t>
        </is>
      </c>
      <c r="B3050" s="1" t="n">
        <v>45688</v>
      </c>
      <c r="C3050" s="1" t="n">
        <v>45709</v>
      </c>
      <c r="D3050" t="inlineStr">
        <is>
          <t>VÄSTERNORRLANDS LÄN</t>
        </is>
      </c>
      <c r="E3050" t="inlineStr">
        <is>
          <t>SUNDSVALL</t>
        </is>
      </c>
      <c r="F3050" t="inlineStr">
        <is>
          <t>SCA</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4917-2025</t>
        </is>
      </c>
      <c r="B3051" s="1" t="n">
        <v>45688</v>
      </c>
      <c r="C3051" s="1" t="n">
        <v>45709</v>
      </c>
      <c r="D3051" t="inlineStr">
        <is>
          <t>VÄSTERNORRLANDS LÄN</t>
        </is>
      </c>
      <c r="E3051" t="inlineStr">
        <is>
          <t>SUNDSVALL</t>
        </is>
      </c>
      <c r="F3051" t="inlineStr">
        <is>
          <t>SCA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4933-2025</t>
        </is>
      </c>
      <c r="B3052" s="1" t="n">
        <v>45688</v>
      </c>
      <c r="C3052" s="1" t="n">
        <v>45709</v>
      </c>
      <c r="D3052" t="inlineStr">
        <is>
          <t>VÄSTERNORRLANDS LÄN</t>
        </is>
      </c>
      <c r="E3052" t="inlineStr">
        <is>
          <t>SUNDSVALL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4890-2025</t>
        </is>
      </c>
      <c r="B3053" s="1" t="n">
        <v>45688</v>
      </c>
      <c r="C3053" s="1" t="n">
        <v>45709</v>
      </c>
      <c r="D3053" t="inlineStr">
        <is>
          <t>VÄSTERNORRLANDS LÄN</t>
        </is>
      </c>
      <c r="E3053" t="inlineStr">
        <is>
          <t>SUNDSVALL</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4906-2025</t>
        </is>
      </c>
      <c r="B3054" s="1" t="n">
        <v>45688</v>
      </c>
      <c r="C3054" s="1" t="n">
        <v>45709</v>
      </c>
      <c r="D3054" t="inlineStr">
        <is>
          <t>VÄSTERNORRLANDS LÄN</t>
        </is>
      </c>
      <c r="E3054" t="inlineStr">
        <is>
          <t>SUNDSVALL</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45709</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45709</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45709</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45709</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45709</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5314-2025</t>
        </is>
      </c>
      <c r="B3060" s="1" t="n">
        <v>45692</v>
      </c>
      <c r="C3060" s="1" t="n">
        <v>45709</v>
      </c>
      <c r="D3060" t="inlineStr">
        <is>
          <t>VÄSTERNORRLANDS LÄN</t>
        </is>
      </c>
      <c r="E3060" t="inlineStr">
        <is>
          <t>SUNDSVALL</t>
        </is>
      </c>
      <c r="F3060" t="inlineStr">
        <is>
          <t>SCA</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5361-2025</t>
        </is>
      </c>
      <c r="B3061" s="1" t="n">
        <v>45692</v>
      </c>
      <c r="C3061" s="1" t="n">
        <v>45709</v>
      </c>
      <c r="D3061" t="inlineStr">
        <is>
          <t>VÄSTERNORRLANDS LÄN</t>
        </is>
      </c>
      <c r="E3061" t="inlineStr">
        <is>
          <t>SUNDSVALL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5362-2025</t>
        </is>
      </c>
      <c r="B3062" s="1" t="n">
        <v>45692</v>
      </c>
      <c r="C3062" s="1" t="n">
        <v>45709</v>
      </c>
      <c r="D3062" t="inlineStr">
        <is>
          <t>VÄSTERNORRLANDS LÄN</t>
        </is>
      </c>
      <c r="E3062" t="inlineStr">
        <is>
          <t>SUNDSVALL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5296-2025</t>
        </is>
      </c>
      <c r="B3063" s="1" t="n">
        <v>45692</v>
      </c>
      <c r="C3063" s="1" t="n">
        <v>45709</v>
      </c>
      <c r="D3063" t="inlineStr">
        <is>
          <t>VÄSTERNORRLANDS LÄN</t>
        </is>
      </c>
      <c r="E3063" t="inlineStr">
        <is>
          <t>SUNDSVALL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45709</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45709</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45709</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5569-2025</t>
        </is>
      </c>
      <c r="B3067" s="1" t="n">
        <v>45693</v>
      </c>
      <c r="C3067" s="1" t="n">
        <v>45709</v>
      </c>
      <c r="D3067" t="inlineStr">
        <is>
          <t>VÄSTERNORRLANDS LÄN</t>
        </is>
      </c>
      <c r="E3067" t="inlineStr">
        <is>
          <t>SUNDSVALL</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45709</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45709</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45709</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6670-2025</t>
        </is>
      </c>
      <c r="B3071" s="1" t="n">
        <v>45700</v>
      </c>
      <c r="C3071" s="1" t="n">
        <v>45709</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6704-2025</t>
        </is>
      </c>
      <c r="B3072" s="1" t="n">
        <v>45700</v>
      </c>
      <c r="C3072" s="1" t="n">
        <v>45709</v>
      </c>
      <c r="D3072" t="inlineStr">
        <is>
          <t>VÄSTERNORRLANDS LÄN</t>
        </is>
      </c>
      <c r="E3072" t="inlineStr">
        <is>
          <t>SUNDSVALL</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6708-2025</t>
        </is>
      </c>
      <c r="B3073" s="1" t="n">
        <v>45700</v>
      </c>
      <c r="C3073" s="1" t="n">
        <v>45709</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v>
      </c>
      <c r="C3074" s="1" t="n">
        <v>45709</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45709</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6672-2025</t>
        </is>
      </c>
      <c r="B3076" s="1" t="n">
        <v>45700</v>
      </c>
      <c r="C3076" s="1" t="n">
        <v>45709</v>
      </c>
      <c r="D3076" t="inlineStr">
        <is>
          <t>VÄSTERNORRLANDS LÄN</t>
        </is>
      </c>
      <c r="E3076" t="inlineStr">
        <is>
          <t>SUNDSVALL</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45709</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45709</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45709</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45709</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45709</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6955-2025</t>
        </is>
      </c>
      <c r="B3082" s="1" t="n">
        <v>45701</v>
      </c>
      <c r="C3082" s="1" t="n">
        <v>45709</v>
      </c>
      <c r="D3082" t="inlineStr">
        <is>
          <t>VÄSTERNORRLANDS LÄN</t>
        </is>
      </c>
      <c r="E3082" t="inlineStr">
        <is>
          <t>SUNDSVALL</t>
        </is>
      </c>
      <c r="F3082" t="inlineStr">
        <is>
          <t>SCA</t>
        </is>
      </c>
      <c r="G3082" t="n">
        <v>24.7</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45709</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45709</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45709</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45709</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45709</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7264-2025</t>
        </is>
      </c>
      <c r="B3088" s="1" t="n">
        <v>45702</v>
      </c>
      <c r="C3088" s="1" t="n">
        <v>45709</v>
      </c>
      <c r="D3088" t="inlineStr">
        <is>
          <t>VÄSTERNORRLANDS LÄN</t>
        </is>
      </c>
      <c r="E3088" t="inlineStr">
        <is>
          <t>SUNDSVALL</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7293-2025</t>
        </is>
      </c>
      <c r="B3089" s="1" t="n">
        <v>45702</v>
      </c>
      <c r="C3089" s="1" t="n">
        <v>45709</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7265-2025</t>
        </is>
      </c>
      <c r="B3090" s="1" t="n">
        <v>45702</v>
      </c>
      <c r="C3090" s="1" t="n">
        <v>45709</v>
      </c>
      <c r="D3090" t="inlineStr">
        <is>
          <t>VÄSTERNORRLANDS LÄN</t>
        </is>
      </c>
      <c r="E3090" t="inlineStr">
        <is>
          <t>SUNDSVALL</t>
        </is>
      </c>
      <c r="F3090" t="inlineStr">
        <is>
          <t>SCA</t>
        </is>
      </c>
      <c r="G3090" t="n">
        <v>6.2</v>
      </c>
      <c r="H3090" t="n">
        <v>0</v>
      </c>
      <c r="I3090" t="n">
        <v>0</v>
      </c>
      <c r="J3090" t="n">
        <v>0</v>
      </c>
      <c r="K3090" t="n">
        <v>0</v>
      </c>
      <c r="L3090" t="n">
        <v>0</v>
      </c>
      <c r="M3090" t="n">
        <v>0</v>
      </c>
      <c r="N3090" t="n">
        <v>0</v>
      </c>
      <c r="O3090" t="n">
        <v>0</v>
      </c>
      <c r="P3090" t="n">
        <v>0</v>
      </c>
      <c r="Q3090" t="n">
        <v>0</v>
      </c>
      <c r="R3090" s="2" t="inlineStr"/>
      <c r="U3090">
        <f>HYPERLINK("https://klasma.github.io/Logging_2281/knärot/A 7265-2025 karta knärot.png", "A 7265-2025")</f>
        <v/>
      </c>
      <c r="V3090">
        <f>HYPERLINK("https://klasma.github.io/Logging_2281/klagomål/A 7265-2025 FSC-klagomål.docx", "A 7265-2025")</f>
        <v/>
      </c>
      <c r="W3090">
        <f>HYPERLINK("https://klasma.github.io/Logging_2281/klagomålsmail/A 7265-2025 FSC-klagomål mail.docx", "A 7265-2025")</f>
        <v/>
      </c>
      <c r="X3090">
        <f>HYPERLINK("https://klasma.github.io/Logging_2281/tillsyn/A 7265-2025 tillsynsbegäran.docx", "A 7265-2025")</f>
        <v/>
      </c>
      <c r="Y3090">
        <f>HYPERLINK("https://klasma.github.io/Logging_2281/tillsynsmail/A 7265-2025 tillsynsbegäran mail.docx", "A 7265-2025")</f>
        <v/>
      </c>
    </row>
    <row r="3091" ht="15" customHeight="1">
      <c r="A3091" t="inlineStr">
        <is>
          <t>A 7292-2025</t>
        </is>
      </c>
      <c r="B3091" s="1" t="n">
        <v>45702</v>
      </c>
      <c r="C3091" s="1" t="n">
        <v>45709</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7419-2025</t>
        </is>
      </c>
      <c r="B3092" s="1" t="n">
        <v>45705</v>
      </c>
      <c r="C3092" s="1" t="n">
        <v>45709</v>
      </c>
      <c r="D3092" t="inlineStr">
        <is>
          <t>VÄSTERNORRLANDS LÄN</t>
        </is>
      </c>
      <c r="E3092" t="inlineStr">
        <is>
          <t>SUNDSVALL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7427-2025</t>
        </is>
      </c>
      <c r="B3093" s="1" t="n">
        <v>45705</v>
      </c>
      <c r="C3093" s="1" t="n">
        <v>45709</v>
      </c>
      <c r="D3093" t="inlineStr">
        <is>
          <t>VÄSTERNORRLANDS LÄN</t>
        </is>
      </c>
      <c r="E3093" t="inlineStr">
        <is>
          <t>SUNDSVALL</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7416-2025</t>
        </is>
      </c>
      <c r="B3094" s="1" t="n">
        <v>45705</v>
      </c>
      <c r="C3094" s="1" t="n">
        <v>45709</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7422-2025</t>
        </is>
      </c>
      <c r="B3095" s="1" t="n">
        <v>45705</v>
      </c>
      <c r="C3095" s="1" t="n">
        <v>45709</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7463-2025</t>
        </is>
      </c>
      <c r="B3096" s="1" t="n">
        <v>45705</v>
      </c>
      <c r="C3096" s="1" t="n">
        <v>45709</v>
      </c>
      <c r="D3096" t="inlineStr">
        <is>
          <t>VÄSTERNORRLANDS LÄN</t>
        </is>
      </c>
      <c r="E3096" t="inlineStr">
        <is>
          <t>SUNDSVALL</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45709</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45709</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7839-2025</t>
        </is>
      </c>
      <c r="B3099" s="1" t="n">
        <v>45706</v>
      </c>
      <c r="C3099" s="1" t="n">
        <v>45709</v>
      </c>
      <c r="D3099" t="inlineStr">
        <is>
          <t>VÄSTERNORRLANDS LÄN</t>
        </is>
      </c>
      <c r="E3099" t="inlineStr">
        <is>
          <t>SUNDSVALL</t>
        </is>
      </c>
      <c r="G3099" t="n">
        <v>10.1</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45709</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7961-2025</t>
        </is>
      </c>
      <c r="B3101" s="1" t="n">
        <v>45707</v>
      </c>
      <c r="C3101" s="1" t="n">
        <v>45709</v>
      </c>
      <c r="D3101" t="inlineStr">
        <is>
          <t>VÄSTERNORRLANDS LÄN</t>
        </is>
      </c>
      <c r="E3101" t="inlineStr">
        <is>
          <t>SUNDSVALL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7960-2025</t>
        </is>
      </c>
      <c r="B3102" s="1" t="n">
        <v>45707</v>
      </c>
      <c r="C3102" s="1" t="n">
        <v>45709</v>
      </c>
      <c r="D3102" t="inlineStr">
        <is>
          <t>VÄSTERNORRLANDS LÄN</t>
        </is>
      </c>
      <c r="E3102" t="inlineStr">
        <is>
          <t>SUNDSVALL</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7924-2025</t>
        </is>
      </c>
      <c r="B3103" s="1" t="n">
        <v>45707</v>
      </c>
      <c r="C3103" s="1" t="n">
        <v>45709</v>
      </c>
      <c r="D3103" t="inlineStr">
        <is>
          <t>VÄSTERNORRLANDS LÄN</t>
        </is>
      </c>
      <c r="E3103" t="inlineStr">
        <is>
          <t>SUNDSVALL</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7925-2025</t>
        </is>
      </c>
      <c r="B3104" s="1" t="n">
        <v>45707</v>
      </c>
      <c r="C3104" s="1" t="n">
        <v>45709</v>
      </c>
      <c r="D3104" t="inlineStr">
        <is>
          <t>VÄSTERNORRLANDS LÄN</t>
        </is>
      </c>
      <c r="E3104" t="inlineStr">
        <is>
          <t>SUNDSVALL</t>
        </is>
      </c>
      <c r="F3104" t="inlineStr">
        <is>
          <t>SCA</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7939-2025</t>
        </is>
      </c>
      <c r="B3105" s="1" t="n">
        <v>45707</v>
      </c>
      <c r="C3105" s="1" t="n">
        <v>45709</v>
      </c>
      <c r="D3105" t="inlineStr">
        <is>
          <t>VÄSTERNORRLANDS LÄN</t>
        </is>
      </c>
      <c r="E3105" t="inlineStr">
        <is>
          <t>SUNDSVALL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7959-2025</t>
        </is>
      </c>
      <c r="B3106" s="1" t="n">
        <v>45707</v>
      </c>
      <c r="C3106" s="1" t="n">
        <v>45709</v>
      </c>
      <c r="D3106" t="inlineStr">
        <is>
          <t>VÄSTERNORRLANDS LÄN</t>
        </is>
      </c>
      <c r="E3106" t="inlineStr">
        <is>
          <t>SUNDSVALL</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7967-2025</t>
        </is>
      </c>
      <c r="B3107" s="1" t="n">
        <v>45707</v>
      </c>
      <c r="C3107" s="1" t="n">
        <v>45709</v>
      </c>
      <c r="D3107" t="inlineStr">
        <is>
          <t>VÄSTERNORRLANDS LÄN</t>
        </is>
      </c>
      <c r="E3107" t="inlineStr">
        <is>
          <t>SUNDSVALL</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7962-2025</t>
        </is>
      </c>
      <c r="B3108" s="1" t="n">
        <v>45707</v>
      </c>
      <c r="C3108" s="1" t="n">
        <v>45709</v>
      </c>
      <c r="D3108" t="inlineStr">
        <is>
          <t>VÄSTERNORRLANDS LÄN</t>
        </is>
      </c>
      <c r="E3108" t="inlineStr">
        <is>
          <t>SUNDSVALL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45709</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c r="A3110" t="inlineStr">
        <is>
          <t>A 8186-2025</t>
        </is>
      </c>
      <c r="B3110" s="1" t="n">
        <v>45708</v>
      </c>
      <c r="C3110" s="1" t="n">
        <v>45709</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2025-02-21T16:59:47Z</dcterms:created>
  <dcterms:modified xmlns:dcterms="http://purl.org/dc/terms/" xmlns:xsi="http://www.w3.org/2001/XMLSchema-instance" xsi:type="dcterms:W3CDTF">2025-02-21T16:59:50Z</dcterms:modified>
</cp:coreProperties>
</file>