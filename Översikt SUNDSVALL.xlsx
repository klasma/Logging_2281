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45697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45697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45697</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45697</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45697</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45697</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45697</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45697</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45697</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45697</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45697</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45697</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45697</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45697</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45697</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45697</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45697</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45697</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45697</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45697</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45697</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45697</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45697</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45697</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45697</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45697</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45697</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45697</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45697</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45697</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45697</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45697</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45697</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45697</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45697</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45697</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45697</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45697</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45697</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45697</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45697</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45697</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45697</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45697</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45697</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45697</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45697</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45697</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45697</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45697</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45697</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45697</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45697</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45697</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45697</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45697</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45697</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45697</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45697</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45697</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45697</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45697</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45697</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45697</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65041-2019</t>
        </is>
      </c>
      <c r="B66" s="1" t="n">
        <v>43801</v>
      </c>
      <c r="C66" s="1" t="n">
        <v>45697</v>
      </c>
      <c r="D66" t="inlineStr">
        <is>
          <t>VÄSTERNORRLANDS LÄN</t>
        </is>
      </c>
      <c r="E66" t="inlineStr">
        <is>
          <t>SUNDSVALL</t>
        </is>
      </c>
      <c r="F66" t="inlineStr">
        <is>
          <t>Naturvårdsverket</t>
        </is>
      </c>
      <c r="G66" t="n">
        <v>33.1</v>
      </c>
      <c r="H66" t="n">
        <v>2</v>
      </c>
      <c r="I66" t="n">
        <v>0</v>
      </c>
      <c r="J66" t="n">
        <v>3</v>
      </c>
      <c r="K66" t="n">
        <v>0</v>
      </c>
      <c r="L66" t="n">
        <v>0</v>
      </c>
      <c r="M66" t="n">
        <v>0</v>
      </c>
      <c r="N66" t="n">
        <v>0</v>
      </c>
      <c r="O66" t="n">
        <v>3</v>
      </c>
      <c r="P66" t="n">
        <v>0</v>
      </c>
      <c r="Q66" t="n">
        <v>3</v>
      </c>
      <c r="R66" s="2" t="inlineStr">
        <is>
          <t>Dvärgbägarlav
Spillkråka
Tretåig hackspett</t>
        </is>
      </c>
      <c r="S66">
        <f>HYPERLINK("https://klasma.github.io/Logging_2281/artfynd/A 65041-2019 artfynd.xlsx", "A 65041-2019")</f>
        <v/>
      </c>
      <c r="T66">
        <f>HYPERLINK("https://klasma.github.io/Logging_2281/kartor/A 65041-2019 karta.png", "A 65041-2019")</f>
        <v/>
      </c>
      <c r="V66">
        <f>HYPERLINK("https://klasma.github.io/Logging_2281/klagomål/A 65041-2019 FSC-klagomål.docx", "A 65041-2019")</f>
        <v/>
      </c>
      <c r="W66">
        <f>HYPERLINK("https://klasma.github.io/Logging_2281/klagomålsmail/A 65041-2019 FSC-klagomål mail.docx", "A 65041-2019")</f>
        <v/>
      </c>
      <c r="X66">
        <f>HYPERLINK("https://klasma.github.io/Logging_2281/tillsyn/A 65041-2019 tillsynsbegäran.docx", "A 65041-2019")</f>
        <v/>
      </c>
      <c r="Y66">
        <f>HYPERLINK("https://klasma.github.io/Logging_2281/tillsynsmail/A 65041-2019 tillsynsbegäran mail.docx", "A 65041-2019")</f>
        <v/>
      </c>
      <c r="Z66">
        <f>HYPERLINK("https://klasma.github.io/Logging_2281/fåglar/A 65041-2019 prioriterade fågelarter.docx", "A 65041-2019")</f>
        <v/>
      </c>
    </row>
    <row r="67" ht="15" customHeight="1">
      <c r="A67" t="inlineStr">
        <is>
          <t>A 22407-2020</t>
        </is>
      </c>
      <c r="B67" s="1" t="n">
        <v>43962</v>
      </c>
      <c r="C67" s="1" t="n">
        <v>45697</v>
      </c>
      <c r="D67" t="inlineStr">
        <is>
          <t>VÄSTERNORRLANDS LÄN</t>
        </is>
      </c>
      <c r="E67" t="inlineStr">
        <is>
          <t>SUNDSVALL</t>
        </is>
      </c>
      <c r="G67" t="n">
        <v>1</v>
      </c>
      <c r="H67" t="n">
        <v>0</v>
      </c>
      <c r="I67" t="n">
        <v>1</v>
      </c>
      <c r="J67" t="n">
        <v>2</v>
      </c>
      <c r="K67" t="n">
        <v>0</v>
      </c>
      <c r="L67" t="n">
        <v>0</v>
      </c>
      <c r="M67" t="n">
        <v>0</v>
      </c>
      <c r="N67" t="n">
        <v>0</v>
      </c>
      <c r="O67" t="n">
        <v>2</v>
      </c>
      <c r="P67" t="n">
        <v>0</v>
      </c>
      <c r="Q67" t="n">
        <v>3</v>
      </c>
      <c r="R67" s="2" t="inlineStr">
        <is>
          <t>Slåtterfibbla
Ullticka
Dropptaggsvamp</t>
        </is>
      </c>
      <c r="S67">
        <f>HYPERLINK("https://klasma.github.io/Logging_2281/artfynd/A 22407-2020 artfynd.xlsx", "A 22407-2020")</f>
        <v/>
      </c>
      <c r="T67">
        <f>HYPERLINK("https://klasma.github.io/Logging_2281/kartor/A 22407-2020 karta.png", "A 22407-2020")</f>
        <v/>
      </c>
      <c r="U67">
        <f>HYPERLINK("https://klasma.github.io/Logging_2281/knärot/A 22407-2020 karta knärot.png", "A 22407-2020")</f>
        <v/>
      </c>
      <c r="V67">
        <f>HYPERLINK("https://klasma.github.io/Logging_2281/klagomål/A 22407-2020 FSC-klagomål.docx", "A 22407-2020")</f>
        <v/>
      </c>
      <c r="W67">
        <f>HYPERLINK("https://klasma.github.io/Logging_2281/klagomålsmail/A 22407-2020 FSC-klagomål mail.docx", "A 22407-2020")</f>
        <v/>
      </c>
      <c r="X67">
        <f>HYPERLINK("https://klasma.github.io/Logging_2281/tillsyn/A 22407-2020 tillsynsbegäran.docx", "A 22407-2020")</f>
        <v/>
      </c>
      <c r="Y67">
        <f>HYPERLINK("https://klasma.github.io/Logging_2281/tillsynsmail/A 22407-2020 tillsynsbegäran mail.docx", "A 22407-2020")</f>
        <v/>
      </c>
    </row>
    <row r="68" ht="15" customHeight="1">
      <c r="A68" t="inlineStr">
        <is>
          <t>A 39080-2020</t>
        </is>
      </c>
      <c r="B68" s="1" t="n">
        <v>44062</v>
      </c>
      <c r="C68" s="1" t="n">
        <v>45697</v>
      </c>
      <c r="D68" t="inlineStr">
        <is>
          <t>VÄSTERNORRLANDS LÄN</t>
        </is>
      </c>
      <c r="E68" t="inlineStr">
        <is>
          <t>SUNDSVALL</t>
        </is>
      </c>
      <c r="F68" t="inlineStr">
        <is>
          <t>SCA</t>
        </is>
      </c>
      <c r="G68" t="n">
        <v>4.5</v>
      </c>
      <c r="H68" t="n">
        <v>2</v>
      </c>
      <c r="I68" t="n">
        <v>0</v>
      </c>
      <c r="J68" t="n">
        <v>1</v>
      </c>
      <c r="K68" t="n">
        <v>1</v>
      </c>
      <c r="L68" t="n">
        <v>0</v>
      </c>
      <c r="M68" t="n">
        <v>0</v>
      </c>
      <c r="N68" t="n">
        <v>0</v>
      </c>
      <c r="O68" t="n">
        <v>2</v>
      </c>
      <c r="P68" t="n">
        <v>1</v>
      </c>
      <c r="Q68" t="n">
        <v>3</v>
      </c>
      <c r="R68" s="2" t="inlineStr">
        <is>
          <t>Knärot
Skrovellav
Blåsippa</t>
        </is>
      </c>
      <c r="S68">
        <f>HYPERLINK("https://klasma.github.io/Logging_2281/artfynd/A 39080-2020 artfynd.xlsx", "A 39080-2020")</f>
        <v/>
      </c>
      <c r="T68">
        <f>HYPERLINK("https://klasma.github.io/Logging_2281/kartor/A 39080-2020 karta.png", "A 39080-2020")</f>
        <v/>
      </c>
      <c r="U68">
        <f>HYPERLINK("https://klasma.github.io/Logging_2281/knärot/A 39080-2020 karta knärot.png", "A 39080-2020")</f>
        <v/>
      </c>
      <c r="V68">
        <f>HYPERLINK("https://klasma.github.io/Logging_2281/klagomål/A 39080-2020 FSC-klagomål.docx", "A 39080-2020")</f>
        <v/>
      </c>
      <c r="W68">
        <f>HYPERLINK("https://klasma.github.io/Logging_2281/klagomålsmail/A 39080-2020 FSC-klagomål mail.docx", "A 39080-2020")</f>
        <v/>
      </c>
      <c r="X68">
        <f>HYPERLINK("https://klasma.github.io/Logging_2281/tillsyn/A 39080-2020 tillsynsbegäran.docx", "A 39080-2020")</f>
        <v/>
      </c>
      <c r="Y68">
        <f>HYPERLINK("https://klasma.github.io/Logging_2281/tillsynsmail/A 39080-2020 tillsynsbegäran mail.docx", "A 39080-2020")</f>
        <v/>
      </c>
    </row>
    <row r="69" ht="15" customHeight="1">
      <c r="A69" t="inlineStr">
        <is>
          <t>A 24268-2021</t>
        </is>
      </c>
      <c r="B69" s="1" t="n">
        <v>44336</v>
      </c>
      <c r="C69" s="1" t="n">
        <v>45697</v>
      </c>
      <c r="D69" t="inlineStr">
        <is>
          <t>VÄSTERNORRLANDS LÄN</t>
        </is>
      </c>
      <c r="E69" t="inlineStr">
        <is>
          <t>SUNDSVALL</t>
        </is>
      </c>
      <c r="F69" t="inlineStr">
        <is>
          <t>SCA</t>
        </is>
      </c>
      <c r="G69" t="n">
        <v>5.4</v>
      </c>
      <c r="H69" t="n">
        <v>2</v>
      </c>
      <c r="I69" t="n">
        <v>0</v>
      </c>
      <c r="J69" t="n">
        <v>1</v>
      </c>
      <c r="K69" t="n">
        <v>0</v>
      </c>
      <c r="L69" t="n">
        <v>0</v>
      </c>
      <c r="M69" t="n">
        <v>0</v>
      </c>
      <c r="N69" t="n">
        <v>0</v>
      </c>
      <c r="O69" t="n">
        <v>1</v>
      </c>
      <c r="P69" t="n">
        <v>0</v>
      </c>
      <c r="Q69" t="n">
        <v>3</v>
      </c>
      <c r="R69" s="2" t="inlineStr">
        <is>
          <t>Lunglav
Fläcknycklar
Revlummer</t>
        </is>
      </c>
      <c r="S69">
        <f>HYPERLINK("https://klasma.github.io/Logging_2281/artfynd/A 24268-2021 artfynd.xlsx", "A 24268-2021")</f>
        <v/>
      </c>
      <c r="T69">
        <f>HYPERLINK("https://klasma.github.io/Logging_2281/kartor/A 24268-2021 karta.png", "A 24268-2021")</f>
        <v/>
      </c>
      <c r="V69">
        <f>HYPERLINK("https://klasma.github.io/Logging_2281/klagomål/A 24268-2021 FSC-klagomål.docx", "A 24268-2021")</f>
        <v/>
      </c>
      <c r="W69">
        <f>HYPERLINK("https://klasma.github.io/Logging_2281/klagomålsmail/A 24268-2021 FSC-klagomål mail.docx", "A 24268-2021")</f>
        <v/>
      </c>
      <c r="X69">
        <f>HYPERLINK("https://klasma.github.io/Logging_2281/tillsyn/A 24268-2021 tillsynsbegäran.docx", "A 24268-2021")</f>
        <v/>
      </c>
      <c r="Y69">
        <f>HYPERLINK("https://klasma.github.io/Logging_2281/tillsynsmail/A 24268-2021 tillsynsbegäran mail.docx", "A 24268-2021")</f>
        <v/>
      </c>
    </row>
    <row r="70" ht="15" customHeight="1">
      <c r="A70" t="inlineStr">
        <is>
          <t>A 11351-2022</t>
        </is>
      </c>
      <c r="B70" s="1" t="n">
        <v>44630</v>
      </c>
      <c r="C70" s="1" t="n">
        <v>45697</v>
      </c>
      <c r="D70" t="inlineStr">
        <is>
          <t>VÄSTERNORRLANDS LÄN</t>
        </is>
      </c>
      <c r="E70" t="inlineStr">
        <is>
          <t>SUNDSVALL</t>
        </is>
      </c>
      <c r="G70" t="n">
        <v>12.1</v>
      </c>
      <c r="H70" t="n">
        <v>1</v>
      </c>
      <c r="I70" t="n">
        <v>1</v>
      </c>
      <c r="J70" t="n">
        <v>1</v>
      </c>
      <c r="K70" t="n">
        <v>1</v>
      </c>
      <c r="L70" t="n">
        <v>0</v>
      </c>
      <c r="M70" t="n">
        <v>0</v>
      </c>
      <c r="N70" t="n">
        <v>0</v>
      </c>
      <c r="O70" t="n">
        <v>2</v>
      </c>
      <c r="P70" t="n">
        <v>1</v>
      </c>
      <c r="Q70" t="n">
        <v>3</v>
      </c>
      <c r="R70" s="2" t="inlineStr">
        <is>
          <t>Knärot
Vedskivlav
Kornig nållav</t>
        </is>
      </c>
      <c r="S70">
        <f>HYPERLINK("https://klasma.github.io/Logging_2281/artfynd/A 11351-2022 artfynd.xlsx", "A 11351-2022")</f>
        <v/>
      </c>
      <c r="T70">
        <f>HYPERLINK("https://klasma.github.io/Logging_2281/kartor/A 11351-2022 karta.png", "A 11351-2022")</f>
        <v/>
      </c>
      <c r="U70">
        <f>HYPERLINK("https://klasma.github.io/Logging_2281/knärot/A 11351-2022 karta knärot.png", "A 11351-2022")</f>
        <v/>
      </c>
      <c r="V70">
        <f>HYPERLINK("https://klasma.github.io/Logging_2281/klagomål/A 11351-2022 FSC-klagomål.docx", "A 11351-2022")</f>
        <v/>
      </c>
      <c r="W70">
        <f>HYPERLINK("https://klasma.github.io/Logging_2281/klagomålsmail/A 11351-2022 FSC-klagomål mail.docx", "A 11351-2022")</f>
        <v/>
      </c>
      <c r="X70">
        <f>HYPERLINK("https://klasma.github.io/Logging_2281/tillsyn/A 11351-2022 tillsynsbegäran.docx", "A 11351-2022")</f>
        <v/>
      </c>
      <c r="Y70">
        <f>HYPERLINK("https://klasma.github.io/Logging_2281/tillsynsmail/A 11351-2022 tillsynsbegäran mail.docx", "A 11351-2022")</f>
        <v/>
      </c>
    </row>
    <row r="71" ht="15" customHeight="1">
      <c r="A71" t="inlineStr">
        <is>
          <t>A 14677-2022</t>
        </is>
      </c>
      <c r="B71" s="1" t="n">
        <v>44655</v>
      </c>
      <c r="C71" s="1" t="n">
        <v>45697</v>
      </c>
      <c r="D71" t="inlineStr">
        <is>
          <t>VÄSTERNORRLANDS LÄN</t>
        </is>
      </c>
      <c r="E71" t="inlineStr">
        <is>
          <t>SUNDSVALL</t>
        </is>
      </c>
      <c r="G71" t="n">
        <v>12.9</v>
      </c>
      <c r="H71" t="n">
        <v>2</v>
      </c>
      <c r="I71" t="n">
        <v>0</v>
      </c>
      <c r="J71" t="n">
        <v>2</v>
      </c>
      <c r="K71" t="n">
        <v>1</v>
      </c>
      <c r="L71" t="n">
        <v>0</v>
      </c>
      <c r="M71" t="n">
        <v>0</v>
      </c>
      <c r="N71" t="n">
        <v>0</v>
      </c>
      <c r="O71" t="n">
        <v>3</v>
      </c>
      <c r="P71" t="n">
        <v>1</v>
      </c>
      <c r="Q71" t="n">
        <v>3</v>
      </c>
      <c r="R71" s="2" t="inlineStr">
        <is>
          <t>Knärot
Gammelgransskål
Tretåig hackspett</t>
        </is>
      </c>
      <c r="S71">
        <f>HYPERLINK("https://klasma.github.io/Logging_2281/artfynd/A 14677-2022 artfynd.xlsx", "A 14677-2022")</f>
        <v/>
      </c>
      <c r="T71">
        <f>HYPERLINK("https://klasma.github.io/Logging_2281/kartor/A 14677-2022 karta.png", "A 14677-2022")</f>
        <v/>
      </c>
      <c r="U71">
        <f>HYPERLINK("https://klasma.github.io/Logging_2281/knärot/A 14677-2022 karta knärot.png", "A 14677-2022")</f>
        <v/>
      </c>
      <c r="V71">
        <f>HYPERLINK("https://klasma.github.io/Logging_2281/klagomål/A 14677-2022 FSC-klagomål.docx", "A 14677-2022")</f>
        <v/>
      </c>
      <c r="W71">
        <f>HYPERLINK("https://klasma.github.io/Logging_2281/klagomålsmail/A 14677-2022 FSC-klagomål mail.docx", "A 14677-2022")</f>
        <v/>
      </c>
      <c r="X71">
        <f>HYPERLINK("https://klasma.github.io/Logging_2281/tillsyn/A 14677-2022 tillsynsbegäran.docx", "A 14677-2022")</f>
        <v/>
      </c>
      <c r="Y71">
        <f>HYPERLINK("https://klasma.github.io/Logging_2281/tillsynsmail/A 14677-2022 tillsynsbegäran mail.docx", "A 14677-2022")</f>
        <v/>
      </c>
      <c r="Z71">
        <f>HYPERLINK("https://klasma.github.io/Logging_2281/fåglar/A 14677-2022 prioriterade fågelarter.docx", "A 14677-2022")</f>
        <v/>
      </c>
    </row>
    <row r="72" ht="15" customHeight="1">
      <c r="A72" t="inlineStr">
        <is>
          <t>A 21662-2022</t>
        </is>
      </c>
      <c r="B72" s="1" t="n">
        <v>44706</v>
      </c>
      <c r="C72" s="1" t="n">
        <v>45697</v>
      </c>
      <c r="D72" t="inlineStr">
        <is>
          <t>VÄSTERNORRLANDS LÄN</t>
        </is>
      </c>
      <c r="E72" t="inlineStr">
        <is>
          <t>SUNDSVALL</t>
        </is>
      </c>
      <c r="F72" t="inlineStr">
        <is>
          <t>SCA</t>
        </is>
      </c>
      <c r="G72" t="n">
        <v>3.2</v>
      </c>
      <c r="H72" t="n">
        <v>1</v>
      </c>
      <c r="I72" t="n">
        <v>0</v>
      </c>
      <c r="J72" t="n">
        <v>2</v>
      </c>
      <c r="K72" t="n">
        <v>0</v>
      </c>
      <c r="L72" t="n">
        <v>0</v>
      </c>
      <c r="M72" t="n">
        <v>0</v>
      </c>
      <c r="N72" t="n">
        <v>0</v>
      </c>
      <c r="O72" t="n">
        <v>2</v>
      </c>
      <c r="P72" t="n">
        <v>0</v>
      </c>
      <c r="Q72" t="n">
        <v>3</v>
      </c>
      <c r="R72" s="2" t="inlineStr">
        <is>
          <t>Garnlav
Vedtrappmossa
Revlummer</t>
        </is>
      </c>
      <c r="S72">
        <f>HYPERLINK("https://klasma.github.io/Logging_2281/artfynd/A 21662-2022 artfynd.xlsx", "A 21662-2022")</f>
        <v/>
      </c>
      <c r="T72">
        <f>HYPERLINK("https://klasma.github.io/Logging_2281/kartor/A 21662-2022 karta.png", "A 21662-2022")</f>
        <v/>
      </c>
      <c r="V72">
        <f>HYPERLINK("https://klasma.github.io/Logging_2281/klagomål/A 21662-2022 FSC-klagomål.docx", "A 21662-2022")</f>
        <v/>
      </c>
      <c r="W72">
        <f>HYPERLINK("https://klasma.github.io/Logging_2281/klagomålsmail/A 21662-2022 FSC-klagomål mail.docx", "A 21662-2022")</f>
        <v/>
      </c>
      <c r="X72">
        <f>HYPERLINK("https://klasma.github.io/Logging_2281/tillsyn/A 21662-2022 tillsynsbegäran.docx", "A 21662-2022")</f>
        <v/>
      </c>
      <c r="Y72">
        <f>HYPERLINK("https://klasma.github.io/Logging_2281/tillsynsmail/A 21662-2022 tillsynsbegäran mail.docx", "A 21662-2022")</f>
        <v/>
      </c>
    </row>
    <row r="73" ht="15" customHeight="1">
      <c r="A73" t="inlineStr">
        <is>
          <t>A 8680-2023</t>
        </is>
      </c>
      <c r="B73" s="1" t="n">
        <v>44977</v>
      </c>
      <c r="C73" s="1" t="n">
        <v>45697</v>
      </c>
      <c r="D73" t="inlineStr">
        <is>
          <t>VÄSTERNORRLANDS LÄN</t>
        </is>
      </c>
      <c r="E73" t="inlineStr">
        <is>
          <t>SUNDSVALL</t>
        </is>
      </c>
      <c r="F73" t="inlineStr">
        <is>
          <t>Naturvårdsverket</t>
        </is>
      </c>
      <c r="G73" t="n">
        <v>10.1</v>
      </c>
      <c r="H73" t="n">
        <v>0</v>
      </c>
      <c r="I73" t="n">
        <v>0</v>
      </c>
      <c r="J73" t="n">
        <v>3</v>
      </c>
      <c r="K73" t="n">
        <v>0</v>
      </c>
      <c r="L73" t="n">
        <v>0</v>
      </c>
      <c r="M73" t="n">
        <v>0</v>
      </c>
      <c r="N73" t="n">
        <v>0</v>
      </c>
      <c r="O73" t="n">
        <v>3</v>
      </c>
      <c r="P73" t="n">
        <v>0</v>
      </c>
      <c r="Q73" t="n">
        <v>3</v>
      </c>
      <c r="R73" s="2" t="inlineStr">
        <is>
          <t>Dvärgbägarlav
Kolflarnlav
Ullticka</t>
        </is>
      </c>
      <c r="S73">
        <f>HYPERLINK("https://klasma.github.io/Logging_2281/artfynd/A 8680-2023 artfynd.xlsx", "A 8680-2023")</f>
        <v/>
      </c>
      <c r="T73">
        <f>HYPERLINK("https://klasma.github.io/Logging_2281/kartor/A 8680-2023 karta.png", "A 8680-2023")</f>
        <v/>
      </c>
      <c r="V73">
        <f>HYPERLINK("https://klasma.github.io/Logging_2281/klagomål/A 8680-2023 FSC-klagomål.docx", "A 8680-2023")</f>
        <v/>
      </c>
      <c r="W73">
        <f>HYPERLINK("https://klasma.github.io/Logging_2281/klagomålsmail/A 8680-2023 FSC-klagomål mail.docx", "A 8680-2023")</f>
        <v/>
      </c>
      <c r="X73">
        <f>HYPERLINK("https://klasma.github.io/Logging_2281/tillsyn/A 8680-2023 tillsynsbegäran.docx", "A 8680-2023")</f>
        <v/>
      </c>
      <c r="Y73">
        <f>HYPERLINK("https://klasma.github.io/Logging_2281/tillsynsmail/A 8680-2023 tillsynsbegäran mail.docx", "A 8680-2023")</f>
        <v/>
      </c>
    </row>
    <row r="74" ht="15" customHeight="1">
      <c r="A74" t="inlineStr">
        <is>
          <t>A 16377-2023</t>
        </is>
      </c>
      <c r="B74" s="1" t="n">
        <v>45028</v>
      </c>
      <c r="C74" s="1" t="n">
        <v>45697</v>
      </c>
      <c r="D74" t="inlineStr">
        <is>
          <t>VÄSTERNORRLANDS LÄN</t>
        </is>
      </c>
      <c r="E74" t="inlineStr">
        <is>
          <t>SUNDSVALL</t>
        </is>
      </c>
      <c r="F74" t="inlineStr">
        <is>
          <t>SCA</t>
        </is>
      </c>
      <c r="G74" t="n">
        <v>4.9</v>
      </c>
      <c r="H74" t="n">
        <v>1</v>
      </c>
      <c r="I74" t="n">
        <v>2</v>
      </c>
      <c r="J74" t="n">
        <v>1</v>
      </c>
      <c r="K74" t="n">
        <v>0</v>
      </c>
      <c r="L74" t="n">
        <v>0</v>
      </c>
      <c r="M74" t="n">
        <v>0</v>
      </c>
      <c r="N74" t="n">
        <v>0</v>
      </c>
      <c r="O74" t="n">
        <v>1</v>
      </c>
      <c r="P74" t="n">
        <v>0</v>
      </c>
      <c r="Q74" t="n">
        <v>3</v>
      </c>
      <c r="R74" s="2" t="inlineStr">
        <is>
          <t>Lunglav
Plattlummer
Skinnlav</t>
        </is>
      </c>
      <c r="S74">
        <f>HYPERLINK("https://klasma.github.io/Logging_2281/artfynd/A 16377-2023 artfynd.xlsx", "A 16377-2023")</f>
        <v/>
      </c>
      <c r="T74">
        <f>HYPERLINK("https://klasma.github.io/Logging_2281/kartor/A 16377-2023 karta.png", "A 16377-2023")</f>
        <v/>
      </c>
      <c r="V74">
        <f>HYPERLINK("https://klasma.github.io/Logging_2281/klagomål/A 16377-2023 FSC-klagomål.docx", "A 16377-2023")</f>
        <v/>
      </c>
      <c r="W74">
        <f>HYPERLINK("https://klasma.github.io/Logging_2281/klagomålsmail/A 16377-2023 FSC-klagomål mail.docx", "A 16377-2023")</f>
        <v/>
      </c>
      <c r="X74">
        <f>HYPERLINK("https://klasma.github.io/Logging_2281/tillsyn/A 16377-2023 tillsynsbegäran.docx", "A 16377-2023")</f>
        <v/>
      </c>
      <c r="Y74">
        <f>HYPERLINK("https://klasma.github.io/Logging_2281/tillsynsmail/A 16377-2023 tillsynsbegäran mail.docx", "A 16377-2023")</f>
        <v/>
      </c>
    </row>
    <row r="75" ht="15" customHeight="1">
      <c r="A75" t="inlineStr">
        <is>
          <t>A 27390-2023</t>
        </is>
      </c>
      <c r="B75" s="1" t="n">
        <v>45096</v>
      </c>
      <c r="C75" s="1" t="n">
        <v>45697</v>
      </c>
      <c r="D75" t="inlineStr">
        <is>
          <t>VÄSTERNORRLANDS LÄN</t>
        </is>
      </c>
      <c r="E75" t="inlineStr">
        <is>
          <t>SUNDSVALL</t>
        </is>
      </c>
      <c r="F75" t="inlineStr">
        <is>
          <t>SCA</t>
        </is>
      </c>
      <c r="G75" t="n">
        <v>14.3</v>
      </c>
      <c r="H75" t="n">
        <v>1</v>
      </c>
      <c r="I75" t="n">
        <v>1</v>
      </c>
      <c r="J75" t="n">
        <v>1</v>
      </c>
      <c r="K75" t="n">
        <v>0</v>
      </c>
      <c r="L75" t="n">
        <v>0</v>
      </c>
      <c r="M75" t="n">
        <v>0</v>
      </c>
      <c r="N75" t="n">
        <v>0</v>
      </c>
      <c r="O75" t="n">
        <v>1</v>
      </c>
      <c r="P75" t="n">
        <v>0</v>
      </c>
      <c r="Q75" t="n">
        <v>3</v>
      </c>
      <c r="R75" s="2" t="inlineStr">
        <is>
          <t>Lunglav
Vedticka
Blåsippa</t>
        </is>
      </c>
      <c r="S75">
        <f>HYPERLINK("https://klasma.github.io/Logging_2281/artfynd/A 27390-2023 artfynd.xlsx", "A 27390-2023")</f>
        <v/>
      </c>
      <c r="T75">
        <f>HYPERLINK("https://klasma.github.io/Logging_2281/kartor/A 27390-2023 karta.png", "A 27390-2023")</f>
        <v/>
      </c>
      <c r="V75">
        <f>HYPERLINK("https://klasma.github.io/Logging_2281/klagomål/A 27390-2023 FSC-klagomål.docx", "A 27390-2023")</f>
        <v/>
      </c>
      <c r="W75">
        <f>HYPERLINK("https://klasma.github.io/Logging_2281/klagomålsmail/A 27390-2023 FSC-klagomål mail.docx", "A 27390-2023")</f>
        <v/>
      </c>
      <c r="X75">
        <f>HYPERLINK("https://klasma.github.io/Logging_2281/tillsyn/A 27390-2023 tillsynsbegäran.docx", "A 27390-2023")</f>
        <v/>
      </c>
      <c r="Y75">
        <f>HYPERLINK("https://klasma.github.io/Logging_2281/tillsynsmail/A 27390-2023 tillsynsbegäran mail.docx", "A 27390-2023")</f>
        <v/>
      </c>
    </row>
    <row r="76" ht="15" customHeight="1">
      <c r="A76" t="inlineStr">
        <is>
          <t>A 27734-2023</t>
        </is>
      </c>
      <c r="B76" s="1" t="n">
        <v>45098</v>
      </c>
      <c r="C76" s="1" t="n">
        <v>45697</v>
      </c>
      <c r="D76" t="inlineStr">
        <is>
          <t>VÄSTERNORRLANDS LÄN</t>
        </is>
      </c>
      <c r="E76" t="inlineStr">
        <is>
          <t>SUNDSVALL</t>
        </is>
      </c>
      <c r="G76" t="n">
        <v>0.8</v>
      </c>
      <c r="H76" t="n">
        <v>3</v>
      </c>
      <c r="I76" t="n">
        <v>0</v>
      </c>
      <c r="J76" t="n">
        <v>1</v>
      </c>
      <c r="K76" t="n">
        <v>0</v>
      </c>
      <c r="L76" t="n">
        <v>1</v>
      </c>
      <c r="M76" t="n">
        <v>0</v>
      </c>
      <c r="N76" t="n">
        <v>0</v>
      </c>
      <c r="O76" t="n">
        <v>2</v>
      </c>
      <c r="P76" t="n">
        <v>1</v>
      </c>
      <c r="Q76" t="n">
        <v>3</v>
      </c>
      <c r="R76" s="2" t="inlineStr">
        <is>
          <t>Grönfink
Björktrast
Skogsduva</t>
        </is>
      </c>
      <c r="S76">
        <f>HYPERLINK("https://klasma.github.io/Logging_2281/artfynd/A 27734-2023 artfynd.xlsx", "A 27734-2023")</f>
        <v/>
      </c>
      <c r="T76">
        <f>HYPERLINK("https://klasma.github.io/Logging_2281/kartor/A 27734-2023 karta.png", "A 27734-2023")</f>
        <v/>
      </c>
      <c r="V76">
        <f>HYPERLINK("https://klasma.github.io/Logging_2281/klagomål/A 27734-2023 FSC-klagomål.docx", "A 27734-2023")</f>
        <v/>
      </c>
      <c r="W76">
        <f>HYPERLINK("https://klasma.github.io/Logging_2281/klagomålsmail/A 27734-2023 FSC-klagomål mail.docx", "A 27734-2023")</f>
        <v/>
      </c>
      <c r="X76">
        <f>HYPERLINK("https://klasma.github.io/Logging_2281/tillsyn/A 27734-2023 tillsynsbegäran.docx", "A 27734-2023")</f>
        <v/>
      </c>
      <c r="Y76">
        <f>HYPERLINK("https://klasma.github.io/Logging_2281/tillsynsmail/A 27734-2023 tillsynsbegäran mail.docx", "A 27734-2023")</f>
        <v/>
      </c>
      <c r="Z76">
        <f>HYPERLINK("https://klasma.github.io/Logging_2281/fåglar/A 27734-2023 prioriterade fågelarter.docx", "A 27734-2023")</f>
        <v/>
      </c>
    </row>
    <row r="77" ht="15" customHeight="1">
      <c r="A77" t="inlineStr">
        <is>
          <t>A 38096-2023</t>
        </is>
      </c>
      <c r="B77" s="1" t="n">
        <v>45160</v>
      </c>
      <c r="C77" s="1" t="n">
        <v>45697</v>
      </c>
      <c r="D77" t="inlineStr">
        <is>
          <t>VÄSTERNORRLANDS LÄN</t>
        </is>
      </c>
      <c r="E77" t="inlineStr">
        <is>
          <t>SUNDSVALL</t>
        </is>
      </c>
      <c r="F77" t="inlineStr">
        <is>
          <t>SCA</t>
        </is>
      </c>
      <c r="G77" t="n">
        <v>3.6</v>
      </c>
      <c r="H77" t="n">
        <v>0</v>
      </c>
      <c r="I77" t="n">
        <v>1</v>
      </c>
      <c r="J77" t="n">
        <v>2</v>
      </c>
      <c r="K77" t="n">
        <v>0</v>
      </c>
      <c r="L77" t="n">
        <v>0</v>
      </c>
      <c r="M77" t="n">
        <v>0</v>
      </c>
      <c r="N77" t="n">
        <v>0</v>
      </c>
      <c r="O77" t="n">
        <v>2</v>
      </c>
      <c r="P77" t="n">
        <v>0</v>
      </c>
      <c r="Q77" t="n">
        <v>3</v>
      </c>
      <c r="R77" s="2" t="inlineStr">
        <is>
          <t>Blå taggsvamp
Lunglav
Dropptaggsvamp</t>
        </is>
      </c>
      <c r="S77">
        <f>HYPERLINK("https://klasma.github.io/Logging_2281/artfynd/A 38096-2023 artfynd.xlsx", "A 38096-2023")</f>
        <v/>
      </c>
      <c r="T77">
        <f>HYPERLINK("https://klasma.github.io/Logging_2281/kartor/A 38096-2023 karta.png", "A 38096-2023")</f>
        <v/>
      </c>
      <c r="V77">
        <f>HYPERLINK("https://klasma.github.io/Logging_2281/klagomål/A 38096-2023 FSC-klagomål.docx", "A 38096-2023")</f>
        <v/>
      </c>
      <c r="W77">
        <f>HYPERLINK("https://klasma.github.io/Logging_2281/klagomålsmail/A 38096-2023 FSC-klagomål mail.docx", "A 38096-2023")</f>
        <v/>
      </c>
      <c r="X77">
        <f>HYPERLINK("https://klasma.github.io/Logging_2281/tillsyn/A 38096-2023 tillsynsbegäran.docx", "A 38096-2023")</f>
        <v/>
      </c>
      <c r="Y77">
        <f>HYPERLINK("https://klasma.github.io/Logging_2281/tillsynsmail/A 38096-2023 tillsynsbegäran mail.docx", "A 38096-2023")</f>
        <v/>
      </c>
    </row>
    <row r="78" ht="15" customHeight="1">
      <c r="A78" t="inlineStr">
        <is>
          <t>A 54621-2023</t>
        </is>
      </c>
      <c r="B78" s="1" t="n">
        <v>45233</v>
      </c>
      <c r="C78" s="1" t="n">
        <v>45697</v>
      </c>
      <c r="D78" t="inlineStr">
        <is>
          <t>VÄSTERNORRLANDS LÄN</t>
        </is>
      </c>
      <c r="E78" t="inlineStr">
        <is>
          <t>SUNDSVALL</t>
        </is>
      </c>
      <c r="F78" t="inlineStr">
        <is>
          <t>Naturvårdsverket</t>
        </is>
      </c>
      <c r="G78" t="n">
        <v>3.9</v>
      </c>
      <c r="H78" t="n">
        <v>0</v>
      </c>
      <c r="I78" t="n">
        <v>0</v>
      </c>
      <c r="J78" t="n">
        <v>3</v>
      </c>
      <c r="K78" t="n">
        <v>0</v>
      </c>
      <c r="L78" t="n">
        <v>0</v>
      </c>
      <c r="M78" t="n">
        <v>0</v>
      </c>
      <c r="N78" t="n">
        <v>0</v>
      </c>
      <c r="O78" t="n">
        <v>3</v>
      </c>
      <c r="P78" t="n">
        <v>0</v>
      </c>
      <c r="Q78" t="n">
        <v>3</v>
      </c>
      <c r="R78" s="2" t="inlineStr">
        <is>
          <t>Kolflarnlav
Tallticka
Ullticka</t>
        </is>
      </c>
      <c r="S78">
        <f>HYPERLINK("https://klasma.github.io/Logging_2281/artfynd/A 54621-2023 artfynd.xlsx", "A 54621-2023")</f>
        <v/>
      </c>
      <c r="T78">
        <f>HYPERLINK("https://klasma.github.io/Logging_2281/kartor/A 54621-2023 karta.png", "A 54621-2023")</f>
        <v/>
      </c>
      <c r="V78">
        <f>HYPERLINK("https://klasma.github.io/Logging_2281/klagomål/A 54621-2023 FSC-klagomål.docx", "A 54621-2023")</f>
        <v/>
      </c>
      <c r="W78">
        <f>HYPERLINK("https://klasma.github.io/Logging_2281/klagomålsmail/A 54621-2023 FSC-klagomål mail.docx", "A 54621-2023")</f>
        <v/>
      </c>
      <c r="X78">
        <f>HYPERLINK("https://klasma.github.io/Logging_2281/tillsyn/A 54621-2023 tillsynsbegäran.docx", "A 54621-2023")</f>
        <v/>
      </c>
      <c r="Y78">
        <f>HYPERLINK("https://klasma.github.io/Logging_2281/tillsynsmail/A 54621-2023 tillsynsbegäran mail.docx", "A 54621-2023")</f>
        <v/>
      </c>
    </row>
    <row r="79" ht="15" customHeight="1">
      <c r="A79" t="inlineStr">
        <is>
          <t>A 60864-2023</t>
        </is>
      </c>
      <c r="B79" s="1" t="n">
        <v>45260</v>
      </c>
      <c r="C79" s="1" t="n">
        <v>45697</v>
      </c>
      <c r="D79" t="inlineStr">
        <is>
          <t>VÄSTERNORRLANDS LÄN</t>
        </is>
      </c>
      <c r="E79" t="inlineStr">
        <is>
          <t>SUNDSVALL</t>
        </is>
      </c>
      <c r="F79" t="inlineStr">
        <is>
          <t>SCA</t>
        </is>
      </c>
      <c r="G79" t="n">
        <v>0.9</v>
      </c>
      <c r="H79" t="n">
        <v>1</v>
      </c>
      <c r="I79" t="n">
        <v>2</v>
      </c>
      <c r="J79" t="n">
        <v>1</v>
      </c>
      <c r="K79" t="n">
        <v>0</v>
      </c>
      <c r="L79" t="n">
        <v>0</v>
      </c>
      <c r="M79" t="n">
        <v>0</v>
      </c>
      <c r="N79" t="n">
        <v>0</v>
      </c>
      <c r="O79" t="n">
        <v>1</v>
      </c>
      <c r="P79" t="n">
        <v>0</v>
      </c>
      <c r="Q79" t="n">
        <v>3</v>
      </c>
      <c r="R79" s="2" t="inlineStr">
        <is>
          <t>Tretåig hackspett
Dropptaggsvamp
Vedticka</t>
        </is>
      </c>
      <c r="S79">
        <f>HYPERLINK("https://klasma.github.io/Logging_2281/artfynd/A 60864-2023 artfynd.xlsx", "A 60864-2023")</f>
        <v/>
      </c>
      <c r="T79">
        <f>HYPERLINK("https://klasma.github.io/Logging_2281/kartor/A 60864-2023 karta.png", "A 60864-2023")</f>
        <v/>
      </c>
      <c r="V79">
        <f>HYPERLINK("https://klasma.github.io/Logging_2281/klagomål/A 60864-2023 FSC-klagomål.docx", "A 60864-2023")</f>
        <v/>
      </c>
      <c r="W79">
        <f>HYPERLINK("https://klasma.github.io/Logging_2281/klagomålsmail/A 60864-2023 FSC-klagomål mail.docx", "A 60864-2023")</f>
        <v/>
      </c>
      <c r="X79">
        <f>HYPERLINK("https://klasma.github.io/Logging_2281/tillsyn/A 60864-2023 tillsynsbegäran.docx", "A 60864-2023")</f>
        <v/>
      </c>
      <c r="Y79">
        <f>HYPERLINK("https://klasma.github.io/Logging_2281/tillsynsmail/A 60864-2023 tillsynsbegäran mail.docx", "A 60864-2023")</f>
        <v/>
      </c>
      <c r="Z79">
        <f>HYPERLINK("https://klasma.github.io/Logging_2281/fåglar/A 60864-2023 prioriterade fågelarter.docx", "A 60864-2023")</f>
        <v/>
      </c>
    </row>
    <row r="80" ht="15" customHeight="1">
      <c r="A80" t="inlineStr">
        <is>
          <t>A 14820-2024</t>
        </is>
      </c>
      <c r="B80" s="1" t="n">
        <v>45397</v>
      </c>
      <c r="C80" s="1" t="n">
        <v>45697</v>
      </c>
      <c r="D80" t="inlineStr">
        <is>
          <t>VÄSTERNORRLANDS LÄN</t>
        </is>
      </c>
      <c r="E80" t="inlineStr">
        <is>
          <t>SUNDSVALL</t>
        </is>
      </c>
      <c r="F80" t="inlineStr">
        <is>
          <t>SCA</t>
        </is>
      </c>
      <c r="G80" t="n">
        <v>13.1</v>
      </c>
      <c r="H80" t="n">
        <v>0</v>
      </c>
      <c r="I80" t="n">
        <v>1</v>
      </c>
      <c r="J80" t="n">
        <v>2</v>
      </c>
      <c r="K80" t="n">
        <v>0</v>
      </c>
      <c r="L80" t="n">
        <v>0</v>
      </c>
      <c r="M80" t="n">
        <v>0</v>
      </c>
      <c r="N80" t="n">
        <v>0</v>
      </c>
      <c r="O80" t="n">
        <v>2</v>
      </c>
      <c r="P80" t="n">
        <v>0</v>
      </c>
      <c r="Q80" t="n">
        <v>3</v>
      </c>
      <c r="R80" s="2" t="inlineStr">
        <is>
          <t>Garnlav
Lunglav
Luddlav</t>
        </is>
      </c>
      <c r="S80">
        <f>HYPERLINK("https://klasma.github.io/Logging_2281/artfynd/A 14820-2024 artfynd.xlsx", "A 14820-2024")</f>
        <v/>
      </c>
      <c r="T80">
        <f>HYPERLINK("https://klasma.github.io/Logging_2281/kartor/A 14820-2024 karta.png", "A 14820-2024")</f>
        <v/>
      </c>
      <c r="V80">
        <f>HYPERLINK("https://klasma.github.io/Logging_2281/klagomål/A 14820-2024 FSC-klagomål.docx", "A 14820-2024")</f>
        <v/>
      </c>
      <c r="W80">
        <f>HYPERLINK("https://klasma.github.io/Logging_2281/klagomålsmail/A 14820-2024 FSC-klagomål mail.docx", "A 14820-2024")</f>
        <v/>
      </c>
      <c r="X80">
        <f>HYPERLINK("https://klasma.github.io/Logging_2281/tillsyn/A 14820-2024 tillsynsbegäran.docx", "A 14820-2024")</f>
        <v/>
      </c>
      <c r="Y80">
        <f>HYPERLINK("https://klasma.github.io/Logging_2281/tillsynsmail/A 14820-2024 tillsynsbegäran mail.docx", "A 14820-2024")</f>
        <v/>
      </c>
    </row>
    <row r="81" ht="15" customHeight="1">
      <c r="A81" t="inlineStr">
        <is>
          <t>A 29076-2024</t>
        </is>
      </c>
      <c r="B81" s="1" t="n">
        <v>45481</v>
      </c>
      <c r="C81" s="1" t="n">
        <v>45697</v>
      </c>
      <c r="D81" t="inlineStr">
        <is>
          <t>VÄSTERNORRLANDS LÄN</t>
        </is>
      </c>
      <c r="E81" t="inlineStr">
        <is>
          <t>SUNDSVALL</t>
        </is>
      </c>
      <c r="G81" t="n">
        <v>5.6</v>
      </c>
      <c r="H81" t="n">
        <v>0</v>
      </c>
      <c r="I81" t="n">
        <v>2</v>
      </c>
      <c r="J81" t="n">
        <v>1</v>
      </c>
      <c r="K81" t="n">
        <v>0</v>
      </c>
      <c r="L81" t="n">
        <v>0</v>
      </c>
      <c r="M81" t="n">
        <v>0</v>
      </c>
      <c r="N81" t="n">
        <v>0</v>
      </c>
      <c r="O81" t="n">
        <v>1</v>
      </c>
      <c r="P81" t="n">
        <v>0</v>
      </c>
      <c r="Q81" t="n">
        <v>3</v>
      </c>
      <c r="R81" s="2" t="inlineStr">
        <is>
          <t>Lunglav
Bårdlav
Stuplav</t>
        </is>
      </c>
      <c r="S81">
        <f>HYPERLINK("https://klasma.github.io/Logging_2281/artfynd/A 29076-2024 artfynd.xlsx", "A 29076-2024")</f>
        <v/>
      </c>
      <c r="T81">
        <f>HYPERLINK("https://klasma.github.io/Logging_2281/kartor/A 29076-2024 karta.png",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31515-2024</t>
        </is>
      </c>
      <c r="B82" s="1" t="n">
        <v>45505</v>
      </c>
      <c r="C82" s="1" t="n">
        <v>45697</v>
      </c>
      <c r="D82" t="inlineStr">
        <is>
          <t>VÄSTERNORRLANDS LÄN</t>
        </is>
      </c>
      <c r="E82" t="inlineStr">
        <is>
          <t>SUNDSVALL</t>
        </is>
      </c>
      <c r="F82" t="inlineStr">
        <is>
          <t>SCA</t>
        </is>
      </c>
      <c r="G82" t="n">
        <v>2.7</v>
      </c>
      <c r="H82" t="n">
        <v>0</v>
      </c>
      <c r="I82" t="n">
        <v>0</v>
      </c>
      <c r="J82" t="n">
        <v>3</v>
      </c>
      <c r="K82" t="n">
        <v>0</v>
      </c>
      <c r="L82" t="n">
        <v>0</v>
      </c>
      <c r="M82" t="n">
        <v>0</v>
      </c>
      <c r="N82" t="n">
        <v>0</v>
      </c>
      <c r="O82" t="n">
        <v>3</v>
      </c>
      <c r="P82" t="n">
        <v>0</v>
      </c>
      <c r="Q82" t="n">
        <v>3</v>
      </c>
      <c r="R82" s="2" t="inlineStr">
        <is>
          <t>Garnlav
Lunglav
Violettgrå tagellav</t>
        </is>
      </c>
      <c r="S82">
        <f>HYPERLINK("https://klasma.github.io/Logging_2281/artfynd/A 31515-2024 artfynd.xlsx", "A 31515-2024")</f>
        <v/>
      </c>
      <c r="T82">
        <f>HYPERLINK("https://klasma.github.io/Logging_2281/kartor/A 31515-2024 karta.png", "A 31515-2024")</f>
        <v/>
      </c>
      <c r="V82">
        <f>HYPERLINK("https://klasma.github.io/Logging_2281/klagomål/A 31515-2024 FSC-klagomål.docx", "A 31515-2024")</f>
        <v/>
      </c>
      <c r="W82">
        <f>HYPERLINK("https://klasma.github.io/Logging_2281/klagomålsmail/A 31515-2024 FSC-klagomål mail.docx", "A 31515-2024")</f>
        <v/>
      </c>
      <c r="X82">
        <f>HYPERLINK("https://klasma.github.io/Logging_2281/tillsyn/A 31515-2024 tillsynsbegäran.docx", "A 31515-2024")</f>
        <v/>
      </c>
      <c r="Y82">
        <f>HYPERLINK("https://klasma.github.io/Logging_2281/tillsynsmail/A 31515-2024 tillsynsbegäran mail.docx", "A 31515-2024")</f>
        <v/>
      </c>
    </row>
    <row r="83" ht="15" customHeight="1">
      <c r="A83" t="inlineStr">
        <is>
          <t>A 55550-2024</t>
        </is>
      </c>
      <c r="B83" s="1" t="n">
        <v>45622</v>
      </c>
      <c r="C83" s="1" t="n">
        <v>45697</v>
      </c>
      <c r="D83" t="inlineStr">
        <is>
          <t>VÄSTERNORRLANDS LÄN</t>
        </is>
      </c>
      <c r="E83" t="inlineStr">
        <is>
          <t>SUNDSVALL</t>
        </is>
      </c>
      <c r="F83" t="inlineStr">
        <is>
          <t>SCA</t>
        </is>
      </c>
      <c r="G83" t="n">
        <v>4.4</v>
      </c>
      <c r="H83" t="n">
        <v>2</v>
      </c>
      <c r="I83" t="n">
        <v>1</v>
      </c>
      <c r="J83" t="n">
        <v>1</v>
      </c>
      <c r="K83" t="n">
        <v>1</v>
      </c>
      <c r="L83" t="n">
        <v>0</v>
      </c>
      <c r="M83" t="n">
        <v>0</v>
      </c>
      <c r="N83" t="n">
        <v>0</v>
      </c>
      <c r="O83" t="n">
        <v>2</v>
      </c>
      <c r="P83" t="n">
        <v>1</v>
      </c>
      <c r="Q83" t="n">
        <v>3</v>
      </c>
      <c r="R83" s="2" t="inlineStr">
        <is>
          <t>Knärot
Tretåig hackspett
Vedticka</t>
        </is>
      </c>
      <c r="S83">
        <f>HYPERLINK("https://klasma.github.io/Logging_2281/artfynd/A 55550-2024 artfynd.xlsx", "A 55550-2024")</f>
        <v/>
      </c>
      <c r="T83">
        <f>HYPERLINK("https://klasma.github.io/Logging_2281/kartor/A 55550-2024 karta.png", "A 55550-2024")</f>
        <v/>
      </c>
      <c r="U83">
        <f>HYPERLINK("https://klasma.github.io/Logging_2281/knärot/A 55550-2024 karta knärot.png", "A 55550-2024")</f>
        <v/>
      </c>
      <c r="V83">
        <f>HYPERLINK("https://klasma.github.io/Logging_2281/klagomål/A 55550-2024 FSC-klagomål.docx", "A 55550-2024")</f>
        <v/>
      </c>
      <c r="W83">
        <f>HYPERLINK("https://klasma.github.io/Logging_2281/klagomålsmail/A 55550-2024 FSC-klagomål mail.docx", "A 55550-2024")</f>
        <v/>
      </c>
      <c r="X83">
        <f>HYPERLINK("https://klasma.github.io/Logging_2281/tillsyn/A 55550-2024 tillsynsbegäran.docx", "A 55550-2024")</f>
        <v/>
      </c>
      <c r="Y83">
        <f>HYPERLINK("https://klasma.github.io/Logging_2281/tillsynsmail/A 55550-2024 tillsynsbegäran mail.docx", "A 55550-2024")</f>
        <v/>
      </c>
      <c r="Z83">
        <f>HYPERLINK("https://klasma.github.io/Logging_2281/fåglar/A 55550-2024 prioriterade fågelarter.docx", "A 55550-2024")</f>
        <v/>
      </c>
    </row>
    <row r="84" ht="15" customHeight="1">
      <c r="A84" t="inlineStr">
        <is>
          <t>A 47808-2019</t>
        </is>
      </c>
      <c r="B84" s="1" t="n">
        <v>43724</v>
      </c>
      <c r="C84" s="1" t="n">
        <v>45697</v>
      </c>
      <c r="D84" t="inlineStr">
        <is>
          <t>VÄSTERNORRLANDS LÄN</t>
        </is>
      </c>
      <c r="E84" t="inlineStr">
        <is>
          <t>SUNDSVALL</t>
        </is>
      </c>
      <c r="F84" t="inlineStr">
        <is>
          <t>SCA</t>
        </is>
      </c>
      <c r="G84" t="n">
        <v>3.6</v>
      </c>
      <c r="H84" t="n">
        <v>0</v>
      </c>
      <c r="I84" t="n">
        <v>1</v>
      </c>
      <c r="J84" t="n">
        <v>1</v>
      </c>
      <c r="K84" t="n">
        <v>0</v>
      </c>
      <c r="L84" t="n">
        <v>0</v>
      </c>
      <c r="M84" t="n">
        <v>0</v>
      </c>
      <c r="N84" t="n">
        <v>0</v>
      </c>
      <c r="O84" t="n">
        <v>1</v>
      </c>
      <c r="P84" t="n">
        <v>0</v>
      </c>
      <c r="Q84" t="n">
        <v>2</v>
      </c>
      <c r="R84" s="2" t="inlineStr">
        <is>
          <t>Lunglav
Stuplav</t>
        </is>
      </c>
      <c r="S84">
        <f>HYPERLINK("https://klasma.github.io/Logging_2281/artfynd/A 47808-2019 artfynd.xlsx", "A 47808-2019")</f>
        <v/>
      </c>
      <c r="T84">
        <f>HYPERLINK("https://klasma.github.io/Logging_2281/kartor/A 47808-2019 karta.png", "A 47808-2019")</f>
        <v/>
      </c>
      <c r="V84">
        <f>HYPERLINK("https://klasma.github.io/Logging_2281/klagomål/A 47808-2019 FSC-klagomål.docx", "A 47808-2019")</f>
        <v/>
      </c>
      <c r="W84">
        <f>HYPERLINK("https://klasma.github.io/Logging_2281/klagomålsmail/A 47808-2019 FSC-klagomål mail.docx", "A 47808-2019")</f>
        <v/>
      </c>
      <c r="X84">
        <f>HYPERLINK("https://klasma.github.io/Logging_2281/tillsyn/A 47808-2019 tillsynsbegäran.docx", "A 47808-2019")</f>
        <v/>
      </c>
      <c r="Y84">
        <f>HYPERLINK("https://klasma.github.io/Logging_2281/tillsynsmail/A 47808-2019 tillsynsbegäran mail.docx", "A 47808-2019")</f>
        <v/>
      </c>
    </row>
    <row r="85" ht="15" customHeight="1">
      <c r="A85" t="inlineStr">
        <is>
          <t>A 50336-2020</t>
        </is>
      </c>
      <c r="B85" s="1" t="n">
        <v>44110</v>
      </c>
      <c r="C85" s="1" t="n">
        <v>45697</v>
      </c>
      <c r="D85" t="inlineStr">
        <is>
          <t>VÄSTERNORRLANDS LÄN</t>
        </is>
      </c>
      <c r="E85" t="inlineStr">
        <is>
          <t>SUNDSVALL</t>
        </is>
      </c>
      <c r="F85" t="inlineStr">
        <is>
          <t>Kommuner</t>
        </is>
      </c>
      <c r="G85" t="n">
        <v>6.9</v>
      </c>
      <c r="H85" t="n">
        <v>2</v>
      </c>
      <c r="I85" t="n">
        <v>0</v>
      </c>
      <c r="J85" t="n">
        <v>1</v>
      </c>
      <c r="K85" t="n">
        <v>0</v>
      </c>
      <c r="L85" t="n">
        <v>0</v>
      </c>
      <c r="M85" t="n">
        <v>0</v>
      </c>
      <c r="N85" t="n">
        <v>0</v>
      </c>
      <c r="O85" t="n">
        <v>1</v>
      </c>
      <c r="P85" t="n">
        <v>0</v>
      </c>
      <c r="Q85" t="n">
        <v>2</v>
      </c>
      <c r="R85" s="2" t="inlineStr">
        <is>
          <t>Rödvingetrast
Gråkråka</t>
        </is>
      </c>
      <c r="S85">
        <f>HYPERLINK("https://klasma.github.io/Logging_2281/artfynd/A 50336-2020 artfynd.xlsx", "A 50336-2020")</f>
        <v/>
      </c>
      <c r="T85">
        <f>HYPERLINK("https://klasma.github.io/Logging_2281/kartor/A 50336-2020 karta.png", "A 50336-2020")</f>
        <v/>
      </c>
      <c r="V85">
        <f>HYPERLINK("https://klasma.github.io/Logging_2281/klagomål/A 50336-2020 FSC-klagomål.docx", "A 50336-2020")</f>
        <v/>
      </c>
      <c r="W85">
        <f>HYPERLINK("https://klasma.github.io/Logging_2281/klagomålsmail/A 50336-2020 FSC-klagomål mail.docx", "A 50336-2020")</f>
        <v/>
      </c>
      <c r="X85">
        <f>HYPERLINK("https://klasma.github.io/Logging_2281/tillsyn/A 50336-2020 tillsynsbegäran.docx", "A 50336-2020")</f>
        <v/>
      </c>
      <c r="Y85">
        <f>HYPERLINK("https://klasma.github.io/Logging_2281/tillsynsmail/A 50336-2020 tillsynsbegäran mail.docx", "A 50336-2020")</f>
        <v/>
      </c>
      <c r="Z85">
        <f>HYPERLINK("https://klasma.github.io/Logging_2281/fåglar/A 50336-2020 prioriterade fågelarter.docx", "A 50336-2020")</f>
        <v/>
      </c>
    </row>
    <row r="86" ht="15" customHeight="1">
      <c r="A86" t="inlineStr">
        <is>
          <t>A 7637-2021</t>
        </is>
      </c>
      <c r="B86" s="1" t="n">
        <v>44242</v>
      </c>
      <c r="C86" s="1" t="n">
        <v>45697</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45697</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45697</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45697</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45697</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45697</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45697</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45697</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45697</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45697</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45697</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45697</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45697</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45697</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45697</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45697</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45697</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45697</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45697</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45697</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45697</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45697</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45697</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45697</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45697</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45697</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26178-2024</t>
        </is>
      </c>
      <c r="B112" s="1" t="n">
        <v>45468</v>
      </c>
      <c r="C112" s="1" t="n">
        <v>45697</v>
      </c>
      <c r="D112" t="inlineStr">
        <is>
          <t>VÄSTERNORRLANDS LÄN</t>
        </is>
      </c>
      <c r="E112" t="inlineStr">
        <is>
          <t>SUNDSVALL</t>
        </is>
      </c>
      <c r="G112" t="n">
        <v>11.7</v>
      </c>
      <c r="H112" t="n">
        <v>2</v>
      </c>
      <c r="I112" t="n">
        <v>0</v>
      </c>
      <c r="J112" t="n">
        <v>1</v>
      </c>
      <c r="K112" t="n">
        <v>0</v>
      </c>
      <c r="L112" t="n">
        <v>0</v>
      </c>
      <c r="M112" t="n">
        <v>0</v>
      </c>
      <c r="N112" t="n">
        <v>0</v>
      </c>
      <c r="O112" t="n">
        <v>1</v>
      </c>
      <c r="P112" t="n">
        <v>0</v>
      </c>
      <c r="Q112" t="n">
        <v>2</v>
      </c>
      <c r="R112" s="2" t="inlineStr">
        <is>
          <t>Pilgrimsfalk
Sparvuggla</t>
        </is>
      </c>
      <c r="S112">
        <f>HYPERLINK("https://klasma.github.io/Logging_2281/artfynd/A 26178-2024 artfynd.xlsx", "A 26178-2024")</f>
        <v/>
      </c>
      <c r="T112">
        <f>HYPERLINK("https://klasma.github.io/Logging_2281/kartor/A 26178-2024 karta.png", "A 26178-2024")</f>
        <v/>
      </c>
      <c r="V112">
        <f>HYPERLINK("https://klasma.github.io/Logging_2281/klagomål/A 26178-2024 FSC-klagomål.docx", "A 26178-2024")</f>
        <v/>
      </c>
      <c r="W112">
        <f>HYPERLINK("https://klasma.github.io/Logging_2281/klagomålsmail/A 26178-2024 FSC-klagomål mail.docx", "A 26178-2024")</f>
        <v/>
      </c>
      <c r="X112">
        <f>HYPERLINK("https://klasma.github.io/Logging_2281/tillsyn/A 26178-2024 tillsynsbegäran.docx", "A 26178-2024")</f>
        <v/>
      </c>
      <c r="Y112">
        <f>HYPERLINK("https://klasma.github.io/Logging_2281/tillsynsmail/A 26178-2024 tillsynsbegäran mail.docx", "A 26178-2024")</f>
        <v/>
      </c>
      <c r="Z112">
        <f>HYPERLINK("https://klasma.github.io/Logging_2281/fåglar/A 26178-2024 prioriterade fågelarter.docx", "A 26178-2024")</f>
        <v/>
      </c>
    </row>
    <row r="113" ht="15" customHeight="1">
      <c r="A113" t="inlineStr">
        <is>
          <t>A 34766-2024</t>
        </is>
      </c>
      <c r="B113" s="1" t="n">
        <v>45526</v>
      </c>
      <c r="C113" s="1" t="n">
        <v>45697</v>
      </c>
      <c r="D113" t="inlineStr">
        <is>
          <t>VÄSTERNORRLANDS LÄN</t>
        </is>
      </c>
      <c r="E113" t="inlineStr">
        <is>
          <t>SUNDSVALL</t>
        </is>
      </c>
      <c r="F113" t="inlineStr">
        <is>
          <t>SCA</t>
        </is>
      </c>
      <c r="G113" t="n">
        <v>10</v>
      </c>
      <c r="H113" t="n">
        <v>1</v>
      </c>
      <c r="I113" t="n">
        <v>1</v>
      </c>
      <c r="J113" t="n">
        <v>0</v>
      </c>
      <c r="K113" t="n">
        <v>0</v>
      </c>
      <c r="L113" t="n">
        <v>0</v>
      </c>
      <c r="M113" t="n">
        <v>0</v>
      </c>
      <c r="N113" t="n">
        <v>0</v>
      </c>
      <c r="O113" t="n">
        <v>0</v>
      </c>
      <c r="P113" t="n">
        <v>0</v>
      </c>
      <c r="Q113" t="n">
        <v>2</v>
      </c>
      <c r="R113" s="2" t="inlineStr">
        <is>
          <t>Vårärt
Revlummer</t>
        </is>
      </c>
      <c r="S113">
        <f>HYPERLINK("https://klasma.github.io/Logging_2281/artfynd/A 34766-2024 artfynd.xlsx", "A 34766-2024")</f>
        <v/>
      </c>
      <c r="T113">
        <f>HYPERLINK("https://klasma.github.io/Logging_2281/kartor/A 34766-2024 karta.png", "A 34766-2024")</f>
        <v/>
      </c>
      <c r="V113">
        <f>HYPERLINK("https://klasma.github.io/Logging_2281/klagomål/A 34766-2024 FSC-klagomål.docx", "A 34766-2024")</f>
        <v/>
      </c>
      <c r="W113">
        <f>HYPERLINK("https://klasma.github.io/Logging_2281/klagomålsmail/A 34766-2024 FSC-klagomål mail.docx", "A 34766-2024")</f>
        <v/>
      </c>
      <c r="X113">
        <f>HYPERLINK("https://klasma.github.io/Logging_2281/tillsyn/A 34766-2024 tillsynsbegäran.docx", "A 34766-2024")</f>
        <v/>
      </c>
      <c r="Y113">
        <f>HYPERLINK("https://klasma.github.io/Logging_2281/tillsynsmail/A 34766-2024 tillsynsbegäran mail.docx", "A 34766-2024")</f>
        <v/>
      </c>
    </row>
    <row r="114" ht="15" customHeight="1">
      <c r="A114" t="inlineStr">
        <is>
          <t>A 41090-2024</t>
        </is>
      </c>
      <c r="B114" s="1" t="n">
        <v>45559</v>
      </c>
      <c r="C114" s="1" t="n">
        <v>45697</v>
      </c>
      <c r="D114" t="inlineStr">
        <is>
          <t>VÄSTERNORRLANDS LÄN</t>
        </is>
      </c>
      <c r="E114" t="inlineStr">
        <is>
          <t>SUNDSVALL</t>
        </is>
      </c>
      <c r="F114" t="inlineStr">
        <is>
          <t>SCA</t>
        </is>
      </c>
      <c r="G114" t="n">
        <v>1.7</v>
      </c>
      <c r="H114" t="n">
        <v>0</v>
      </c>
      <c r="I114" t="n">
        <v>1</v>
      </c>
      <c r="J114" t="n">
        <v>1</v>
      </c>
      <c r="K114" t="n">
        <v>0</v>
      </c>
      <c r="L114" t="n">
        <v>0</v>
      </c>
      <c r="M114" t="n">
        <v>0</v>
      </c>
      <c r="N114" t="n">
        <v>0</v>
      </c>
      <c r="O114" t="n">
        <v>1</v>
      </c>
      <c r="P114" t="n">
        <v>0</v>
      </c>
      <c r="Q114" t="n">
        <v>2</v>
      </c>
      <c r="R114" s="2" t="inlineStr">
        <is>
          <t>Lunglav
Stuplav</t>
        </is>
      </c>
      <c r="S114">
        <f>HYPERLINK("https://klasma.github.io/Logging_2281/artfynd/A 41090-2024 artfynd.xlsx", "A 41090-2024")</f>
        <v/>
      </c>
      <c r="T114">
        <f>HYPERLINK("https://klasma.github.io/Logging_2281/kartor/A 41090-2024 karta.png", "A 41090-2024")</f>
        <v/>
      </c>
      <c r="V114">
        <f>HYPERLINK("https://klasma.github.io/Logging_2281/klagomål/A 41090-2024 FSC-klagomål.docx", "A 41090-2024")</f>
        <v/>
      </c>
      <c r="W114">
        <f>HYPERLINK("https://klasma.github.io/Logging_2281/klagomålsmail/A 41090-2024 FSC-klagomål mail.docx", "A 41090-2024")</f>
        <v/>
      </c>
      <c r="X114">
        <f>HYPERLINK("https://klasma.github.io/Logging_2281/tillsyn/A 41090-2024 tillsynsbegäran.docx", "A 41090-2024")</f>
        <v/>
      </c>
      <c r="Y114">
        <f>HYPERLINK("https://klasma.github.io/Logging_2281/tillsynsmail/A 41090-2024 tillsynsbegäran mail.docx", "A 41090-2024")</f>
        <v/>
      </c>
    </row>
    <row r="115" ht="15" customHeight="1">
      <c r="A115" t="inlineStr">
        <is>
          <t>A 46087-2024</t>
        </is>
      </c>
      <c r="B115" s="1" t="n">
        <v>45581</v>
      </c>
      <c r="C115" s="1" t="n">
        <v>45697</v>
      </c>
      <c r="D115" t="inlineStr">
        <is>
          <t>VÄSTERNORRLANDS LÄN</t>
        </is>
      </c>
      <c r="E115" t="inlineStr">
        <is>
          <t>SUNDSVALL</t>
        </is>
      </c>
      <c r="F115" t="inlineStr">
        <is>
          <t>SCA</t>
        </is>
      </c>
      <c r="G115" t="n">
        <v>2.6</v>
      </c>
      <c r="H115" t="n">
        <v>1</v>
      </c>
      <c r="I115" t="n">
        <v>0</v>
      </c>
      <c r="J115" t="n">
        <v>2</v>
      </c>
      <c r="K115" t="n">
        <v>0</v>
      </c>
      <c r="L115" t="n">
        <v>0</v>
      </c>
      <c r="M115" t="n">
        <v>0</v>
      </c>
      <c r="N115" t="n">
        <v>0</v>
      </c>
      <c r="O115" t="n">
        <v>2</v>
      </c>
      <c r="P115" t="n">
        <v>0</v>
      </c>
      <c r="Q115" t="n">
        <v>2</v>
      </c>
      <c r="R115" s="2" t="inlineStr">
        <is>
          <t>Talltita
Violettgrå tagellav</t>
        </is>
      </c>
      <c r="S115">
        <f>HYPERLINK("https://klasma.github.io/Logging_2281/artfynd/A 46087-2024 artfynd.xlsx", "A 46087-2024")</f>
        <v/>
      </c>
      <c r="T115">
        <f>HYPERLINK("https://klasma.github.io/Logging_2281/kartor/A 46087-2024 karta.png", "A 46087-2024")</f>
        <v/>
      </c>
      <c r="V115">
        <f>HYPERLINK("https://klasma.github.io/Logging_2281/klagomål/A 46087-2024 FSC-klagomål.docx", "A 46087-2024")</f>
        <v/>
      </c>
      <c r="W115">
        <f>HYPERLINK("https://klasma.github.io/Logging_2281/klagomålsmail/A 46087-2024 FSC-klagomål mail.docx", "A 46087-2024")</f>
        <v/>
      </c>
      <c r="X115">
        <f>HYPERLINK("https://klasma.github.io/Logging_2281/tillsyn/A 46087-2024 tillsynsbegäran.docx", "A 46087-2024")</f>
        <v/>
      </c>
      <c r="Y115">
        <f>HYPERLINK("https://klasma.github.io/Logging_2281/tillsynsmail/A 46087-2024 tillsynsbegäran mail.docx", "A 46087-2024")</f>
        <v/>
      </c>
      <c r="Z115">
        <f>HYPERLINK("https://klasma.github.io/Logging_2281/fåglar/A 46087-2024 prioriterade fågelarter.docx", "A 46087-2024")</f>
        <v/>
      </c>
    </row>
    <row r="116" ht="15" customHeight="1">
      <c r="A116" t="inlineStr">
        <is>
          <t>A 59994-2024</t>
        </is>
      </c>
      <c r="B116" s="1" t="n">
        <v>45642</v>
      </c>
      <c r="C116" s="1" t="n">
        <v>45697</v>
      </c>
      <c r="D116" t="inlineStr">
        <is>
          <t>VÄSTERNORRLANDS LÄN</t>
        </is>
      </c>
      <c r="E116" t="inlineStr">
        <is>
          <t>SUNDSVALL</t>
        </is>
      </c>
      <c r="G116" t="n">
        <v>2.1</v>
      </c>
      <c r="H116" t="n">
        <v>0</v>
      </c>
      <c r="I116" t="n">
        <v>0</v>
      </c>
      <c r="J116" t="n">
        <v>2</v>
      </c>
      <c r="K116" t="n">
        <v>0</v>
      </c>
      <c r="L116" t="n">
        <v>0</v>
      </c>
      <c r="M116" t="n">
        <v>0</v>
      </c>
      <c r="N116" t="n">
        <v>0</v>
      </c>
      <c r="O116" t="n">
        <v>2</v>
      </c>
      <c r="P116" t="n">
        <v>0</v>
      </c>
      <c r="Q116" t="n">
        <v>2</v>
      </c>
      <c r="R116" s="2" t="inlineStr">
        <is>
          <t>Rosenticka
Ullticka</t>
        </is>
      </c>
      <c r="S116">
        <f>HYPERLINK("https://klasma.github.io/Logging_2281/artfynd/A 59994-2024 artfynd.xlsx", "A 59994-2024")</f>
        <v/>
      </c>
      <c r="T116">
        <f>HYPERLINK("https://klasma.github.io/Logging_2281/kartor/A 59994-2024 karta.png", "A 59994-2024")</f>
        <v/>
      </c>
      <c r="U116">
        <f>HYPERLINK("https://klasma.github.io/Logging_2281/knärot/A 59994-2024 karta knärot.png", "A 59994-2024")</f>
        <v/>
      </c>
      <c r="V116">
        <f>HYPERLINK("https://klasma.github.io/Logging_2281/klagomål/A 59994-2024 FSC-klagomål.docx", "A 59994-2024")</f>
        <v/>
      </c>
      <c r="W116">
        <f>HYPERLINK("https://klasma.github.io/Logging_2281/klagomålsmail/A 59994-2024 FSC-klagomål mail.docx", "A 59994-2024")</f>
        <v/>
      </c>
      <c r="X116">
        <f>HYPERLINK("https://klasma.github.io/Logging_2281/tillsyn/A 59994-2024 tillsynsbegäran.docx", "A 59994-2024")</f>
        <v/>
      </c>
      <c r="Y116">
        <f>HYPERLINK("https://klasma.github.io/Logging_2281/tillsynsmail/A 59994-2024 tillsynsbegäran mail.docx", "A 59994-2024")</f>
        <v/>
      </c>
    </row>
    <row r="117" ht="15" customHeight="1">
      <c r="A117" t="inlineStr">
        <is>
          <t>A 166-2025</t>
        </is>
      </c>
      <c r="B117" s="1" t="n">
        <v>45649</v>
      </c>
      <c r="C117" s="1" t="n">
        <v>45697</v>
      </c>
      <c r="D117" t="inlineStr">
        <is>
          <t>VÄSTERNORRLANDS LÄN</t>
        </is>
      </c>
      <c r="E117" t="inlineStr">
        <is>
          <t>SUNDSVALL</t>
        </is>
      </c>
      <c r="G117" t="n">
        <v>17.1</v>
      </c>
      <c r="H117" t="n">
        <v>1</v>
      </c>
      <c r="I117" t="n">
        <v>1</v>
      </c>
      <c r="J117" t="n">
        <v>0</v>
      </c>
      <c r="K117" t="n">
        <v>0</v>
      </c>
      <c r="L117" t="n">
        <v>0</v>
      </c>
      <c r="M117" t="n">
        <v>0</v>
      </c>
      <c r="N117" t="n">
        <v>0</v>
      </c>
      <c r="O117" t="n">
        <v>0</v>
      </c>
      <c r="P117" t="n">
        <v>0</v>
      </c>
      <c r="Q117" t="n">
        <v>2</v>
      </c>
      <c r="R117" s="2" t="inlineStr">
        <is>
          <t>Bårdlav
Revlummer</t>
        </is>
      </c>
      <c r="S117">
        <f>HYPERLINK("https://klasma.github.io/Logging_2281/artfynd/A 166-2025 artfynd.xlsx", "A 166-2025")</f>
        <v/>
      </c>
      <c r="T117">
        <f>HYPERLINK("https://klasma.github.io/Logging_2281/kartor/A 166-2025 karta.png", "A 166-2025")</f>
        <v/>
      </c>
      <c r="V117">
        <f>HYPERLINK("https://klasma.github.io/Logging_2281/klagomål/A 166-2025 FSC-klagomål.docx", "A 166-2025")</f>
        <v/>
      </c>
      <c r="W117">
        <f>HYPERLINK("https://klasma.github.io/Logging_2281/klagomålsmail/A 166-2025 FSC-klagomål mail.docx", "A 166-2025")</f>
        <v/>
      </c>
      <c r="X117">
        <f>HYPERLINK("https://klasma.github.io/Logging_2281/tillsyn/A 166-2025 tillsynsbegäran.docx", "A 166-2025")</f>
        <v/>
      </c>
      <c r="Y117">
        <f>HYPERLINK("https://klasma.github.io/Logging_2281/tillsynsmail/A 166-2025 tillsynsbegäran mail.docx", "A 166-2025")</f>
        <v/>
      </c>
    </row>
    <row r="118" ht="15" customHeight="1">
      <c r="A118" t="inlineStr">
        <is>
          <t>A 27216-2019</t>
        </is>
      </c>
      <c r="B118" s="1" t="n">
        <v>43614</v>
      </c>
      <c r="C118" s="1" t="n">
        <v>45697</v>
      </c>
      <c r="D118" t="inlineStr">
        <is>
          <t>VÄSTERNORRLANDS LÄN</t>
        </is>
      </c>
      <c r="E118" t="inlineStr">
        <is>
          <t>SUNDSVALL</t>
        </is>
      </c>
      <c r="G118" t="n">
        <v>3.7</v>
      </c>
      <c r="H118" t="n">
        <v>1</v>
      </c>
      <c r="I118" t="n">
        <v>0</v>
      </c>
      <c r="J118" t="n">
        <v>0</v>
      </c>
      <c r="K118" t="n">
        <v>0</v>
      </c>
      <c r="L118" t="n">
        <v>0</v>
      </c>
      <c r="M118" t="n">
        <v>0</v>
      </c>
      <c r="N118" t="n">
        <v>0</v>
      </c>
      <c r="O118" t="n">
        <v>0</v>
      </c>
      <c r="P118" t="n">
        <v>0</v>
      </c>
      <c r="Q118" t="n">
        <v>1</v>
      </c>
      <c r="R118" s="2" t="inlineStr">
        <is>
          <t>Blåsippa</t>
        </is>
      </c>
      <c r="S118">
        <f>HYPERLINK("https://klasma.github.io/Logging_2281/artfynd/A 27216-2019 artfynd.xlsx", "A 27216-2019")</f>
        <v/>
      </c>
      <c r="T118">
        <f>HYPERLINK("https://klasma.github.io/Logging_2281/kartor/A 27216-2019 karta.png", "A 27216-2019")</f>
        <v/>
      </c>
      <c r="V118">
        <f>HYPERLINK("https://klasma.github.io/Logging_2281/klagomål/A 27216-2019 FSC-klagomål.docx", "A 27216-2019")</f>
        <v/>
      </c>
      <c r="W118">
        <f>HYPERLINK("https://klasma.github.io/Logging_2281/klagomålsmail/A 27216-2019 FSC-klagomål mail.docx", "A 27216-2019")</f>
        <v/>
      </c>
      <c r="X118">
        <f>HYPERLINK("https://klasma.github.io/Logging_2281/tillsyn/A 27216-2019 tillsynsbegäran.docx", "A 27216-2019")</f>
        <v/>
      </c>
      <c r="Y118">
        <f>HYPERLINK("https://klasma.github.io/Logging_2281/tillsynsmail/A 27216-2019 tillsynsbegäran mail.docx", "A 27216-2019")</f>
        <v/>
      </c>
    </row>
    <row r="119" ht="15" customHeight="1">
      <c r="A119" t="inlineStr">
        <is>
          <t>A 44607-2019</t>
        </is>
      </c>
      <c r="B119" s="1" t="n">
        <v>43711</v>
      </c>
      <c r="C119" s="1" t="n">
        <v>45697</v>
      </c>
      <c r="D119" t="inlineStr">
        <is>
          <t>VÄSTERNORRLANDS LÄN</t>
        </is>
      </c>
      <c r="E119" t="inlineStr">
        <is>
          <t>SUNDSVALL</t>
        </is>
      </c>
      <c r="G119" t="n">
        <v>1.6</v>
      </c>
      <c r="H119" t="n">
        <v>1</v>
      </c>
      <c r="I119" t="n">
        <v>0</v>
      </c>
      <c r="J119" t="n">
        <v>1</v>
      </c>
      <c r="K119" t="n">
        <v>0</v>
      </c>
      <c r="L119" t="n">
        <v>0</v>
      </c>
      <c r="M119" t="n">
        <v>0</v>
      </c>
      <c r="N119" t="n">
        <v>0</v>
      </c>
      <c r="O119" t="n">
        <v>1</v>
      </c>
      <c r="P119" t="n">
        <v>0</v>
      </c>
      <c r="Q119" t="n">
        <v>1</v>
      </c>
      <c r="R119" s="2" t="inlineStr">
        <is>
          <t>Järpe</t>
        </is>
      </c>
      <c r="S119">
        <f>HYPERLINK("https://klasma.github.io/Logging_2281/artfynd/A 44607-2019 artfynd.xlsx", "A 44607-2019")</f>
        <v/>
      </c>
      <c r="T119">
        <f>HYPERLINK("https://klasma.github.io/Logging_2281/kartor/A 44607-2019 karta.png", "A 44607-2019")</f>
        <v/>
      </c>
      <c r="V119">
        <f>HYPERLINK("https://klasma.github.io/Logging_2281/klagomål/A 44607-2019 FSC-klagomål.docx", "A 44607-2019")</f>
        <v/>
      </c>
      <c r="W119">
        <f>HYPERLINK("https://klasma.github.io/Logging_2281/klagomålsmail/A 44607-2019 FSC-klagomål mail.docx", "A 44607-2019")</f>
        <v/>
      </c>
      <c r="X119">
        <f>HYPERLINK("https://klasma.github.io/Logging_2281/tillsyn/A 44607-2019 tillsynsbegäran.docx", "A 44607-2019")</f>
        <v/>
      </c>
      <c r="Y119">
        <f>HYPERLINK("https://klasma.github.io/Logging_2281/tillsynsmail/A 44607-2019 tillsynsbegäran mail.docx", "A 44607-2019")</f>
        <v/>
      </c>
      <c r="Z119">
        <f>HYPERLINK("https://klasma.github.io/Logging_2281/fåglar/A 44607-2019 prioriterade fågelarter.docx", "A 44607-2019")</f>
        <v/>
      </c>
    </row>
    <row r="120" ht="15" customHeight="1">
      <c r="A120" t="inlineStr">
        <is>
          <t>A 44609-2019</t>
        </is>
      </c>
      <c r="B120" s="1" t="n">
        <v>43711</v>
      </c>
      <c r="C120" s="1" t="n">
        <v>45697</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45697</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45697</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45697</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45697</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45697</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45697</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45697</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45697</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45697</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45697</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45697</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45697</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45697</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45697</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45697</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45697</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45697</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45697</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45697</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45697</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45697</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45697</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45697</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45697</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45697</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45697</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45697</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45697</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45697</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45697</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45697</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45697</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45697</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45697</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45697</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45697</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45697</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45697</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45697</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45697</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45697</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45697</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45697</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45697</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45697</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45697</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45697</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45697</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45697</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45697</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45697</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45697</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45697</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59870-2023</t>
        </is>
      </c>
      <c r="B174" s="1" t="n">
        <v>45254</v>
      </c>
      <c r="C174" s="1" t="n">
        <v>45697</v>
      </c>
      <c r="D174" t="inlineStr">
        <is>
          <t>VÄSTERNORRLANDS LÄN</t>
        </is>
      </c>
      <c r="E174" t="inlineStr">
        <is>
          <t>SUNDSVALL</t>
        </is>
      </c>
      <c r="G174" t="n">
        <v>3.2</v>
      </c>
      <c r="H174" t="n">
        <v>0</v>
      </c>
      <c r="I174" t="n">
        <v>0</v>
      </c>
      <c r="J174" t="n">
        <v>1</v>
      </c>
      <c r="K174" t="n">
        <v>0</v>
      </c>
      <c r="L174" t="n">
        <v>0</v>
      </c>
      <c r="M174" t="n">
        <v>0</v>
      </c>
      <c r="N174" t="n">
        <v>0</v>
      </c>
      <c r="O174" t="n">
        <v>1</v>
      </c>
      <c r="P174" t="n">
        <v>0</v>
      </c>
      <c r="Q174" t="n">
        <v>1</v>
      </c>
      <c r="R174" s="2" t="inlineStr">
        <is>
          <t>Lunglav</t>
        </is>
      </c>
      <c r="S174">
        <f>HYPERLINK("https://klasma.github.io/Logging_2281/artfynd/A 59870-2023 artfynd.xlsx", "A 59870-2023")</f>
        <v/>
      </c>
      <c r="T174">
        <f>HYPERLINK("https://klasma.github.io/Logging_2281/kartor/A 59870-2023 karta.png", "A 59870-2023")</f>
        <v/>
      </c>
      <c r="V174">
        <f>HYPERLINK("https://klasma.github.io/Logging_2281/klagomål/A 59870-2023 FSC-klagomål.docx", "A 59870-2023")</f>
        <v/>
      </c>
      <c r="W174">
        <f>HYPERLINK("https://klasma.github.io/Logging_2281/klagomålsmail/A 59870-2023 FSC-klagomål mail.docx", "A 59870-2023")</f>
        <v/>
      </c>
      <c r="X174">
        <f>HYPERLINK("https://klasma.github.io/Logging_2281/tillsyn/A 59870-2023 tillsynsbegäran.docx", "A 59870-2023")</f>
        <v/>
      </c>
      <c r="Y174">
        <f>HYPERLINK("https://klasma.github.io/Logging_2281/tillsynsmail/A 59870-2023 tillsynsbegäran mail.docx", "A 59870-2023")</f>
        <v/>
      </c>
    </row>
    <row r="175" ht="15" customHeight="1">
      <c r="A175" t="inlineStr">
        <is>
          <t>A 233-2024</t>
        </is>
      </c>
      <c r="B175" s="1" t="n">
        <v>45294</v>
      </c>
      <c r="C175" s="1" t="n">
        <v>45697</v>
      </c>
      <c r="D175" t="inlineStr">
        <is>
          <t>VÄSTERNORRLANDS LÄN</t>
        </is>
      </c>
      <c r="E175" t="inlineStr">
        <is>
          <t>SUNDSVALL</t>
        </is>
      </c>
      <c r="G175" t="n">
        <v>2.4</v>
      </c>
      <c r="H175" t="n">
        <v>1</v>
      </c>
      <c r="I175" t="n">
        <v>0</v>
      </c>
      <c r="J175" t="n">
        <v>1</v>
      </c>
      <c r="K175" t="n">
        <v>0</v>
      </c>
      <c r="L175" t="n">
        <v>0</v>
      </c>
      <c r="M175" t="n">
        <v>0</v>
      </c>
      <c r="N175" t="n">
        <v>0</v>
      </c>
      <c r="O175" t="n">
        <v>1</v>
      </c>
      <c r="P175" t="n">
        <v>0</v>
      </c>
      <c r="Q175" t="n">
        <v>1</v>
      </c>
      <c r="R175" s="2" t="inlineStr">
        <is>
          <t>Duvhök</t>
        </is>
      </c>
      <c r="S175">
        <f>HYPERLINK("https://klasma.github.io/Logging_2281/artfynd/A 233-2024 artfynd.xlsx", "A 233-2024")</f>
        <v/>
      </c>
      <c r="T175">
        <f>HYPERLINK("https://klasma.github.io/Logging_2281/kartor/A 233-2024 karta.png", "A 233-2024")</f>
        <v/>
      </c>
      <c r="V175">
        <f>HYPERLINK("https://klasma.github.io/Logging_2281/klagomål/A 233-2024 FSC-klagomål.docx", "A 233-2024")</f>
        <v/>
      </c>
      <c r="W175">
        <f>HYPERLINK("https://klasma.github.io/Logging_2281/klagomålsmail/A 233-2024 FSC-klagomål mail.docx", "A 233-2024")</f>
        <v/>
      </c>
      <c r="X175">
        <f>HYPERLINK("https://klasma.github.io/Logging_2281/tillsyn/A 233-2024 tillsynsbegäran.docx", "A 233-2024")</f>
        <v/>
      </c>
      <c r="Y175">
        <f>HYPERLINK("https://klasma.github.io/Logging_2281/tillsynsmail/A 233-2024 tillsynsbegäran mail.docx", "A 233-2024")</f>
        <v/>
      </c>
      <c r="Z175">
        <f>HYPERLINK("https://klasma.github.io/Logging_2281/fåglar/A 233-2024 prioriterade fågelarter.docx", "A 233-2024")</f>
        <v/>
      </c>
    </row>
    <row r="176" ht="15" customHeight="1">
      <c r="A176" t="inlineStr">
        <is>
          <t>A 1058-2024</t>
        </is>
      </c>
      <c r="B176" s="1" t="n">
        <v>45301</v>
      </c>
      <c r="C176" s="1" t="n">
        <v>45697</v>
      </c>
      <c r="D176" t="inlineStr">
        <is>
          <t>VÄSTERNORRLANDS LÄN</t>
        </is>
      </c>
      <c r="E176" t="inlineStr">
        <is>
          <t>SUNDSVALL</t>
        </is>
      </c>
      <c r="F176" t="inlineStr">
        <is>
          <t>SCA</t>
        </is>
      </c>
      <c r="G176" t="n">
        <v>8</v>
      </c>
      <c r="H176" t="n">
        <v>0</v>
      </c>
      <c r="I176" t="n">
        <v>0</v>
      </c>
      <c r="J176" t="n">
        <v>1</v>
      </c>
      <c r="K176" t="n">
        <v>0</v>
      </c>
      <c r="L176" t="n">
        <v>0</v>
      </c>
      <c r="M176" t="n">
        <v>0</v>
      </c>
      <c r="N176" t="n">
        <v>0</v>
      </c>
      <c r="O176" t="n">
        <v>1</v>
      </c>
      <c r="P176" t="n">
        <v>0</v>
      </c>
      <c r="Q176" t="n">
        <v>1</v>
      </c>
      <c r="R176" s="2" t="inlineStr">
        <is>
          <t>Garnlav</t>
        </is>
      </c>
      <c r="S176">
        <f>HYPERLINK("https://klasma.github.io/Logging_2281/artfynd/A 1058-2024 artfynd.xlsx", "A 1058-2024")</f>
        <v/>
      </c>
      <c r="T176">
        <f>HYPERLINK("https://klasma.github.io/Logging_2281/kartor/A 1058-2024 karta.png", "A 1058-2024")</f>
        <v/>
      </c>
      <c r="V176">
        <f>HYPERLINK("https://klasma.github.io/Logging_2281/klagomål/A 1058-2024 FSC-klagomål.docx", "A 1058-2024")</f>
        <v/>
      </c>
      <c r="W176">
        <f>HYPERLINK("https://klasma.github.io/Logging_2281/klagomålsmail/A 1058-2024 FSC-klagomål mail.docx", "A 1058-2024")</f>
        <v/>
      </c>
      <c r="X176">
        <f>HYPERLINK("https://klasma.github.io/Logging_2281/tillsyn/A 1058-2024 tillsynsbegäran.docx", "A 1058-2024")</f>
        <v/>
      </c>
      <c r="Y176">
        <f>HYPERLINK("https://klasma.github.io/Logging_2281/tillsynsmail/A 1058-2024 tillsynsbegäran mail.docx", "A 1058-2024")</f>
        <v/>
      </c>
    </row>
    <row r="177" ht="15" customHeight="1">
      <c r="A177" t="inlineStr">
        <is>
          <t>A 3819-2024</t>
        </is>
      </c>
      <c r="B177" s="1" t="n">
        <v>45321</v>
      </c>
      <c r="C177" s="1" t="n">
        <v>45697</v>
      </c>
      <c r="D177" t="inlineStr">
        <is>
          <t>VÄSTERNORRLANDS LÄN</t>
        </is>
      </c>
      <c r="E177" t="inlineStr">
        <is>
          <t>SUNDSVALL</t>
        </is>
      </c>
      <c r="G177" t="n">
        <v>13.5</v>
      </c>
      <c r="H177" t="n">
        <v>1</v>
      </c>
      <c r="I177" t="n">
        <v>0</v>
      </c>
      <c r="J177" t="n">
        <v>0</v>
      </c>
      <c r="K177" t="n">
        <v>1</v>
      </c>
      <c r="L177" t="n">
        <v>0</v>
      </c>
      <c r="M177" t="n">
        <v>0</v>
      </c>
      <c r="N177" t="n">
        <v>0</v>
      </c>
      <c r="O177" t="n">
        <v>1</v>
      </c>
      <c r="P177" t="n">
        <v>1</v>
      </c>
      <c r="Q177" t="n">
        <v>1</v>
      </c>
      <c r="R177" s="2" t="inlineStr">
        <is>
          <t>Bombmurkla</t>
        </is>
      </c>
      <c r="S177">
        <f>HYPERLINK("https://klasma.github.io/Logging_2281/artfynd/A 3819-2024 artfynd.xlsx", "A 3819-2024")</f>
        <v/>
      </c>
      <c r="T177">
        <f>HYPERLINK("https://klasma.github.io/Logging_2281/kartor/A 3819-2024 karta.png", "A 3819-2024")</f>
        <v/>
      </c>
      <c r="V177">
        <f>HYPERLINK("https://klasma.github.io/Logging_2281/klagomål/A 3819-2024 FSC-klagomål.docx", "A 3819-2024")</f>
        <v/>
      </c>
      <c r="W177">
        <f>HYPERLINK("https://klasma.github.io/Logging_2281/klagomålsmail/A 3819-2024 FSC-klagomål mail.docx", "A 3819-2024")</f>
        <v/>
      </c>
      <c r="X177">
        <f>HYPERLINK("https://klasma.github.io/Logging_2281/tillsyn/A 3819-2024 tillsynsbegäran.docx", "A 3819-2024")</f>
        <v/>
      </c>
      <c r="Y177">
        <f>HYPERLINK("https://klasma.github.io/Logging_2281/tillsynsmail/A 3819-2024 tillsynsbegäran mail.docx", "A 3819-2024")</f>
        <v/>
      </c>
    </row>
    <row r="178" ht="15" customHeight="1">
      <c r="A178" t="inlineStr">
        <is>
          <t>A 6629-2024</t>
        </is>
      </c>
      <c r="B178" s="1" t="n">
        <v>45341</v>
      </c>
      <c r="C178" s="1" t="n">
        <v>45697</v>
      </c>
      <c r="D178" t="inlineStr">
        <is>
          <t>VÄSTERNORRLANDS LÄN</t>
        </is>
      </c>
      <c r="E178" t="inlineStr">
        <is>
          <t>SUNDSVALL</t>
        </is>
      </c>
      <c r="G178" t="n">
        <v>0.7</v>
      </c>
      <c r="H178" t="n">
        <v>1</v>
      </c>
      <c r="I178" t="n">
        <v>0</v>
      </c>
      <c r="J178" t="n">
        <v>1</v>
      </c>
      <c r="K178" t="n">
        <v>0</v>
      </c>
      <c r="L178" t="n">
        <v>0</v>
      </c>
      <c r="M178" t="n">
        <v>0</v>
      </c>
      <c r="N178" t="n">
        <v>0</v>
      </c>
      <c r="O178" t="n">
        <v>1</v>
      </c>
      <c r="P178" t="n">
        <v>0</v>
      </c>
      <c r="Q178" t="n">
        <v>1</v>
      </c>
      <c r="R178" s="2" t="inlineStr">
        <is>
          <t>Tretåig hackspett</t>
        </is>
      </c>
      <c r="S178">
        <f>HYPERLINK("https://klasma.github.io/Logging_2281/artfynd/A 6629-2024 artfynd.xlsx", "A 6629-2024")</f>
        <v/>
      </c>
      <c r="T178">
        <f>HYPERLINK("https://klasma.github.io/Logging_2281/kartor/A 6629-2024 karta.png", "A 6629-2024")</f>
        <v/>
      </c>
      <c r="V178">
        <f>HYPERLINK("https://klasma.github.io/Logging_2281/klagomål/A 6629-2024 FSC-klagomål.docx", "A 6629-2024")</f>
        <v/>
      </c>
      <c r="W178">
        <f>HYPERLINK("https://klasma.github.io/Logging_2281/klagomålsmail/A 6629-2024 FSC-klagomål mail.docx", "A 6629-2024")</f>
        <v/>
      </c>
      <c r="X178">
        <f>HYPERLINK("https://klasma.github.io/Logging_2281/tillsyn/A 6629-2024 tillsynsbegäran.docx", "A 6629-2024")</f>
        <v/>
      </c>
      <c r="Y178">
        <f>HYPERLINK("https://klasma.github.io/Logging_2281/tillsynsmail/A 6629-2024 tillsynsbegäran mail.docx", "A 6629-2024")</f>
        <v/>
      </c>
      <c r="Z178">
        <f>HYPERLINK("https://klasma.github.io/Logging_2281/fåglar/A 6629-2024 prioriterade fågelarter.docx", "A 6629-2024")</f>
        <v/>
      </c>
    </row>
    <row r="179" ht="15" customHeight="1">
      <c r="A179" t="inlineStr">
        <is>
          <t>A 6897-2024</t>
        </is>
      </c>
      <c r="B179" s="1" t="n">
        <v>45342</v>
      </c>
      <c r="C179" s="1" t="n">
        <v>45697</v>
      </c>
      <c r="D179" t="inlineStr">
        <is>
          <t>VÄSTERNORRLANDS LÄN</t>
        </is>
      </c>
      <c r="E179" t="inlineStr">
        <is>
          <t>SUNDSVALL</t>
        </is>
      </c>
      <c r="G179" t="n">
        <v>22.7</v>
      </c>
      <c r="H179" t="n">
        <v>1</v>
      </c>
      <c r="I179" t="n">
        <v>0</v>
      </c>
      <c r="J179" t="n">
        <v>1</v>
      </c>
      <c r="K179" t="n">
        <v>0</v>
      </c>
      <c r="L179" t="n">
        <v>0</v>
      </c>
      <c r="M179" t="n">
        <v>0</v>
      </c>
      <c r="N179" t="n">
        <v>0</v>
      </c>
      <c r="O179" t="n">
        <v>1</v>
      </c>
      <c r="P179" t="n">
        <v>0</v>
      </c>
      <c r="Q179" t="n">
        <v>1</v>
      </c>
      <c r="R179" s="2" t="inlineStr">
        <is>
          <t>Utter</t>
        </is>
      </c>
      <c r="S179">
        <f>HYPERLINK("https://klasma.github.io/Logging_2281/artfynd/A 6897-2024 artfynd.xlsx", "A 6897-2024")</f>
        <v/>
      </c>
      <c r="T179">
        <f>HYPERLINK("https://klasma.github.io/Logging_2281/kartor/A 6897-2024 karta.png", "A 6897-2024")</f>
        <v/>
      </c>
      <c r="V179">
        <f>HYPERLINK("https://klasma.github.io/Logging_2281/klagomål/A 6897-2024 FSC-klagomål.docx", "A 6897-2024")</f>
        <v/>
      </c>
      <c r="W179">
        <f>HYPERLINK("https://klasma.github.io/Logging_2281/klagomålsmail/A 6897-2024 FSC-klagomål mail.docx", "A 6897-2024")</f>
        <v/>
      </c>
      <c r="X179">
        <f>HYPERLINK("https://klasma.github.io/Logging_2281/tillsyn/A 6897-2024 tillsynsbegäran.docx", "A 6897-2024")</f>
        <v/>
      </c>
      <c r="Y179">
        <f>HYPERLINK("https://klasma.github.io/Logging_2281/tillsynsmail/A 6897-2024 tillsynsbegäran mail.docx", "A 6897-2024")</f>
        <v/>
      </c>
    </row>
    <row r="180" ht="15" customHeight="1">
      <c r="A180" t="inlineStr">
        <is>
          <t>A 11681-2024</t>
        </is>
      </c>
      <c r="B180" s="1" t="n">
        <v>45373</v>
      </c>
      <c r="C180" s="1" t="n">
        <v>45697</v>
      </c>
      <c r="D180" t="inlineStr">
        <is>
          <t>VÄSTERNORRLANDS LÄN</t>
        </is>
      </c>
      <c r="E180" t="inlineStr">
        <is>
          <t>SUNDSVALL</t>
        </is>
      </c>
      <c r="F180" t="inlineStr">
        <is>
          <t>Holmen skog AB</t>
        </is>
      </c>
      <c r="G180" t="n">
        <v>9</v>
      </c>
      <c r="H180" t="n">
        <v>1</v>
      </c>
      <c r="I180" t="n">
        <v>0</v>
      </c>
      <c r="J180" t="n">
        <v>0</v>
      </c>
      <c r="K180" t="n">
        <v>0</v>
      </c>
      <c r="L180" t="n">
        <v>0</v>
      </c>
      <c r="M180" t="n">
        <v>0</v>
      </c>
      <c r="N180" t="n">
        <v>0</v>
      </c>
      <c r="O180" t="n">
        <v>0</v>
      </c>
      <c r="P180" t="n">
        <v>0</v>
      </c>
      <c r="Q180" t="n">
        <v>1</v>
      </c>
      <c r="R180" s="2" t="inlineStr">
        <is>
          <t>Tjäder</t>
        </is>
      </c>
      <c r="S180">
        <f>HYPERLINK("https://klasma.github.io/Logging_2281/artfynd/A 11681-2024 artfynd.xlsx", "A 11681-2024")</f>
        <v/>
      </c>
      <c r="T180">
        <f>HYPERLINK("https://klasma.github.io/Logging_2281/kartor/A 11681-2024 karta.png", "A 11681-2024")</f>
        <v/>
      </c>
      <c r="V180">
        <f>HYPERLINK("https://klasma.github.io/Logging_2281/klagomål/A 11681-2024 FSC-klagomål.docx", "A 11681-2024")</f>
        <v/>
      </c>
      <c r="W180">
        <f>HYPERLINK("https://klasma.github.io/Logging_2281/klagomålsmail/A 11681-2024 FSC-klagomål mail.docx", "A 11681-2024")</f>
        <v/>
      </c>
      <c r="X180">
        <f>HYPERLINK("https://klasma.github.io/Logging_2281/tillsyn/A 11681-2024 tillsynsbegäran.docx", "A 11681-2024")</f>
        <v/>
      </c>
      <c r="Y180">
        <f>HYPERLINK("https://klasma.github.io/Logging_2281/tillsynsmail/A 11681-2024 tillsynsbegäran mail.docx", "A 11681-2024")</f>
        <v/>
      </c>
      <c r="Z180">
        <f>HYPERLINK("https://klasma.github.io/Logging_2281/fåglar/A 11681-2024 prioriterade fågelarter.docx", "A 11681-2024")</f>
        <v/>
      </c>
    </row>
    <row r="181" ht="15" customHeight="1">
      <c r="A181" t="inlineStr">
        <is>
          <t>A 15151-2024</t>
        </is>
      </c>
      <c r="B181" s="1" t="n">
        <v>45400</v>
      </c>
      <c r="C181" s="1" t="n">
        <v>45697</v>
      </c>
      <c r="D181" t="inlineStr">
        <is>
          <t>VÄSTERNORRLANDS LÄN</t>
        </is>
      </c>
      <c r="E181" t="inlineStr">
        <is>
          <t>SUNDSVALL</t>
        </is>
      </c>
      <c r="F181" t="inlineStr">
        <is>
          <t>Naturvårdsverket</t>
        </is>
      </c>
      <c r="G181" t="n">
        <v>17.2</v>
      </c>
      <c r="H181" t="n">
        <v>1</v>
      </c>
      <c r="I181" t="n">
        <v>0</v>
      </c>
      <c r="J181" t="n">
        <v>0</v>
      </c>
      <c r="K181" t="n">
        <v>1</v>
      </c>
      <c r="L181" t="n">
        <v>0</v>
      </c>
      <c r="M181" t="n">
        <v>0</v>
      </c>
      <c r="N181" t="n">
        <v>0</v>
      </c>
      <c r="O181" t="n">
        <v>1</v>
      </c>
      <c r="P181" t="n">
        <v>1</v>
      </c>
      <c r="Q181" t="n">
        <v>1</v>
      </c>
      <c r="R181" s="2" t="inlineStr">
        <is>
          <t>Knärot</t>
        </is>
      </c>
      <c r="S181">
        <f>HYPERLINK("https://klasma.github.io/Logging_2281/artfynd/A 15151-2024 artfynd.xlsx", "A 15151-2024")</f>
        <v/>
      </c>
      <c r="T181">
        <f>HYPERLINK("https://klasma.github.io/Logging_2281/kartor/A 15151-2024 karta.png", "A 15151-2024")</f>
        <v/>
      </c>
      <c r="U181">
        <f>HYPERLINK("https://klasma.github.io/Logging_2281/knärot/A 15151-2024 karta knärot.png", "A 15151-2024")</f>
        <v/>
      </c>
      <c r="V181">
        <f>HYPERLINK("https://klasma.github.io/Logging_2281/klagomål/A 15151-2024 FSC-klagomål.docx", "A 15151-2024")</f>
        <v/>
      </c>
      <c r="W181">
        <f>HYPERLINK("https://klasma.github.io/Logging_2281/klagomålsmail/A 15151-2024 FSC-klagomål mail.docx", "A 15151-2024")</f>
        <v/>
      </c>
      <c r="X181">
        <f>HYPERLINK("https://klasma.github.io/Logging_2281/tillsyn/A 15151-2024 tillsynsbegäran.docx", "A 15151-2024")</f>
        <v/>
      </c>
      <c r="Y181">
        <f>HYPERLINK("https://klasma.github.io/Logging_2281/tillsynsmail/A 15151-2024 tillsynsbegäran mail.docx", "A 15151-2024")</f>
        <v/>
      </c>
    </row>
    <row r="182" ht="15" customHeight="1">
      <c r="A182" t="inlineStr">
        <is>
          <t>A 15376-2024</t>
        </is>
      </c>
      <c r="B182" s="1" t="n">
        <v>45400</v>
      </c>
      <c r="C182" s="1" t="n">
        <v>45697</v>
      </c>
      <c r="D182" t="inlineStr">
        <is>
          <t>VÄSTERNORRLANDS LÄN</t>
        </is>
      </c>
      <c r="E182" t="inlineStr">
        <is>
          <t>SUNDSVALL</t>
        </is>
      </c>
      <c r="F182" t="inlineStr">
        <is>
          <t>Naturvårdsverket</t>
        </is>
      </c>
      <c r="G182" t="n">
        <v>1.2</v>
      </c>
      <c r="H182" t="n">
        <v>0</v>
      </c>
      <c r="I182" t="n">
        <v>0</v>
      </c>
      <c r="J182" t="n">
        <v>1</v>
      </c>
      <c r="K182" t="n">
        <v>0</v>
      </c>
      <c r="L182" t="n">
        <v>0</v>
      </c>
      <c r="M182" t="n">
        <v>0</v>
      </c>
      <c r="N182" t="n">
        <v>0</v>
      </c>
      <c r="O182" t="n">
        <v>1</v>
      </c>
      <c r="P182" t="n">
        <v>0</v>
      </c>
      <c r="Q182" t="n">
        <v>1</v>
      </c>
      <c r="R182" s="2" t="inlineStr">
        <is>
          <t>Granticka</t>
        </is>
      </c>
      <c r="S182">
        <f>HYPERLINK("https://klasma.github.io/Logging_2281/artfynd/A 15376-2024 artfynd.xlsx", "A 15376-2024")</f>
        <v/>
      </c>
      <c r="T182">
        <f>HYPERLINK("https://klasma.github.io/Logging_2281/kartor/A 15376-2024 karta.png", "A 15376-2024")</f>
        <v/>
      </c>
      <c r="V182">
        <f>HYPERLINK("https://klasma.github.io/Logging_2281/klagomål/A 15376-2024 FSC-klagomål.docx", "A 15376-2024")</f>
        <v/>
      </c>
      <c r="W182">
        <f>HYPERLINK("https://klasma.github.io/Logging_2281/klagomålsmail/A 15376-2024 FSC-klagomål mail.docx", "A 15376-2024")</f>
        <v/>
      </c>
      <c r="X182">
        <f>HYPERLINK("https://klasma.github.io/Logging_2281/tillsyn/A 15376-2024 tillsynsbegäran.docx", "A 15376-2024")</f>
        <v/>
      </c>
      <c r="Y182">
        <f>HYPERLINK("https://klasma.github.io/Logging_2281/tillsynsmail/A 15376-2024 tillsynsbegäran mail.docx", "A 15376-2024")</f>
        <v/>
      </c>
    </row>
    <row r="183" ht="15" customHeight="1">
      <c r="A183" t="inlineStr">
        <is>
          <t>A 20517-2024</t>
        </is>
      </c>
      <c r="B183" s="1" t="n">
        <v>45435</v>
      </c>
      <c r="C183" s="1" t="n">
        <v>45697</v>
      </c>
      <c r="D183" t="inlineStr">
        <is>
          <t>VÄSTERNORRLANDS LÄN</t>
        </is>
      </c>
      <c r="E183" t="inlineStr">
        <is>
          <t>SUNDSVALL</t>
        </is>
      </c>
      <c r="G183" t="n">
        <v>4.6</v>
      </c>
      <c r="H183" t="n">
        <v>0</v>
      </c>
      <c r="I183" t="n">
        <v>0</v>
      </c>
      <c r="J183" t="n">
        <v>1</v>
      </c>
      <c r="K183" t="n">
        <v>0</v>
      </c>
      <c r="L183" t="n">
        <v>0</v>
      </c>
      <c r="M183" t="n">
        <v>0</v>
      </c>
      <c r="N183" t="n">
        <v>0</v>
      </c>
      <c r="O183" t="n">
        <v>1</v>
      </c>
      <c r="P183" t="n">
        <v>0</v>
      </c>
      <c r="Q183" t="n">
        <v>1</v>
      </c>
      <c r="R183" s="2" t="inlineStr">
        <is>
          <t>Lunglav</t>
        </is>
      </c>
      <c r="S183">
        <f>HYPERLINK("https://klasma.github.io/Logging_2281/artfynd/A 20517-2024 artfynd.xlsx", "A 20517-2024")</f>
        <v/>
      </c>
      <c r="T183">
        <f>HYPERLINK("https://klasma.github.io/Logging_2281/kartor/A 20517-2024 karta.png", "A 20517-2024")</f>
        <v/>
      </c>
      <c r="V183">
        <f>HYPERLINK("https://klasma.github.io/Logging_2281/klagomål/A 20517-2024 FSC-klagomål.docx", "A 20517-2024")</f>
        <v/>
      </c>
      <c r="W183">
        <f>HYPERLINK("https://klasma.github.io/Logging_2281/klagomålsmail/A 20517-2024 FSC-klagomål mail.docx", "A 20517-2024")</f>
        <v/>
      </c>
      <c r="X183">
        <f>HYPERLINK("https://klasma.github.io/Logging_2281/tillsyn/A 20517-2024 tillsynsbegäran.docx", "A 20517-2024")</f>
        <v/>
      </c>
      <c r="Y183">
        <f>HYPERLINK("https://klasma.github.io/Logging_2281/tillsynsmail/A 20517-2024 tillsynsbegäran mail.docx", "A 20517-2024")</f>
        <v/>
      </c>
    </row>
    <row r="184" ht="15" customHeight="1">
      <c r="A184" t="inlineStr">
        <is>
          <t>A 25380-2024</t>
        </is>
      </c>
      <c r="B184" s="1" t="n">
        <v>45463</v>
      </c>
      <c r="C184" s="1" t="n">
        <v>45697</v>
      </c>
      <c r="D184" t="inlineStr">
        <is>
          <t>VÄSTERNORRLANDS LÄN</t>
        </is>
      </c>
      <c r="E184" t="inlineStr">
        <is>
          <t>SUNDSVALL</t>
        </is>
      </c>
      <c r="F184" t="inlineStr">
        <is>
          <t>SCA</t>
        </is>
      </c>
      <c r="G184" t="n">
        <v>3.3</v>
      </c>
      <c r="H184" t="n">
        <v>1</v>
      </c>
      <c r="I184" t="n">
        <v>0</v>
      </c>
      <c r="J184" t="n">
        <v>1</v>
      </c>
      <c r="K184" t="n">
        <v>0</v>
      </c>
      <c r="L184" t="n">
        <v>0</v>
      </c>
      <c r="M184" t="n">
        <v>0</v>
      </c>
      <c r="N184" t="n">
        <v>0</v>
      </c>
      <c r="O184" t="n">
        <v>1</v>
      </c>
      <c r="P184" t="n">
        <v>0</v>
      </c>
      <c r="Q184" t="n">
        <v>1</v>
      </c>
      <c r="R184" s="2" t="inlineStr">
        <is>
          <t>Nordfladdermus</t>
        </is>
      </c>
      <c r="S184">
        <f>HYPERLINK("https://klasma.github.io/Logging_2281/artfynd/A 25380-2024 artfynd.xlsx", "A 25380-2024")</f>
        <v/>
      </c>
      <c r="T184">
        <f>HYPERLINK("https://klasma.github.io/Logging_2281/kartor/A 25380-2024 karta.png", "A 25380-2024")</f>
        <v/>
      </c>
      <c r="V184">
        <f>HYPERLINK("https://klasma.github.io/Logging_2281/klagomål/A 25380-2024 FSC-klagomål.docx", "A 25380-2024")</f>
        <v/>
      </c>
      <c r="W184">
        <f>HYPERLINK("https://klasma.github.io/Logging_2281/klagomålsmail/A 25380-2024 FSC-klagomål mail.docx", "A 25380-2024")</f>
        <v/>
      </c>
      <c r="X184">
        <f>HYPERLINK("https://klasma.github.io/Logging_2281/tillsyn/A 25380-2024 tillsynsbegäran.docx", "A 25380-2024")</f>
        <v/>
      </c>
      <c r="Y184">
        <f>HYPERLINK("https://klasma.github.io/Logging_2281/tillsynsmail/A 25380-2024 tillsynsbegäran mail.docx", "A 25380-2024")</f>
        <v/>
      </c>
    </row>
    <row r="185" ht="15" customHeight="1">
      <c r="A185" t="inlineStr">
        <is>
          <t>A 26080-2024</t>
        </is>
      </c>
      <c r="B185" s="1" t="n">
        <v>45468</v>
      </c>
      <c r="C185" s="1" t="n">
        <v>45697</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45697</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45697</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45697</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45697</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45697</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45697</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45697</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45697</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45697</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45697</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4856-2025</t>
        </is>
      </c>
      <c r="B196" s="1" t="n">
        <v>45688</v>
      </c>
      <c r="C196" s="1" t="n">
        <v>45697</v>
      </c>
      <c r="D196" t="inlineStr">
        <is>
          <t>VÄSTERNORRLANDS LÄN</t>
        </is>
      </c>
      <c r="E196" t="inlineStr">
        <is>
          <t>SUNDSVALL</t>
        </is>
      </c>
      <c r="F196" t="inlineStr">
        <is>
          <t>SCA</t>
        </is>
      </c>
      <c r="G196" t="n">
        <v>3.5</v>
      </c>
      <c r="H196" t="n">
        <v>0</v>
      </c>
      <c r="I196" t="n">
        <v>1</v>
      </c>
      <c r="J196" t="n">
        <v>0</v>
      </c>
      <c r="K196" t="n">
        <v>0</v>
      </c>
      <c r="L196" t="n">
        <v>0</v>
      </c>
      <c r="M196" t="n">
        <v>0</v>
      </c>
      <c r="N196" t="n">
        <v>0</v>
      </c>
      <c r="O196" t="n">
        <v>0</v>
      </c>
      <c r="P196" t="n">
        <v>0</v>
      </c>
      <c r="Q196" t="n">
        <v>1</v>
      </c>
      <c r="R196" s="2" t="inlineStr">
        <is>
          <t>Grönpyrola</t>
        </is>
      </c>
      <c r="S196">
        <f>HYPERLINK("https://klasma.github.io/Logging_2281/artfynd/A 4856-2025 artfynd.xlsx", "A 4856-2025")</f>
        <v/>
      </c>
      <c r="T196">
        <f>HYPERLINK("https://klasma.github.io/Logging_2281/kartor/A 4856-2025 karta.png", "A 4856-2025")</f>
        <v/>
      </c>
      <c r="V196">
        <f>HYPERLINK("https://klasma.github.io/Logging_2281/klagomål/A 4856-2025 FSC-klagomål.docx", "A 4856-2025")</f>
        <v/>
      </c>
      <c r="W196">
        <f>HYPERLINK("https://klasma.github.io/Logging_2281/klagomålsmail/A 4856-2025 FSC-klagomål mail.docx", "A 4856-2025")</f>
        <v/>
      </c>
      <c r="X196">
        <f>HYPERLINK("https://klasma.github.io/Logging_2281/tillsyn/A 4856-2025 tillsynsbegäran.docx", "A 4856-2025")</f>
        <v/>
      </c>
      <c r="Y196">
        <f>HYPERLINK("https://klasma.github.io/Logging_2281/tillsynsmail/A 4856-2025 tillsynsbegäran mail.docx", "A 4856-2025")</f>
        <v/>
      </c>
    </row>
    <row r="197" ht="15" customHeight="1">
      <c r="A197" t="inlineStr">
        <is>
          <t>A 4896-2025</t>
        </is>
      </c>
      <c r="B197" s="1" t="n">
        <v>45688</v>
      </c>
      <c r="C197" s="1" t="n">
        <v>45697</v>
      </c>
      <c r="D197" t="inlineStr">
        <is>
          <t>VÄSTERNORRLANDS LÄN</t>
        </is>
      </c>
      <c r="E197" t="inlineStr">
        <is>
          <t>SUNDSVALL</t>
        </is>
      </c>
      <c r="F197" t="inlineStr">
        <is>
          <t>SCA</t>
        </is>
      </c>
      <c r="G197" t="n">
        <v>6.9</v>
      </c>
      <c r="H197" t="n">
        <v>0</v>
      </c>
      <c r="I197" t="n">
        <v>1</v>
      </c>
      <c r="J197" t="n">
        <v>0</v>
      </c>
      <c r="K197" t="n">
        <v>0</v>
      </c>
      <c r="L197" t="n">
        <v>0</v>
      </c>
      <c r="M197" t="n">
        <v>0</v>
      </c>
      <c r="N197" t="n">
        <v>0</v>
      </c>
      <c r="O197" t="n">
        <v>0</v>
      </c>
      <c r="P197" t="n">
        <v>0</v>
      </c>
      <c r="Q197" t="n">
        <v>1</v>
      </c>
      <c r="R197" s="2" t="inlineStr">
        <is>
          <t>Tibast</t>
        </is>
      </c>
      <c r="S197">
        <f>HYPERLINK("https://klasma.github.io/Logging_2281/artfynd/A 4896-2025 artfynd.xlsx", "A 4896-2025")</f>
        <v/>
      </c>
      <c r="T197">
        <f>HYPERLINK("https://klasma.github.io/Logging_2281/kartor/A 4896-2025 karta.png", "A 4896-2025")</f>
        <v/>
      </c>
      <c r="U197">
        <f>HYPERLINK("https://klasma.github.io/Logging_2281/knärot/A 4896-2025 karta knärot.png", "A 4896-2025")</f>
        <v/>
      </c>
      <c r="V197">
        <f>HYPERLINK("https://klasma.github.io/Logging_2281/klagomål/A 4896-2025 FSC-klagomål.docx", "A 4896-2025")</f>
        <v/>
      </c>
      <c r="W197">
        <f>HYPERLINK("https://klasma.github.io/Logging_2281/klagomålsmail/A 4896-2025 FSC-klagomål mail.docx", "A 4896-2025")</f>
        <v/>
      </c>
      <c r="X197">
        <f>HYPERLINK("https://klasma.github.io/Logging_2281/tillsyn/A 4896-2025 tillsynsbegäran.docx", "A 4896-2025")</f>
        <v/>
      </c>
      <c r="Y197">
        <f>HYPERLINK("https://klasma.github.io/Logging_2281/tillsynsmail/A 4896-2025 tillsynsbegäran mail.docx", "A 4896-2025")</f>
        <v/>
      </c>
    </row>
    <row r="198" ht="15" customHeight="1">
      <c r="A198" t="inlineStr">
        <is>
          <t>A 4878-2025</t>
        </is>
      </c>
      <c r="B198" s="1" t="n">
        <v>45688</v>
      </c>
      <c r="C198" s="1" t="n">
        <v>45697</v>
      </c>
      <c r="D198" t="inlineStr">
        <is>
          <t>VÄSTERNORRLANDS LÄN</t>
        </is>
      </c>
      <c r="E198" t="inlineStr">
        <is>
          <t>SUNDSVALL</t>
        </is>
      </c>
      <c r="F198" t="inlineStr">
        <is>
          <t>SCA</t>
        </is>
      </c>
      <c r="G198" t="n">
        <v>4.2</v>
      </c>
      <c r="H198" t="n">
        <v>1</v>
      </c>
      <c r="I198" t="n">
        <v>0</v>
      </c>
      <c r="J198" t="n">
        <v>0</v>
      </c>
      <c r="K198" t="n">
        <v>1</v>
      </c>
      <c r="L198" t="n">
        <v>0</v>
      </c>
      <c r="M198" t="n">
        <v>0</v>
      </c>
      <c r="N198" t="n">
        <v>0</v>
      </c>
      <c r="O198" t="n">
        <v>1</v>
      </c>
      <c r="P198" t="n">
        <v>1</v>
      </c>
      <c r="Q198" t="n">
        <v>1</v>
      </c>
      <c r="R198" s="2" t="inlineStr">
        <is>
          <t>Knärot</t>
        </is>
      </c>
      <c r="S198">
        <f>HYPERLINK("https://klasma.github.io/Logging_2281/artfynd/A 4878-2025 artfynd.xlsx", "A 4878-2025")</f>
        <v/>
      </c>
      <c r="T198">
        <f>HYPERLINK("https://klasma.github.io/Logging_2281/kartor/A 4878-2025 karta.png", "A 4878-2025")</f>
        <v/>
      </c>
      <c r="U198">
        <f>HYPERLINK("https://klasma.github.io/Logging_2281/knärot/A 4878-2025 karta knärot.png", "A 4878-2025")</f>
        <v/>
      </c>
      <c r="V198">
        <f>HYPERLINK("https://klasma.github.io/Logging_2281/klagomål/A 4878-2025 FSC-klagomål.docx", "A 4878-2025")</f>
        <v/>
      </c>
      <c r="W198">
        <f>HYPERLINK("https://klasma.github.io/Logging_2281/klagomålsmail/A 4878-2025 FSC-klagomål mail.docx", "A 4878-2025")</f>
        <v/>
      </c>
      <c r="X198">
        <f>HYPERLINK("https://klasma.github.io/Logging_2281/tillsyn/A 4878-2025 tillsynsbegäran.docx", "A 4878-2025")</f>
        <v/>
      </c>
      <c r="Y198">
        <f>HYPERLINK("https://klasma.github.io/Logging_2281/tillsynsmail/A 4878-2025 tillsynsbegäran mail.docx", "A 4878-2025")</f>
        <v/>
      </c>
    </row>
    <row r="199" ht="15" customHeight="1">
      <c r="A199" t="inlineStr">
        <is>
          <t>A 18070-2019</t>
        </is>
      </c>
      <c r="B199" s="1" t="n">
        <v>43557</v>
      </c>
      <c r="C199" s="1" t="n">
        <v>45697</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45697</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45697</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45697</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45697</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45697</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45697</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45697</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45697</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45697</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45697</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45697</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45697</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45697</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45697</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45697</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45697</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45697</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45697</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45697</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45697</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45697</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45697</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45697</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45697</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45697</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45697</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45697</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45697</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45697</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45697</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45697</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45697</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45697</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45697</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45697</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45697</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45697</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45697</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45697</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45697</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45697</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45697</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45697</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45697</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45697</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45697</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45697</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45697</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45697</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45697</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45697</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45697</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45697</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45697</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45697</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45697</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45697</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45697</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45697</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45697</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45697</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45697</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45697</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45697</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45697</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45697</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45697</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45697</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45697</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45697</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45697</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45697</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45697</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45697</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45697</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45697</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45697</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45697</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45697</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45697</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45697</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45697</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45697</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45697</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45697</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45697</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45697</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45697</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45697</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45697</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45697</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45697</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45697</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45697</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45697</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45697</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45697</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45697</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45697</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45697</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45697</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45697</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45697</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45697</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45697</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45697</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45697</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45697</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45697</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45697</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45697</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45697</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45697</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45697</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45697</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45697</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45697</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45697</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45697</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45697</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45697</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45697</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45697</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45697</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45697</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45697</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45697</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45697</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45697</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45697</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45697</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45697</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45697</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45697</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45697</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45697</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45697</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45697</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45697</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45697</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45697</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45697</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45697</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45697</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45697</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45697</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45697</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45697</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45697</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45697</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45697</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45697</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45697</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45697</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45697</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45697</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45697</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45697</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45697</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45697</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45697</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45697</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45697</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45697</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45697</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45697</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45697</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45697</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45697</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45697</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45697</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45697</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45697</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45697</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45697</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45697</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45697</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45697</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45697</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45697</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45697</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45697</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45697</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45697</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45697</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45697</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45697</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45697</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45697</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45697</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45697</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45697</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45697</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45697</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45697</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45697</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45697</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45697</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45697</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45697</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45697</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45697</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45697</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45697</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45697</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45697</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45697</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45697</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45697</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45697</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45697</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45697</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45697</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45697</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45697</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45697</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45697</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45697</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45697</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45697</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45697</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45697</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45697</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45697</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45697</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45697</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45697</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45697</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45697</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45697</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45697</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45697</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45697</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45697</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45697</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45697</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45697</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45697</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45697</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45697</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45697</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45697</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45697</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45697</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45697</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45697</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45697</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45697</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45697</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45697</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45697</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45697</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45697</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45697</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45697</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45697</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45697</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45697</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45697</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45697</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45697</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45697</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45697</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45697</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45697</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45697</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45697</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45697</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45697</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45697</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45697</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45697</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45697</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45697</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45697</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45697</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45697</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45697</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45697</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45697</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45697</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45697</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45697</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45697</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45697</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45697</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45697</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45697</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45697</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45697</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45697</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45697</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45697</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45697</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45697</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45697</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45697</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45697</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45697</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45697</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45697</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45697</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45697</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45697</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45697</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45697</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45697</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45697</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45697</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45697</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45697</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45697</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45697</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45697</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45697</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45697</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45697</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45697</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45697</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45697</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45697</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45697</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45697</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45697</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45697</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45697</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45697</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45697</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45697</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45697</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45697</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45697</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45697</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45697</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45697</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45697</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45697</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45697</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45697</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45697</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45697</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45697</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45697</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45697</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45697</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45697</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45697</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45697</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45697</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45697</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45697</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45697</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45697</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45697</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45697</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45697</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45697</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45697</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45697</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45697</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45697</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45697</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45697</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45697</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45697</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45697</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45697</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45697</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45697</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45697</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45697</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45697</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45697</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45697</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45697</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45697</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45697</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45697</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45697</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45697</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45697</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45697</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45697</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45697</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45697</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45697</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45697</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45697</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45697</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45697</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45697</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45697</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45697</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45697</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45697</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45697</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45697</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45697</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45697</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45697</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45697</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45697</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45697</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45697</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45697</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45697</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45697</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45697</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45697</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45697</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45697</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45697</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45697</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45697</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45697</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45697</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45697</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45697</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45697</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45697</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45697</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45697</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45697</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45697</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45697</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45697</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45697</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45697</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45697</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45697</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45697</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45697</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45697</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45697</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45697</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45697</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45697</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45697</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45697</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45697</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45697</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45697</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45697</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45697</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45697</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45697</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45697</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45697</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45697</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45697</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45697</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45697</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45697</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45697</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45697</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45697</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45697</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45697</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45697</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45697</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45697</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45697</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45697</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45697</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45697</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45697</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45697</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45697</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45697</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45697</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45697</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45697</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45697</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45697</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45697</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45697</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45697</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45697</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45697</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45697</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45697</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45697</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45697</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45697</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45697</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45697</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45697</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45697</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45697</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45697</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45697</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45697</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45697</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45697</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45697</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45697</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45697</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45697</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45697</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45697</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45697</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45697</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45697</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45697</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45697</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45697</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45697</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45697</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45697</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45697</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45697</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45697</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45697</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45697</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45697</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45697</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45697</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45697</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45697</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45697</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45697</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45697</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45697</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45697</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45697</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45697</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45697</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45697</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45697</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45697</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45697</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45697</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45697</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45697</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45697</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45697</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45697</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45697</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45697</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45697</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45697</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45697</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45697</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45697</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45697</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45697</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45697</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45697</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45697</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45697</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45697</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45697</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45697</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45697</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45697</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45697</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45697</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45697</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45697</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45697</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45697</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45697</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45697</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45697</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45697</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45697</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45697</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45697</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45697</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45697</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45697</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45697</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45697</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45697</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45697</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45697</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45697</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45697</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45697</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45697</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45697</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45697</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45697</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45697</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45697</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45697</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45697</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45697</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45697</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45697</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45697</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45697</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45697</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45697</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45697</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45697</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45697</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45697</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45697</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45697</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45697</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45697</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45697</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45697</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45697</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45697</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45697</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45697</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45697</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45697</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45697</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45697</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45697</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45697</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45697</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45697</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45697</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45697</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45697</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45697</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45697</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45697</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45697</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45697</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45697</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45697</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45697</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45697</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45697</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45697</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45697</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45697</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45697</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45697</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45697</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45697</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45697</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45697</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45697</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45697</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45697</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45697</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45697</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45697</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45697</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45697</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45697</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45697</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45697</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45697</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45697</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45697</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45697</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45697</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45697</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45697</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45697</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45697</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45697</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45697</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45697</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45697</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45697</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45697</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45697</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45697</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45697</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45697</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45697</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45697</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45697</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45697</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45697</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45697</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45697</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45697</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45697</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45697</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45697</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45697</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45697</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45697</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45697</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45697</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45697</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45697</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45697</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45697</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45697</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45697</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45697</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45697</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45697</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45697</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45697</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45697</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45697</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45697</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45697</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45697</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45697</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45697</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45697</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45697</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45697</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45697</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45697</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45697</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45697</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45697</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45697</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45697</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45697</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45697</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45697</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45697</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45697</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45697</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45697</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45697</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45697</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45697</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45697</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45697</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45697</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45697</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45697</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45697</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45697</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45697</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45697</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45697</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45697</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45697</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45697</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45697</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45697</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45697</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45697</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45697</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45697</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45697</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45697</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45697</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45697</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45697</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45697</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45697</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45697</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45697</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45697</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45697</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45697</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45697</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45697</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45697</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45697</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45697</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45697</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45697</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45697</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45697</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45697</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45697</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45697</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45697</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45697</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45697</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45697</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45697</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45697</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45697</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45697</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45697</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45697</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45697</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45697</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45697</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45697</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45697</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45697</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45697</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45697</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45697</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45697</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45697</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45697</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45697</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45697</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45697</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45697</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45697</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45697</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45697</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45697</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45697</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45697</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45697</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45697</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45697</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45697</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45697</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45697</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45697</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45697</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45697</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45697</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45697</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45697</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45697</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45697</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45697</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45697</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45697</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45697</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45697</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45697</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45697</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45697</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45697</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45697</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45697</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45697</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45697</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45697</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45697</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45697</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45697</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45697</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45697</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45697</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45697</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45697</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45697</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45697</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45697</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45697</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45697</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45697</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45697</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45697</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45697</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45697</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45697</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45697</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45697</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45697</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45697</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45697</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45697</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45697</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45697</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45697</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45697</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45697</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45697</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45697</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45697</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45697</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45697</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45697</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45697</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45697</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45697</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45697</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45697</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45697</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45697</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45697</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45697</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45697</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45697</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45697</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45697</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45697</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45697</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45697</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45697</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45697</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45697</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45697</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45697</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45697</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45697</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45697</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45697</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45697</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45697</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45697</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45697</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45697</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45697</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45697</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45697</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45697</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45697</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45697</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45697</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45697</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45697</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45697</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45697</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45697</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45697</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45697</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45697</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45697</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45697</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45697</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45697</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45697</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45697</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45697</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45697</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45697</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45697</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45697</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45697</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45697</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45697</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45697</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45697</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45697</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45697</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45697</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45697</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45697</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45697</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45697</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45697</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45697</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45697</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45697</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45697</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45697</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45697</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45697</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45697</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45697</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45697</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45697</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45697</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45697</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45697</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45697</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45697</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45697</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45697</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45697</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45697</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45697</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45697</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45697</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45697</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45697</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45697</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45697</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45697</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45697</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45697</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45697</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45697</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45697</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45697</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45697</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45697</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45697</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45697</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45697</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45697</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45697</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45697</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45697</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45697</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45697</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45697</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45697</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45697</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45697</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45697</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45697</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45697</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45697</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45697</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45697</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45697</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45697</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45697</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45697</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45697</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45697</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45697</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45697</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45697</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45697</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45697</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45697</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45697</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45697</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45697</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45697</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45697</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45697</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45697</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45697</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45697</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45697</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45697</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45697</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45697</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45697</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45697</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45697</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45697</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45697</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45697</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45697</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45697</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45697</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45697</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45697</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45697</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45697</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45697</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45697</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45697</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45697</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45697</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45697</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45697</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45697</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45697</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45697</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45697</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45697</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45697</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45697</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45697</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45697</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45697</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45697</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45697</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45697</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45697</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45697</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45697</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45697</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45697</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45697</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45697</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45697</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45697</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45697</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45697</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45697</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45697</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45697</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45697</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45697</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45697</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45697</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45697</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45697</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45697</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45697</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45697</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45697</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45697</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45697</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45697</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45697</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45697</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45697</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45697</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45697</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45697</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45697</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45697</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45697</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45697</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45697</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45697</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45697</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45697</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45697</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45697</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45697</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45697</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45697</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45697</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45697</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45697</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45697</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45697</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45697</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45697</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45697</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45697</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45697</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45697</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45697</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45697</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45697</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45697</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45697</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45697</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45697</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45697</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45697</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45697</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45697</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45697</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45697</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45697</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45697</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45697</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45697</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45697</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45697</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45697</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45697</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45697</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45697</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45697</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45697</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45697</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45697</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45697</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45697</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45697</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45697</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45697</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45697</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45697</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45697</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45697</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45697</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45697</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45697</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45697</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45697</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45697</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45697</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45697</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45697</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45697</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45697</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45697</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45697</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45697</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45697</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45697</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45697</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45697</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45697</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45697</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45697</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45697</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45697</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45697</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45697</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45697</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45697</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45697</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45697</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45697</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45697</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45697</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45697</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45697</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45697</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45697</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45697</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45697</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45697</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45697</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45697</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45697</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45697</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45697</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45697</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45697</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45697</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45697</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45697</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45697</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45697</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45697</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45697</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45697</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45697</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45697</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45697</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45697</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45697</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45697</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45697</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45697</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45697</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45697</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45697</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45697</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45697</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45697</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45697</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45697</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45697</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45697</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45697</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45697</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45697</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45697</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45697</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45697</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45697</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45697</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45697</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45697</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45697</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45697</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45697</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45697</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45697</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45697</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45697</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45697</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45697</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45697</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45697</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45697</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45697</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45697</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45697</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45697</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45697</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45697</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45697</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45697</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45697</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45697</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45697</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45697</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45697</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45697</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45697</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45697</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45697</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45697</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45697</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45697</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45697</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45697</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45697</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45697</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45697</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45697</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45697</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45697</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45697</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45697</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45697</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45697</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45697</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45697</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45697</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45697</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45697</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45697</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45697</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45697</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45697</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45697</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45697</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45697</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45697</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45697</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45697</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45697</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45697</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45697</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45697</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45697</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45697</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45697</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45697</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45697</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45697</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45697</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45697</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45697</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45697</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45697</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45697</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45697</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45697</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45697</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45697</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45697</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45697</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45697</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45697</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45697</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45697</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45697</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45697</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45697</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45697</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45697</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45697</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45697</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45697</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45697</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45697</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45697</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45697</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45697</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45697</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45697</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45697</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45697</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45697</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45697</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45697</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45697</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45697</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45697</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45697</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45697</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45697</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45697</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45697</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45697</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45697</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45697</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45697</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45697</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45697</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45697</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45697</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45697</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45697</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45697</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45697</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45697</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45697</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45697</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45697</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45697</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45697</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45697</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45697</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45697</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45697</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45697</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45697</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45697</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45697</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45697</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45697</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45697</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45697</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45697</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45697</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45697</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45697</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45697</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45697</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45697</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45697</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45697</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45697</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45697</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45697</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45697</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45697</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45697</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45697</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45697</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45697</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45697</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45697</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45697</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45697</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45697</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45697</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45697</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45697</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45697</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45697</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45697</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45697</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45697</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45697</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45697</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45697</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45697</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45697</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45697</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45697</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45697</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45697</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45697</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45697</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45697</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45697</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45697</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45697</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45697</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45697</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45697</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45697</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45697</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45697</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45697</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45697</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45697</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45697</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45697</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45697</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45697</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45697</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45697</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45697</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45697</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45697</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45697</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45697</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45697</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45697</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45697</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45697</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45697</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45697</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45697</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45697</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45697</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45697</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45697</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45697</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45697</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45697</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45697</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45697</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45697</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45697</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45697</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45697</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45697</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45697</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45697</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45697</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45697</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45697</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45697</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45697</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45697</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45697</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45697</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45697</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45697</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45697</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45697</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45697</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45697</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45697</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45697</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45697</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45697</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45697</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45697</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45697</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45697</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45697</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45697</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45697</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45697</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45697</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45697</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45697</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45697</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45697</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45697</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45697</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45697</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45697</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45697</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45697</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45697</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45697</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45697</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45697</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45697</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45697</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45697</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45697</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45697</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45697</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45697</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45697</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45697</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45697</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45697</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45697</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45697</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45697</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45697</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45697</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45697</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45697</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45697</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45697</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45697</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45697</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45697</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45697</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45697</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45697</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45697</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45697</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45697</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45697</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45697</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45697</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45697</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45697</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45697</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45697</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45697</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45697</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45697</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45697</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45697</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45697</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45697</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45697</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45697</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45697</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45697</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45697</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45697</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45697</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45697</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45697</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45697</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45697</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45697</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45697</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45697</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45697</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45697</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45697</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45697</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45697</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45697</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45697</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45697</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45697</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45697</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45697</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45697</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45697</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45697</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45697</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45697</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45697</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45697</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45697</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45697</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45697</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45697</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45697</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45697</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45697</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45697</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45697</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45697</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45697</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45697</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45697</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45697</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45697</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45697</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45697</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45697</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45697</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45697</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45697</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45697</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45697</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45697</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45697</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45697</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45697</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45697</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45697</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45697</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45697</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45697</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45697</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45697</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45697</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45697</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45697</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45697</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45697</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45697</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45697</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45697</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45697</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45697</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45697</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45697</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45697</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45697</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45697</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45697</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45697</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45697</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45697</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45697</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45697</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45697</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45697</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45697</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45697</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45697</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45697</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45697</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45697</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45697</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45697</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45697</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45697</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45697</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45697</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45697</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45697</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45697</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45697</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45697</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45697</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45697</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45697</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45697</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45697</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45697</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45697</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45697</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45697</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45697</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45697</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45697</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45697</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45697</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45697</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45697</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45697</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45697</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45697</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45697</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45697</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45697</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45697</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45697</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45697</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45697</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45697</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45697</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45697</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45697</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45697</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45697</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45697</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45697</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45697</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45697</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45697</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45697</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45697</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45697</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45697</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45697</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45697</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45697</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45697</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45697</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45697</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45697</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45697</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45697</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45697</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45697</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45697</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45697</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45697</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45697</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45697</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45697</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45697</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45697</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45697</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45697</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45697</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45697</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45697</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45697</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45697</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45697</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45697</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45697</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45697</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45697</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45697</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45697</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45697</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45697</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45697</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45697</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45697</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45697</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45697</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45697</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45697</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45697</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45697</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45697</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45697</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45697</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45697</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45697</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45697</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45697</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45697</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45697</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45697</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45697</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45697</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45697</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45697</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45697</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45697</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45697</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45697</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45697</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45697</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45697</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45697</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45697</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45697</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45697</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45697</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45697</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45697</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45697</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45697</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45697</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45697</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45697</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45697</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45697</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45697</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45697</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45697</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45697</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45697</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45697</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45697</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45697</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45697</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45697</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45697</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45697</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45697</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45697</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45697</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45697</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45697</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45697</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45697</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45697</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45697</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45697</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45697</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45697</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45697</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45697</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45697</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45697</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45697</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45697</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45697</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45697</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45697</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45697</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45697</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45697</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45697</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45697</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45697</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45697</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45697</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45697</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45697</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45697</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45697</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45697</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45697</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45697</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45697</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45697</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45697</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45697</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45697</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45697</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45697</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45697</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45697</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45697</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45697</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45697</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45697</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45697</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45697</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45697</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45697</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45697</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45697</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45697</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45697</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45697</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45697</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45697</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45697</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45697</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45697</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45697</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45697</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45697</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45697</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45697</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45697</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45697</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45697</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45697</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45697</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45697</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45697</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45697</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45697</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45697</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45697</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45697</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45697</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45697</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45697</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45697</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45697</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45697</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45697</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45697</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45697</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45697</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45697</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45697</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45697</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45697</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45697</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45697</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45697</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45697</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45697</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45697</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45697</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45697</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45697</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45697</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45697</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45697</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45697</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45697</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45697</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45697</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45697</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45697</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45697</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45697</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45697</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45697</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45697</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45697</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45697</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45697</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45697</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45697</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45697</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45697</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45697</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45697</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45697</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45697</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45697</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45697</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45697</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45697</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45697</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45697</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45697</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45697</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45697</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45697</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45697</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45697</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45697</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45697</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45697</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45697</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45697</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45697</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45697</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45697</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45697</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45697</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45697</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45697</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45697</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45697</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45697</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45697</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45697</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45697</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45697</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45697</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45697</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45697</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45697</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45697</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45697</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45697</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45697</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45697</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45697</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45697</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45697</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45697</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45697</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45697</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45697</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45697</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45697</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45697</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45697</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45697</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45697</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45697</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45697</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45697</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45697</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45697</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45697</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45697</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45697</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45697</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45697</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45697</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45697</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45697</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45697</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45697</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45697</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45697</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45697</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45697</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45697</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45697</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45697</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45697</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45697</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45697</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45697</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45697</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45697</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45697</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45697</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45697</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45697</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45697</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45697</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45697</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45697</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45697</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45697</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45697</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45697</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45697</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45697</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45697</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45697</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45697</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45697</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45697</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45697</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45697</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45697</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45697</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45697</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45697</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45697</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45697</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45697</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45697</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45697</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45697</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45697</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45697</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45697</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45697</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45697</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45697</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45697</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45697</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45697</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45697</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45697</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45697</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45697</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45697</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45697</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45697</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45697</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45697</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45697</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45697</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45697</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45697</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45697</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45697</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45697</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45697</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45697</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45697</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45697</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45697</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45697</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45697</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45697</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45697</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45697</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45697</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45697</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45697</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45697</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45697</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45697</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45697</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45697</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45697</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45697</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45697</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45697</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45697</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45697</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45697</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45697</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45697</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45697</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45697</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45697</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45697</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45697</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45697</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45697</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45697</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45697</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45697</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45697</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45697</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45697</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45697</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45697</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45697</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45697</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45697</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45697</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45697</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45697</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45697</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45697</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45697</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45697</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45697</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45697</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45697</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45697</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45697</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45697</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45697</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45697</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45697</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45697</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45697</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45697</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45697</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45697</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45697</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45697</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45697</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45697</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45697</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45697</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45697</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45697</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45697</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45697</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45697</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45697</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45697</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45697</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45697</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45697</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45697</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45697</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45697</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45697</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45697</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45697</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45697</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45697</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45697</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45697</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45697</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45697</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45697</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45697</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45697</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45697</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45697</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45697</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45697</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45697</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45697</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45697</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45697</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45697</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45697</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45697</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45697</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45697</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45697</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45697</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45697</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45697</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45697</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45697</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45697</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45697</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45697</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45697</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45697</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45697</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45697</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45697</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45697</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45697</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45697</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45697</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45697</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45697</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45697</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45697</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45697</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45697</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45697</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45697</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45697</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45697</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45697</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45697</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45697</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45697</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45697</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45697</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45697</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45697</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45697</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45697</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45697</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45697</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45697</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45697</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45697</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45697</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45697</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45697</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45697</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45697</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45697</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45697</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45697</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45697</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45697</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45697</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45697</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45697</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45697</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45697</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45697</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45697</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45697</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45697</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45697</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45697</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45697</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45697</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45697</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45697</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45697</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45697</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45697</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45697</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45697</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45697</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45697</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45697</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45697</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45697</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45697</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45697</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45697</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45697</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45697</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45697</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45697</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45697</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45697</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45697</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45697</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45697</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45697</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45697</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45697</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45697</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45697</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45697</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45697</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45697</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45697</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45697</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45697</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45697</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45697</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45697</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45697</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45697</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45697</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45697</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45697</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45697</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45697</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45697</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45697</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45697</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45697</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45697</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45697</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45697</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45697</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45697</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45697</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45697</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45697</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45697</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45697</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45697</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45697</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45697</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45697</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45697</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45697</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45697</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45697</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45697</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45697</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45697</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45697</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45697</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45697</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45697</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45697</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45697</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45697</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45697</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45697</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45697</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45697</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45697</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45697</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45697</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45697</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45697</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45697</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45697</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45697</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45697</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45697</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45697</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45697</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45697</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45697</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45697</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45697</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45697</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45697</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45697</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45697</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45697</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45697</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45697</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45697</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45697</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45697</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45697</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45697</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45697</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45697</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45697</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45697</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45697</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45697</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45697</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45697</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45697</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45697</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45697</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45697</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45697</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45697</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45697</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45697</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45697</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45697</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45697</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45697</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45697</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45697</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45697</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45697</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45697</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45697</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45697</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45697</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45697</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45697</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45697</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45697</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45697</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45697</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45697</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45697</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45697</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45697</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45697</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45697</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45697</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45697</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45697</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45697</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45697</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45697</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45697</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45697</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45697</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45697</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45697</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45697</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45697</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45697</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45697</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45697</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45697</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45697</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45697</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45697</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45697</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45697</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45697</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45697</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45697</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45697</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45697</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45697</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45697</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45697</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45697</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45697</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45697</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45697</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45697</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45697</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45697</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45697</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45697</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45697</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45697</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45697</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45697</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45697</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45697</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45697</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45697</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45697</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45697</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45697</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45697</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45697</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45697</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45697</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45697</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45697</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45697</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45697</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45697</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45697</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45697</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45697</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45697</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45697</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45697</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45697</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45697</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45697</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45697</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45697</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45697</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45697</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45697</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45697</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45697</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45697</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45697</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45697</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45697</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45697</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45697</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45697</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45697</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45697</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45697</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45697</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45697</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45697</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45697</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45697</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45697</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45697</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45697</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45697</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45697</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45697</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45697</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45697</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45697</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45697</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45697</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45697</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45697</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45697</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45697</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45697</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45697</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45697</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45697</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45697</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45697</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45697</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45697</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45697</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45697</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45697</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45697</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45697</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45697</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45697</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45697</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45697</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45697</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45697</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45697</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45697</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45697</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45697</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45697</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45697</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45697</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45697</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45697</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45697</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45697</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45697</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45697</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45697</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45697</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45697</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45697</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45697</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45697</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45697</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45697</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45697</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45697</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45697</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45697</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45697</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45697</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45697</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45697</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45697</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45697</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45697</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45697</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45697</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45697</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45697</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45697</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45697</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45697</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45697</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45697</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45697</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45697</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45697</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45697</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45697</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45697</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45697</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45697</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45697</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45697</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45697</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45697</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45697</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45697</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45697</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45697</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45697</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45697</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45697</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45697</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45697</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45697</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45697</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45697</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45697</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45697</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45697</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45697</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45697</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45697</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45697</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45697</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45697</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45697</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45697</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45697</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45697</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45697</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45697</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45697</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45697</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45697</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45697</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45697</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45697</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45697</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45697</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45697</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45697</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45697</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45697</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45697</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45697</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45697</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45697</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45697</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45697</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45697</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45697</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45697</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45697</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45697</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45697</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45697</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45697</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45697</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45697</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45697</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45697</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45697</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45697</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45697</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45697</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45697</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45697</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45697</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45697</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45697</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45697</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45697</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45697</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45697</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45697</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45697</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45697</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45697</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45697</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45697</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45697</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45697</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45697</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45697</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45697</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45697</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45697</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45697</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45697</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45697</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45697</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45697</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45697</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45697</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45697</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45697</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45697</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45697</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45697</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45697</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45697</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45697</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45697</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45697</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45697</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45697</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45697</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45697</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45697</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45697</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45697</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45697</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45697</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45697</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45697</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45697</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45697</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45697</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45697</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45697</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45697</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45697</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45697</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45697</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45697</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45697</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45697</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45697</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45697</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45697</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45697</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45697</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45697</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45697</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45697</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45697</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45697</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45697</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45697</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45697</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45697</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45697</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45697</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45697</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45697</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45697</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45697</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45697</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45697</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45697</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45697</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45697</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45697</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45697</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45697</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45697</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45697</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45697</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45697</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45697</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45697</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45697</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45697</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45697</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45697</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45697</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45697</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45697</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45697</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45697</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45697</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45697</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45697</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45697</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45697</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45697</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45697</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45697</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45697</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45697</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45697</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45697</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45697</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45697</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45697</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45697</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45697</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45697</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45697</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45697</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45697</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45697</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45697</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45697</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45697</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45697</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45697</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45697</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45697</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45697</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45697</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45697</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45697</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45697</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45697</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45697</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45697</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45697</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45697</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45697</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45697</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45697</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45697</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45697</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45697</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45697</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45697</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45697</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45697</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45697</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45697</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45697</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45697</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45697</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45697</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45697</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45697</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45697</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45697</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45697</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45697</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45697</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45697</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45697</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45697</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45697</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45697</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45697</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45697</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45697</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45697</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45697</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45697</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45697</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45697</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45697</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45697</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45697</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45697</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45697</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45697</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45697</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45697</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45697</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45697</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45697</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45697</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45697</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45697</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1792-2025</t>
        </is>
      </c>
      <c r="B2994" s="1" t="n">
        <v>45671</v>
      </c>
      <c r="C2994" s="1" t="n">
        <v>45697</v>
      </c>
      <c r="D2994" t="inlineStr">
        <is>
          <t>VÄSTERNORRLANDS LÄN</t>
        </is>
      </c>
      <c r="E2994" t="inlineStr">
        <is>
          <t>SUNDSVALL</t>
        </is>
      </c>
      <c r="F2994" t="inlineStr">
        <is>
          <t>Kyrkan</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1797-2025</t>
        </is>
      </c>
      <c r="B2995" s="1" t="n">
        <v>45671</v>
      </c>
      <c r="C2995" s="1" t="n">
        <v>45697</v>
      </c>
      <c r="D2995" t="inlineStr">
        <is>
          <t>VÄSTERNORRLANDS LÄN</t>
        </is>
      </c>
      <c r="E2995" t="inlineStr">
        <is>
          <t>SUNDSVALL</t>
        </is>
      </c>
      <c r="F2995" t="inlineStr">
        <is>
          <t>Kyrkan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1813-2025</t>
        </is>
      </c>
      <c r="B2996" s="1" t="n">
        <v>45671</v>
      </c>
      <c r="C2996" s="1" t="n">
        <v>45697</v>
      </c>
      <c r="D2996" t="inlineStr">
        <is>
          <t>VÄSTERNORRLANDS LÄN</t>
        </is>
      </c>
      <c r="E2996" t="inlineStr">
        <is>
          <t>SUNDSVALL</t>
        </is>
      </c>
      <c r="F2996" t="inlineStr">
        <is>
          <t>Kyrkan</t>
        </is>
      </c>
      <c r="G2996" t="n">
        <v>14.5</v>
      </c>
      <c r="H2996" t="n">
        <v>0</v>
      </c>
      <c r="I2996" t="n">
        <v>0</v>
      </c>
      <c r="J2996" t="n">
        <v>0</v>
      </c>
      <c r="K2996" t="n">
        <v>0</v>
      </c>
      <c r="L2996" t="n">
        <v>0</v>
      </c>
      <c r="M2996" t="n">
        <v>0</v>
      </c>
      <c r="N2996" t="n">
        <v>0</v>
      </c>
      <c r="O2996" t="n">
        <v>0</v>
      </c>
      <c r="P2996" t="n">
        <v>0</v>
      </c>
      <c r="Q2996" t="n">
        <v>0</v>
      </c>
      <c r="R2996" s="2" t="inlineStr"/>
    </row>
    <row r="2997" ht="15" customHeight="1">
      <c r="A2997" t="inlineStr">
        <is>
          <t>A 1747-2025</t>
        </is>
      </c>
      <c r="B2997" s="1" t="n">
        <v>45671</v>
      </c>
      <c r="C2997" s="1" t="n">
        <v>45697</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2104-2025</t>
        </is>
      </c>
      <c r="B2998" s="1" t="n">
        <v>45672</v>
      </c>
      <c r="C2998" s="1" t="n">
        <v>45697</v>
      </c>
      <c r="D2998" t="inlineStr">
        <is>
          <t>VÄSTERNORRLANDS LÄN</t>
        </is>
      </c>
      <c r="E2998" t="inlineStr">
        <is>
          <t>SUNDSVALL</t>
        </is>
      </c>
      <c r="F2998" t="inlineStr">
        <is>
          <t>SCA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45697</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2493-2025</t>
        </is>
      </c>
      <c r="B3000" s="1" t="n">
        <v>45674</v>
      </c>
      <c r="C3000" s="1" t="n">
        <v>45697</v>
      </c>
      <c r="D3000" t="inlineStr">
        <is>
          <t>VÄSTERNORRLANDS LÄN</t>
        </is>
      </c>
      <c r="E3000" t="inlineStr">
        <is>
          <t>SUNDSVALL</t>
        </is>
      </c>
      <c r="F3000" t="inlineStr">
        <is>
          <t>SCA</t>
        </is>
      </c>
      <c r="G3000" t="n">
        <v>39.6</v>
      </c>
      <c r="H3000" t="n">
        <v>0</v>
      </c>
      <c r="I3000" t="n">
        <v>0</v>
      </c>
      <c r="J3000" t="n">
        <v>0</v>
      </c>
      <c r="K3000" t="n">
        <v>0</v>
      </c>
      <c r="L3000" t="n">
        <v>0</v>
      </c>
      <c r="M3000" t="n">
        <v>0</v>
      </c>
      <c r="N3000" t="n">
        <v>0</v>
      </c>
      <c r="O3000" t="n">
        <v>0</v>
      </c>
      <c r="P3000" t="n">
        <v>0</v>
      </c>
      <c r="Q3000" t="n">
        <v>0</v>
      </c>
      <c r="R3000" s="2" t="inlineStr"/>
    </row>
    <row r="3001" ht="15" customHeight="1">
      <c r="A3001" t="inlineStr">
        <is>
          <t>A 2427-2025</t>
        </is>
      </c>
      <c r="B3001" s="1" t="n">
        <v>45674</v>
      </c>
      <c r="C3001" s="1" t="n">
        <v>45697</v>
      </c>
      <c r="D3001" t="inlineStr">
        <is>
          <t>VÄSTERNORRLANDS LÄN</t>
        </is>
      </c>
      <c r="E3001" t="inlineStr">
        <is>
          <t>SUNDSVALL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2591-2025</t>
        </is>
      </c>
      <c r="B3002" s="1" t="n">
        <v>45674</v>
      </c>
      <c r="C3002" s="1" t="n">
        <v>45697</v>
      </c>
      <c r="D3002" t="inlineStr">
        <is>
          <t>VÄSTERNORRLANDS LÄN</t>
        </is>
      </c>
      <c r="E3002" t="inlineStr">
        <is>
          <t>SUNDSVALL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2595-2025</t>
        </is>
      </c>
      <c r="B3003" s="1" t="n">
        <v>45674</v>
      </c>
      <c r="C3003" s="1" t="n">
        <v>45697</v>
      </c>
      <c r="D3003" t="inlineStr">
        <is>
          <t>VÄSTERNORRLANDS LÄN</t>
        </is>
      </c>
      <c r="E3003" t="inlineStr">
        <is>
          <t>SUNDSVALL</t>
        </is>
      </c>
      <c r="F3003" t="inlineStr">
        <is>
          <t>Kommuner</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2494-2025</t>
        </is>
      </c>
      <c r="B3004" s="1" t="n">
        <v>45674</v>
      </c>
      <c r="C3004" s="1" t="n">
        <v>45697</v>
      </c>
      <c r="D3004" t="inlineStr">
        <is>
          <t>VÄSTERNORRLANDS LÄN</t>
        </is>
      </c>
      <c r="E3004" t="inlineStr">
        <is>
          <t>SUNDSVALL</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2577-2025</t>
        </is>
      </c>
      <c r="B3005" s="1" t="n">
        <v>45674</v>
      </c>
      <c r="C3005" s="1" t="n">
        <v>45697</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2585-2025</t>
        </is>
      </c>
      <c r="B3006" s="1" t="n">
        <v>45674</v>
      </c>
      <c r="C3006" s="1" t="n">
        <v>45697</v>
      </c>
      <c r="D3006" t="inlineStr">
        <is>
          <t>VÄSTERNORRLANDS LÄN</t>
        </is>
      </c>
      <c r="E3006" t="inlineStr">
        <is>
          <t>SUNDSVALL</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2589-2025</t>
        </is>
      </c>
      <c r="B3007" s="1" t="n">
        <v>45674</v>
      </c>
      <c r="C3007" s="1" t="n">
        <v>45697</v>
      </c>
      <c r="D3007" t="inlineStr">
        <is>
          <t>VÄSTERNORRLANDS LÄN</t>
        </is>
      </c>
      <c r="E3007" t="inlineStr">
        <is>
          <t>SUNDSVALL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2594-2025</t>
        </is>
      </c>
      <c r="B3008" s="1" t="n">
        <v>45674</v>
      </c>
      <c r="C3008" s="1" t="n">
        <v>45697</v>
      </c>
      <c r="D3008" t="inlineStr">
        <is>
          <t>VÄSTERNORRLANDS LÄN</t>
        </is>
      </c>
      <c r="E3008" t="inlineStr">
        <is>
          <t>SUNDSVALL</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2711-2025</t>
        </is>
      </c>
      <c r="B3009" s="1" t="n">
        <v>45677</v>
      </c>
      <c r="C3009" s="1" t="n">
        <v>45697</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2779-2025</t>
        </is>
      </c>
      <c r="B3010" s="1" t="n">
        <v>45677</v>
      </c>
      <c r="C3010" s="1" t="n">
        <v>45697</v>
      </c>
      <c r="D3010" t="inlineStr">
        <is>
          <t>VÄSTERNORRLANDS LÄN</t>
        </is>
      </c>
      <c r="E3010" t="inlineStr">
        <is>
          <t>SUNDSVALL</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2785-2025</t>
        </is>
      </c>
      <c r="B3011" s="1" t="n">
        <v>45677</v>
      </c>
      <c r="C3011" s="1" t="n">
        <v>45697</v>
      </c>
      <c r="D3011" t="inlineStr">
        <is>
          <t>VÄSTERNORRLANDS LÄN</t>
        </is>
      </c>
      <c r="E3011" t="inlineStr">
        <is>
          <t>SUNDSVALL</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45697</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2880-2025</t>
        </is>
      </c>
      <c r="B3013" s="1" t="n">
        <v>45677</v>
      </c>
      <c r="C3013" s="1" t="n">
        <v>45697</v>
      </c>
      <c r="D3013" t="inlineStr">
        <is>
          <t>VÄSTERNORRLANDS LÄN</t>
        </is>
      </c>
      <c r="E3013" t="inlineStr">
        <is>
          <t>SUNDSVALL</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2831-2025</t>
        </is>
      </c>
      <c r="B3014" s="1" t="n">
        <v>45677</v>
      </c>
      <c r="C3014" s="1" t="n">
        <v>45697</v>
      </c>
      <c r="D3014" t="inlineStr">
        <is>
          <t>VÄSTERNORRLANDS LÄN</t>
        </is>
      </c>
      <c r="E3014" t="inlineStr">
        <is>
          <t>SUNDSVALL</t>
        </is>
      </c>
      <c r="G3014" t="n">
        <v>14.5</v>
      </c>
      <c r="H3014" t="n">
        <v>0</v>
      </c>
      <c r="I3014" t="n">
        <v>0</v>
      </c>
      <c r="J3014" t="n">
        <v>0</v>
      </c>
      <c r="K3014" t="n">
        <v>0</v>
      </c>
      <c r="L3014" t="n">
        <v>0</v>
      </c>
      <c r="M3014" t="n">
        <v>0</v>
      </c>
      <c r="N3014" t="n">
        <v>0</v>
      </c>
      <c r="O3014" t="n">
        <v>0</v>
      </c>
      <c r="P3014" t="n">
        <v>0</v>
      </c>
      <c r="Q3014" t="n">
        <v>0</v>
      </c>
      <c r="R3014" s="2" t="inlineStr"/>
    </row>
    <row r="3015" ht="15" customHeight="1">
      <c r="A3015" t="inlineStr">
        <is>
          <t>A 2881-2025</t>
        </is>
      </c>
      <c r="B3015" s="1" t="n">
        <v>45677</v>
      </c>
      <c r="C3015" s="1" t="n">
        <v>45697</v>
      </c>
      <c r="D3015" t="inlineStr">
        <is>
          <t>VÄSTERNORRLANDS LÄN</t>
        </is>
      </c>
      <c r="E3015" t="inlineStr">
        <is>
          <t>SUNDSVALL</t>
        </is>
      </c>
      <c r="F3015" t="inlineStr">
        <is>
          <t>SCA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2959-2025</t>
        </is>
      </c>
      <c r="B3016" s="1" t="n">
        <v>45678</v>
      </c>
      <c r="C3016" s="1" t="n">
        <v>45697</v>
      </c>
      <c r="D3016" t="inlineStr">
        <is>
          <t>VÄSTERNORRLANDS LÄN</t>
        </is>
      </c>
      <c r="E3016" t="inlineStr">
        <is>
          <t>SUNDSVALL</t>
        </is>
      </c>
      <c r="F3016" t="inlineStr">
        <is>
          <t>SCA</t>
        </is>
      </c>
      <c r="G3016" t="n">
        <v>21.5</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45697</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3188-2025</t>
        </is>
      </c>
      <c r="B3018" s="1" t="n">
        <v>45679</v>
      </c>
      <c r="C3018" s="1" t="n">
        <v>45697</v>
      </c>
      <c r="D3018" t="inlineStr">
        <is>
          <t>VÄSTERNORRLANDS LÄN</t>
        </is>
      </c>
      <c r="E3018" t="inlineStr">
        <is>
          <t>SUNDSVALL</t>
        </is>
      </c>
      <c r="F3018" t="inlineStr">
        <is>
          <t>SCA</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3214-2025</t>
        </is>
      </c>
      <c r="B3019" s="1" t="n">
        <v>45679</v>
      </c>
      <c r="C3019" s="1" t="n">
        <v>45697</v>
      </c>
      <c r="D3019" t="inlineStr">
        <is>
          <t>VÄSTERNORRLANDS LÄN</t>
        </is>
      </c>
      <c r="E3019" t="inlineStr">
        <is>
          <t>SUNDSVALL</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3217-2025</t>
        </is>
      </c>
      <c r="B3020" s="1" t="n">
        <v>45679</v>
      </c>
      <c r="C3020" s="1" t="n">
        <v>45697</v>
      </c>
      <c r="D3020" t="inlineStr">
        <is>
          <t>VÄSTERNORRLANDS LÄN</t>
        </is>
      </c>
      <c r="E3020" t="inlineStr">
        <is>
          <t>SUNDSVALL</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3293-2025</t>
        </is>
      </c>
      <c r="B3021" s="1" t="n">
        <v>45679</v>
      </c>
      <c r="C3021" s="1" t="n">
        <v>45697</v>
      </c>
      <c r="D3021" t="inlineStr">
        <is>
          <t>VÄSTERNORRLANDS LÄN</t>
        </is>
      </c>
      <c r="E3021" t="inlineStr">
        <is>
          <t>SUNDSVALL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3215-2025</t>
        </is>
      </c>
      <c r="B3022" s="1" t="n">
        <v>45679</v>
      </c>
      <c r="C3022" s="1" t="n">
        <v>45697</v>
      </c>
      <c r="D3022" t="inlineStr">
        <is>
          <t>VÄSTERNORRLANDS LÄN</t>
        </is>
      </c>
      <c r="E3022" t="inlineStr">
        <is>
          <t>SUNDSVALL</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3326-2025</t>
        </is>
      </c>
      <c r="B3023" s="1" t="n">
        <v>45679</v>
      </c>
      <c r="C3023" s="1" t="n">
        <v>45697</v>
      </c>
      <c r="D3023" t="inlineStr">
        <is>
          <t>VÄSTERNORRLANDS LÄN</t>
        </is>
      </c>
      <c r="E3023" t="inlineStr">
        <is>
          <t>SUNDSVALL</t>
        </is>
      </c>
      <c r="F3023" t="inlineStr">
        <is>
          <t>SCA</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3216-2025</t>
        </is>
      </c>
      <c r="B3024" s="1" t="n">
        <v>45679</v>
      </c>
      <c r="C3024" s="1" t="n">
        <v>45697</v>
      </c>
      <c r="D3024" t="inlineStr">
        <is>
          <t>VÄSTERNORRLANDS LÄN</t>
        </is>
      </c>
      <c r="E3024" t="inlineStr">
        <is>
          <t>SUNDSVALL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3232-2025</t>
        </is>
      </c>
      <c r="B3025" s="1" t="n">
        <v>45679</v>
      </c>
      <c r="C3025" s="1" t="n">
        <v>45697</v>
      </c>
      <c r="D3025" t="inlineStr">
        <is>
          <t>VÄSTERNORRLANDS LÄN</t>
        </is>
      </c>
      <c r="E3025" t="inlineStr">
        <is>
          <t>SUNDSVALL</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45697</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45697</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45697</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45697</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3670-2025</t>
        </is>
      </c>
      <c r="B3030" s="1" t="n">
        <v>45681</v>
      </c>
      <c r="C3030" s="1" t="n">
        <v>45697</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3740-2025</t>
        </is>
      </c>
      <c r="B3031" s="1" t="n">
        <v>45681</v>
      </c>
      <c r="C3031" s="1" t="n">
        <v>45697</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3696-2025</t>
        </is>
      </c>
      <c r="B3032" s="1" t="n">
        <v>45681</v>
      </c>
      <c r="C3032" s="1" t="n">
        <v>45697</v>
      </c>
      <c r="D3032" t="inlineStr">
        <is>
          <t>VÄSTERNORRLANDS LÄN</t>
        </is>
      </c>
      <c r="E3032" t="inlineStr">
        <is>
          <t>SUNDSVALL</t>
        </is>
      </c>
      <c r="F3032" t="inlineStr">
        <is>
          <t>SCA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3713-2025</t>
        </is>
      </c>
      <c r="B3033" s="1" t="n">
        <v>45681</v>
      </c>
      <c r="C3033" s="1" t="n">
        <v>45697</v>
      </c>
      <c r="D3033" t="inlineStr">
        <is>
          <t>VÄSTERNORRLANDS LÄN</t>
        </is>
      </c>
      <c r="E3033" t="inlineStr">
        <is>
          <t>SUNDSVALL</t>
        </is>
      </c>
      <c r="F3033" t="inlineStr">
        <is>
          <t>SCA</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3772-2025</t>
        </is>
      </c>
      <c r="B3034" s="1" t="n">
        <v>45681</v>
      </c>
      <c r="C3034" s="1" t="n">
        <v>45697</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45697</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3967-2025</t>
        </is>
      </c>
      <c r="B3036" s="1" t="n">
        <v>45684</v>
      </c>
      <c r="C3036" s="1" t="n">
        <v>45697</v>
      </c>
      <c r="D3036" t="inlineStr">
        <is>
          <t>VÄSTERNORRLANDS LÄN</t>
        </is>
      </c>
      <c r="E3036" t="inlineStr">
        <is>
          <t>SUNDSVALL</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45697</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3948-2025</t>
        </is>
      </c>
      <c r="B3038" s="1" t="n">
        <v>45684</v>
      </c>
      <c r="C3038" s="1" t="n">
        <v>45697</v>
      </c>
      <c r="D3038" t="inlineStr">
        <is>
          <t>VÄSTERNORRLANDS LÄN</t>
        </is>
      </c>
      <c r="E3038" t="inlineStr">
        <is>
          <t>SUNDSVALL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3962-2025</t>
        </is>
      </c>
      <c r="B3039" s="1" t="n">
        <v>45684</v>
      </c>
      <c r="C3039" s="1" t="n">
        <v>45697</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45697</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4815-2025</t>
        </is>
      </c>
      <c r="B3041" s="1" t="n">
        <v>45688</v>
      </c>
      <c r="C3041" s="1" t="n">
        <v>45697</v>
      </c>
      <c r="D3041" t="inlineStr">
        <is>
          <t>VÄSTERNORRLANDS LÄN</t>
        </is>
      </c>
      <c r="E3041" t="inlineStr">
        <is>
          <t>SUNDSVALL</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4784-2025</t>
        </is>
      </c>
      <c r="B3042" s="1" t="n">
        <v>45688</v>
      </c>
      <c r="C3042" s="1" t="n">
        <v>45697</v>
      </c>
      <c r="D3042" t="inlineStr">
        <is>
          <t>VÄSTERNORRLANDS LÄN</t>
        </is>
      </c>
      <c r="E3042" t="inlineStr">
        <is>
          <t>SUNDSVALL</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4853-2025</t>
        </is>
      </c>
      <c r="B3043" s="1" t="n">
        <v>45688</v>
      </c>
      <c r="C3043" s="1" t="n">
        <v>45697</v>
      </c>
      <c r="D3043" t="inlineStr">
        <is>
          <t>VÄSTERNORRLANDS LÄN</t>
        </is>
      </c>
      <c r="E3043" t="inlineStr">
        <is>
          <t>SUNDSVALL</t>
        </is>
      </c>
      <c r="F3043" t="inlineStr">
        <is>
          <t>SCA</t>
        </is>
      </c>
      <c r="G3043" t="n">
        <v>18.3</v>
      </c>
      <c r="H3043" t="n">
        <v>0</v>
      </c>
      <c r="I3043" t="n">
        <v>0</v>
      </c>
      <c r="J3043" t="n">
        <v>0</v>
      </c>
      <c r="K3043" t="n">
        <v>0</v>
      </c>
      <c r="L3043" t="n">
        <v>0</v>
      </c>
      <c r="M3043" t="n">
        <v>0</v>
      </c>
      <c r="N3043" t="n">
        <v>0</v>
      </c>
      <c r="O3043" t="n">
        <v>0</v>
      </c>
      <c r="P3043" t="n">
        <v>0</v>
      </c>
      <c r="Q3043" t="n">
        <v>0</v>
      </c>
      <c r="R3043" s="2" t="inlineStr"/>
    </row>
    <row r="3044" ht="15" customHeight="1">
      <c r="A3044" t="inlineStr">
        <is>
          <t>A 4865-2025</t>
        </is>
      </c>
      <c r="B3044" s="1" t="n">
        <v>45688</v>
      </c>
      <c r="C3044" s="1" t="n">
        <v>45697</v>
      </c>
      <c r="D3044" t="inlineStr">
        <is>
          <t>VÄSTERNORRLANDS LÄN</t>
        </is>
      </c>
      <c r="E3044" t="inlineStr">
        <is>
          <t>SUNDSVALL</t>
        </is>
      </c>
      <c r="F3044" t="inlineStr">
        <is>
          <t>SCA</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4810-2025</t>
        </is>
      </c>
      <c r="B3045" s="1" t="n">
        <v>45688</v>
      </c>
      <c r="C3045" s="1" t="n">
        <v>45697</v>
      </c>
      <c r="D3045" t="inlineStr">
        <is>
          <t>VÄSTERNORRLANDS LÄN</t>
        </is>
      </c>
      <c r="E3045" t="inlineStr">
        <is>
          <t>SUNDSVALL</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4871-2025</t>
        </is>
      </c>
      <c r="B3046" s="1" t="n">
        <v>45688</v>
      </c>
      <c r="C3046" s="1" t="n">
        <v>45697</v>
      </c>
      <c r="D3046" t="inlineStr">
        <is>
          <t>VÄSTERNORRLANDS LÄN</t>
        </is>
      </c>
      <c r="E3046" t="inlineStr">
        <is>
          <t>SUNDSVALL</t>
        </is>
      </c>
      <c r="F3046" t="inlineStr">
        <is>
          <t>SCA</t>
        </is>
      </c>
      <c r="G3046" t="n">
        <v>11.5</v>
      </c>
      <c r="H3046" t="n">
        <v>0</v>
      </c>
      <c r="I3046" t="n">
        <v>0</v>
      </c>
      <c r="J3046" t="n">
        <v>0</v>
      </c>
      <c r="K3046" t="n">
        <v>0</v>
      </c>
      <c r="L3046" t="n">
        <v>0</v>
      </c>
      <c r="M3046" t="n">
        <v>0</v>
      </c>
      <c r="N3046" t="n">
        <v>0</v>
      </c>
      <c r="O3046" t="n">
        <v>0</v>
      </c>
      <c r="P3046" t="n">
        <v>0</v>
      </c>
      <c r="Q3046" t="n">
        <v>0</v>
      </c>
      <c r="R3046" s="2" t="inlineStr"/>
    </row>
    <row r="3047" ht="15" customHeight="1">
      <c r="A3047" t="inlineStr">
        <is>
          <t>A 4888-2025</t>
        </is>
      </c>
      <c r="B3047" s="1" t="n">
        <v>45688</v>
      </c>
      <c r="C3047" s="1" t="n">
        <v>45697</v>
      </c>
      <c r="D3047" t="inlineStr">
        <is>
          <t>VÄSTERNORRLANDS LÄN</t>
        </is>
      </c>
      <c r="E3047" t="inlineStr">
        <is>
          <t>SUNDSVALL</t>
        </is>
      </c>
      <c r="F3047" t="inlineStr">
        <is>
          <t>SCA</t>
        </is>
      </c>
      <c r="G3047" t="n">
        <v>8.6</v>
      </c>
      <c r="H3047" t="n">
        <v>0</v>
      </c>
      <c r="I3047" t="n">
        <v>0</v>
      </c>
      <c r="J3047" t="n">
        <v>0</v>
      </c>
      <c r="K3047" t="n">
        <v>0</v>
      </c>
      <c r="L3047" t="n">
        <v>0</v>
      </c>
      <c r="M3047" t="n">
        <v>0</v>
      </c>
      <c r="N3047" t="n">
        <v>0</v>
      </c>
      <c r="O3047" t="n">
        <v>0</v>
      </c>
      <c r="P3047" t="n">
        <v>0</v>
      </c>
      <c r="Q3047" t="n">
        <v>0</v>
      </c>
      <c r="R3047" s="2" t="inlineStr"/>
    </row>
    <row r="3048" ht="15" customHeight="1">
      <c r="A3048" t="inlineStr">
        <is>
          <t>A 4900-2025</t>
        </is>
      </c>
      <c r="B3048" s="1" t="n">
        <v>45688</v>
      </c>
      <c r="C3048" s="1" t="n">
        <v>45697</v>
      </c>
      <c r="D3048" t="inlineStr">
        <is>
          <t>VÄSTERNORRLANDS LÄN</t>
        </is>
      </c>
      <c r="E3048" t="inlineStr">
        <is>
          <t>SUNDSVALL</t>
        </is>
      </c>
      <c r="F3048" t="inlineStr">
        <is>
          <t>SCA</t>
        </is>
      </c>
      <c r="G3048" t="n">
        <v>10.4</v>
      </c>
      <c r="H3048" t="n">
        <v>0</v>
      </c>
      <c r="I3048" t="n">
        <v>0</v>
      </c>
      <c r="J3048" t="n">
        <v>0</v>
      </c>
      <c r="K3048" t="n">
        <v>0</v>
      </c>
      <c r="L3048" t="n">
        <v>0</v>
      </c>
      <c r="M3048" t="n">
        <v>0</v>
      </c>
      <c r="N3048" t="n">
        <v>0</v>
      </c>
      <c r="O3048" t="n">
        <v>0</v>
      </c>
      <c r="P3048" t="n">
        <v>0</v>
      </c>
      <c r="Q3048" t="n">
        <v>0</v>
      </c>
      <c r="R3048" s="2" t="inlineStr"/>
    </row>
    <row r="3049" ht="15" customHeight="1">
      <c r="A3049" t="inlineStr">
        <is>
          <t>A 4917-2025</t>
        </is>
      </c>
      <c r="B3049" s="1" t="n">
        <v>45688</v>
      </c>
      <c r="C3049" s="1" t="n">
        <v>45697</v>
      </c>
      <c r="D3049" t="inlineStr">
        <is>
          <t>VÄSTERNORRLANDS LÄN</t>
        </is>
      </c>
      <c r="E3049" t="inlineStr">
        <is>
          <t>SUNDSVALL</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4933-2025</t>
        </is>
      </c>
      <c r="B3050" s="1" t="n">
        <v>45688</v>
      </c>
      <c r="C3050" s="1" t="n">
        <v>45697</v>
      </c>
      <c r="D3050" t="inlineStr">
        <is>
          <t>VÄSTERNORRLANDS LÄN</t>
        </is>
      </c>
      <c r="E3050" t="inlineStr">
        <is>
          <t>SUNDSVALL</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4813-2025</t>
        </is>
      </c>
      <c r="B3051" s="1" t="n">
        <v>45688</v>
      </c>
      <c r="C3051" s="1" t="n">
        <v>45697</v>
      </c>
      <c r="D3051" t="inlineStr">
        <is>
          <t>VÄSTERNORRLANDS LÄN</t>
        </is>
      </c>
      <c r="E3051" t="inlineStr">
        <is>
          <t>SUNDSVALL</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4932-2025</t>
        </is>
      </c>
      <c r="B3052" s="1" t="n">
        <v>45688</v>
      </c>
      <c r="C3052" s="1" t="n">
        <v>45697</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4906-2025</t>
        </is>
      </c>
      <c r="B3053" s="1" t="n">
        <v>45688</v>
      </c>
      <c r="C3053" s="1" t="n">
        <v>45697</v>
      </c>
      <c r="D3053" t="inlineStr">
        <is>
          <t>VÄSTERNORRLANDS LÄN</t>
        </is>
      </c>
      <c r="E3053" t="inlineStr">
        <is>
          <t>SUNDSVALL</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4890-2025</t>
        </is>
      </c>
      <c r="B3054" s="1" t="n">
        <v>45688</v>
      </c>
      <c r="C3054" s="1" t="n">
        <v>45697</v>
      </c>
      <c r="D3054" t="inlineStr">
        <is>
          <t>VÄSTERNORRLANDS LÄN</t>
        </is>
      </c>
      <c r="E3054" t="inlineStr">
        <is>
          <t>SUNDSVALL</t>
        </is>
      </c>
      <c r="F3054" t="inlineStr">
        <is>
          <t>SCA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5023-2025</t>
        </is>
      </c>
      <c r="B3055" s="1" t="n">
        <v>45691</v>
      </c>
      <c r="C3055" s="1" t="n">
        <v>45697</v>
      </c>
      <c r="D3055" t="inlineStr">
        <is>
          <t>VÄSTERNORRLANDS LÄN</t>
        </is>
      </c>
      <c r="E3055" t="inlineStr">
        <is>
          <t>SUNDSVALL</t>
        </is>
      </c>
      <c r="F3055" t="inlineStr">
        <is>
          <t>SCA</t>
        </is>
      </c>
      <c r="G3055" t="n">
        <v>15.7</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45697</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5022-2025</t>
        </is>
      </c>
      <c r="B3057" s="1" t="n">
        <v>45691</v>
      </c>
      <c r="C3057" s="1" t="n">
        <v>45697</v>
      </c>
      <c r="D3057" t="inlineStr">
        <is>
          <t>VÄSTERNORRLANDS LÄN</t>
        </is>
      </c>
      <c r="E3057" t="inlineStr">
        <is>
          <t>SUNDSVALL</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45697</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45697</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5362-2025</t>
        </is>
      </c>
      <c r="B3060" s="1" t="n">
        <v>45692</v>
      </c>
      <c r="C3060" s="1" t="n">
        <v>45697</v>
      </c>
      <c r="D3060" t="inlineStr">
        <is>
          <t>VÄSTERNORRLANDS LÄN</t>
        </is>
      </c>
      <c r="E3060" t="inlineStr">
        <is>
          <t>SUNDSVALL</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45697</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5314-2025</t>
        </is>
      </c>
      <c r="B3062" s="1" t="n">
        <v>45692</v>
      </c>
      <c r="C3062" s="1" t="n">
        <v>45697</v>
      </c>
      <c r="D3062" t="inlineStr">
        <is>
          <t>VÄSTERNORRLANDS LÄN</t>
        </is>
      </c>
      <c r="E3062" t="inlineStr">
        <is>
          <t>SUNDSVALL</t>
        </is>
      </c>
      <c r="F3062" t="inlineStr">
        <is>
          <t>SCA</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45697</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5569-2025</t>
        </is>
      </c>
      <c r="B3064" s="1" t="n">
        <v>45693</v>
      </c>
      <c r="C3064" s="1" t="n">
        <v>45697</v>
      </c>
      <c r="D3064" t="inlineStr">
        <is>
          <t>VÄSTERNORRLANDS LÄN</t>
        </is>
      </c>
      <c r="E3064" t="inlineStr">
        <is>
          <t>SUNDSVALL</t>
        </is>
      </c>
      <c r="F3064" t="inlineStr">
        <is>
          <t>SCA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45697</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5646-2025</t>
        </is>
      </c>
      <c r="B3066" s="1" t="n">
        <v>45693</v>
      </c>
      <c r="C3066" s="1" t="n">
        <v>45697</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45697</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45697</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c r="A3069" t="inlineStr">
        <is>
          <t>A 5857-2025</t>
        </is>
      </c>
      <c r="B3069" s="1" t="n">
        <v>45695</v>
      </c>
      <c r="C3069" s="1" t="n">
        <v>45697</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2025-02-09T17:08:07Z</dcterms:created>
  <dcterms:modified xmlns:dcterms="http://purl.org/dc/terms/" xmlns:xsi="http://www.w3.org/2001/XMLSchema-instance" xsi:type="dcterms:W3CDTF">2025-02-09T17:08:10Z</dcterms:modified>
</cp:coreProperties>
</file>