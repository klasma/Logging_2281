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45841</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45841</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45841</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45841</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45841</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45841</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45841</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45841</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45841</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45841</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45841</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45841</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45841</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45841</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45841</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45841</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45841</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45841</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45841</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45841</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45841</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45841</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45841</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45841</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45841</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45841</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45841</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45841</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45841</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45841</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45841</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45841</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45841</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45841</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45841</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45841</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45841</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45841</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45841</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45841</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45841</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45841</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45841</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45841</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45841</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45841</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45841</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45841</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45841</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45841</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45841</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45841</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32491-2025</t>
        </is>
      </c>
      <c r="B60" s="1" t="n">
        <v>45838</v>
      </c>
      <c r="C60" s="1" t="n">
        <v>45841</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HYPERLINK("https://klasma.github.io/Logging_222281/artfynd/A 32491-2025 artfynd.xlsx", "A 32491-2025")</f>
        <v/>
      </c>
      <c r="T60">
        <f>HYPERLINK("https://klasma.github.io/Logging_222281/kartor/A 32491-2025 karta.png", "A 32491-2025")</f>
        <v/>
      </c>
      <c r="V60">
        <f>HYPERLINK("https://klasma.github.io/Logging_222281/klagomål/A 32491-2025 FSC-klagomål.docx", "A 32491-2025")</f>
        <v/>
      </c>
      <c r="W60">
        <f>HYPERLINK("https://klasma.github.io/Logging_222281/klagomålsmail/A 32491-2025 FSC-klagomål mail.docx", "A 32491-2025")</f>
        <v/>
      </c>
      <c r="X60">
        <f>HYPERLINK("https://klasma.github.io/Logging_222281/tillsyn/A 32491-2025 tillsynsbegäran.docx", "A 32491-2025")</f>
        <v/>
      </c>
      <c r="Y60">
        <f>HYPERLINK("https://klasma.github.io/Logging_222281/tillsynsmail/A 32491-2025 tillsynsbegäran mail.docx", "A 32491-2025")</f>
        <v/>
      </c>
      <c r="Z60">
        <f>HYPERLINK("https://klasma.github.io/Logging_222281/fåglar/A 32491-2025 prioriterade fågelarter.docx", "A 32491-2025")</f>
        <v/>
      </c>
    </row>
    <row r="61" ht="15" customHeight="1">
      <c r="A61" t="inlineStr">
        <is>
          <t>A 8894-2020</t>
        </is>
      </c>
      <c r="B61" s="1" t="n">
        <v>43878</v>
      </c>
      <c r="C61" s="1" t="n">
        <v>45841</v>
      </c>
      <c r="D61" t="inlineStr">
        <is>
          <t>VÄSTERNORRLANDS LÄN</t>
        </is>
      </c>
      <c r="E61" t="inlineStr">
        <is>
          <t>SUNDSVALL</t>
        </is>
      </c>
      <c r="G61" t="n">
        <v>7.2</v>
      </c>
      <c r="H61" t="n">
        <v>6</v>
      </c>
      <c r="I61" t="n">
        <v>0</v>
      </c>
      <c r="J61" t="n">
        <v>3</v>
      </c>
      <c r="K61" t="n">
        <v>0</v>
      </c>
      <c r="L61" t="n">
        <v>0</v>
      </c>
      <c r="M61" t="n">
        <v>0</v>
      </c>
      <c r="N61" t="n">
        <v>0</v>
      </c>
      <c r="O61" t="n">
        <v>3</v>
      </c>
      <c r="P61" t="n">
        <v>0</v>
      </c>
      <c r="Q61" t="n">
        <v>6</v>
      </c>
      <c r="R61" s="2" t="inlineStr">
        <is>
          <t>Björktrast
Rödvingetrast
Utter
Gråspett
Orre
Sångsvan</t>
        </is>
      </c>
      <c r="S61">
        <f>HYPERLINK("https://klasma.github.io/Logging_2281/artfynd/A 8894-2020 artfynd.xlsx", "A 8894-2020")</f>
        <v/>
      </c>
      <c r="T61">
        <f>HYPERLINK("https://klasma.github.io/Logging_2281/kartor/A 8894-2020 karta.png", "A 8894-2020")</f>
        <v/>
      </c>
      <c r="V61">
        <f>HYPERLINK("https://klasma.github.io/Logging_2281/klagomål/A 8894-2020 FSC-klagomål.docx", "A 8894-2020")</f>
        <v/>
      </c>
      <c r="W61">
        <f>HYPERLINK("https://klasma.github.io/Logging_2281/klagomålsmail/A 8894-2020 FSC-klagomål mail.docx", "A 8894-2020")</f>
        <v/>
      </c>
      <c r="X61">
        <f>HYPERLINK("https://klasma.github.io/Logging_2281/tillsyn/A 8894-2020 tillsynsbegäran.docx", "A 8894-2020")</f>
        <v/>
      </c>
      <c r="Y61">
        <f>HYPERLINK("https://klasma.github.io/Logging_2281/tillsynsmail/A 8894-2020 tillsynsbegäran mail.docx", "A 8894-2020")</f>
        <v/>
      </c>
      <c r="Z61">
        <f>HYPERLINK("https://klasma.github.io/Logging_2281/fåglar/A 8894-2020 prioriterade fågelarter.docx", "A 8894-2020")</f>
        <v/>
      </c>
    </row>
    <row r="62" ht="15" customHeight="1">
      <c r="A62" t="inlineStr">
        <is>
          <t>A 58518-2022</t>
        </is>
      </c>
      <c r="B62" s="1" t="n">
        <v>44902</v>
      </c>
      <c r="C62" s="1" t="n">
        <v>45841</v>
      </c>
      <c r="D62" t="inlineStr">
        <is>
          <t>VÄSTERNORRLANDS LÄN</t>
        </is>
      </c>
      <c r="E62" t="inlineStr">
        <is>
          <t>SUNDSVALL</t>
        </is>
      </c>
      <c r="G62" t="n">
        <v>11.5</v>
      </c>
      <c r="H62" t="n">
        <v>6</v>
      </c>
      <c r="I62" t="n">
        <v>0</v>
      </c>
      <c r="J62" t="n">
        <v>6</v>
      </c>
      <c r="K62" t="n">
        <v>0</v>
      </c>
      <c r="L62" t="n">
        <v>0</v>
      </c>
      <c r="M62" t="n">
        <v>0</v>
      </c>
      <c r="N62" t="n">
        <v>0</v>
      </c>
      <c r="O62" t="n">
        <v>6</v>
      </c>
      <c r="P62" t="n">
        <v>0</v>
      </c>
      <c r="Q62" t="n">
        <v>6</v>
      </c>
      <c r="R62" s="2" t="inlineStr">
        <is>
          <t>Björktrast
Drillsnäppa
Havsörn
Spillkråka
Sötgräs
Tretåig hackspett</t>
        </is>
      </c>
      <c r="S62">
        <f>HYPERLINK("https://klasma.github.io/Logging_2281/artfynd/A 58518-2022 artfynd.xlsx", "A 58518-2022")</f>
        <v/>
      </c>
      <c r="T62">
        <f>HYPERLINK("https://klasma.github.io/Logging_2281/kartor/A 58518-2022 karta.png", "A 58518-2022")</f>
        <v/>
      </c>
      <c r="V62">
        <f>HYPERLINK("https://klasma.github.io/Logging_2281/klagomål/A 58518-2022 FSC-klagomål.docx", "A 58518-2022")</f>
        <v/>
      </c>
      <c r="W62">
        <f>HYPERLINK("https://klasma.github.io/Logging_2281/klagomålsmail/A 58518-2022 FSC-klagomål mail.docx", "A 58518-2022")</f>
        <v/>
      </c>
      <c r="X62">
        <f>HYPERLINK("https://klasma.github.io/Logging_2281/tillsyn/A 58518-2022 tillsynsbegäran.docx", "A 58518-2022")</f>
        <v/>
      </c>
      <c r="Y62">
        <f>HYPERLINK("https://klasma.github.io/Logging_2281/tillsynsmail/A 58518-2022 tillsynsbegäran mail.docx", "A 58518-2022")</f>
        <v/>
      </c>
      <c r="Z62">
        <f>HYPERLINK("https://klasma.github.io/Logging_2281/fåglar/A 58518-2022 prioriterade fågelarter.docx", "A 58518-2022")</f>
        <v/>
      </c>
    </row>
    <row r="63" ht="15" customHeight="1">
      <c r="A63" t="inlineStr">
        <is>
          <t>A 19016-2023</t>
        </is>
      </c>
      <c r="B63" s="1" t="n">
        <v>45045</v>
      </c>
      <c r="C63" s="1" t="n">
        <v>45841</v>
      </c>
      <c r="D63" t="inlineStr">
        <is>
          <t>VÄSTERNORRLANDS LÄN</t>
        </is>
      </c>
      <c r="E63" t="inlineStr">
        <is>
          <t>SUNDSVALL</t>
        </is>
      </c>
      <c r="F63" t="inlineStr">
        <is>
          <t>SCA</t>
        </is>
      </c>
      <c r="G63" t="n">
        <v>13.1</v>
      </c>
      <c r="H63" t="n">
        <v>3</v>
      </c>
      <c r="I63" t="n">
        <v>2</v>
      </c>
      <c r="J63" t="n">
        <v>2</v>
      </c>
      <c r="K63" t="n">
        <v>1</v>
      </c>
      <c r="L63" t="n">
        <v>0</v>
      </c>
      <c r="M63" t="n">
        <v>0</v>
      </c>
      <c r="N63" t="n">
        <v>0</v>
      </c>
      <c r="O63" t="n">
        <v>3</v>
      </c>
      <c r="P63" t="n">
        <v>1</v>
      </c>
      <c r="Q63" t="n">
        <v>6</v>
      </c>
      <c r="R63" s="2" t="inlineStr">
        <is>
          <t>Knärot
Granticka
Spillkråka
Bronshjon
Mörk husmossa
Blåsippa</t>
        </is>
      </c>
      <c r="S63">
        <f>HYPERLINK("https://klasma.github.io/Logging_2281/artfynd/A 19016-2023 artfynd.xlsx", "A 19016-2023")</f>
        <v/>
      </c>
      <c r="T63">
        <f>HYPERLINK("https://klasma.github.io/Logging_2281/kartor/A 19016-2023 karta.png", "A 19016-2023")</f>
        <v/>
      </c>
      <c r="U63">
        <f>HYPERLINK("https://klasma.github.io/Logging_2281/knärot/A 19016-2023 karta knärot.png", "A 19016-2023")</f>
        <v/>
      </c>
      <c r="V63">
        <f>HYPERLINK("https://klasma.github.io/Logging_2281/klagomål/A 19016-2023 FSC-klagomål.docx", "A 19016-2023")</f>
        <v/>
      </c>
      <c r="W63">
        <f>HYPERLINK("https://klasma.github.io/Logging_2281/klagomålsmail/A 19016-2023 FSC-klagomål mail.docx", "A 19016-2023")</f>
        <v/>
      </c>
      <c r="X63">
        <f>HYPERLINK("https://klasma.github.io/Logging_2281/tillsyn/A 19016-2023 tillsynsbegäran.docx", "A 19016-2023")</f>
        <v/>
      </c>
      <c r="Y63">
        <f>HYPERLINK("https://klasma.github.io/Logging_2281/tillsynsmail/A 19016-2023 tillsynsbegäran mail.docx", "A 19016-2023")</f>
        <v/>
      </c>
      <c r="Z63">
        <f>HYPERLINK("https://klasma.github.io/Logging_2281/fåglar/A 19016-2023 prioriterade fågelarter.docx", "A 19016-2023")</f>
        <v/>
      </c>
    </row>
    <row r="64" ht="15" customHeight="1">
      <c r="A64" t="inlineStr">
        <is>
          <t>A 25692-2023</t>
        </is>
      </c>
      <c r="B64" s="1" t="n">
        <v>45089</v>
      </c>
      <c r="C64" s="1" t="n">
        <v>45841</v>
      </c>
      <c r="D64" t="inlineStr">
        <is>
          <t>VÄSTERNORRLANDS LÄN</t>
        </is>
      </c>
      <c r="E64" t="inlineStr">
        <is>
          <t>SUNDSVALL</t>
        </is>
      </c>
      <c r="F64" t="inlineStr">
        <is>
          <t>SCA</t>
        </is>
      </c>
      <c r="G64" t="n">
        <v>12.2</v>
      </c>
      <c r="H64" t="n">
        <v>3</v>
      </c>
      <c r="I64" t="n">
        <v>3</v>
      </c>
      <c r="J64" t="n">
        <v>2</v>
      </c>
      <c r="K64" t="n">
        <v>0</v>
      </c>
      <c r="L64" t="n">
        <v>0</v>
      </c>
      <c r="M64" t="n">
        <v>0</v>
      </c>
      <c r="N64" t="n">
        <v>0</v>
      </c>
      <c r="O64" t="n">
        <v>2</v>
      </c>
      <c r="P64" t="n">
        <v>0</v>
      </c>
      <c r="Q64" t="n">
        <v>6</v>
      </c>
      <c r="R64" s="2" t="inlineStr">
        <is>
          <t>Garnlav
Skogsfru
Rödgul trumpetsvamp
Spindelblomster
Ögonpyrola
Fläcknycklar</t>
        </is>
      </c>
      <c r="S64">
        <f>HYPERLINK("https://klasma.github.io/Logging_2281/artfynd/A 25692-2023 artfynd.xlsx", "A 25692-2023")</f>
        <v/>
      </c>
      <c r="T64">
        <f>HYPERLINK("https://klasma.github.io/Logging_2281/kartor/A 25692-2023 karta.png", "A 25692-2023")</f>
        <v/>
      </c>
      <c r="V64">
        <f>HYPERLINK("https://klasma.github.io/Logging_2281/klagomål/A 25692-2023 FSC-klagomål.docx", "A 25692-2023")</f>
        <v/>
      </c>
      <c r="W64">
        <f>HYPERLINK("https://klasma.github.io/Logging_2281/klagomålsmail/A 25692-2023 FSC-klagomål mail.docx", "A 25692-2023")</f>
        <v/>
      </c>
      <c r="X64">
        <f>HYPERLINK("https://klasma.github.io/Logging_2281/tillsyn/A 25692-2023 tillsynsbegäran.docx", "A 25692-2023")</f>
        <v/>
      </c>
      <c r="Y64">
        <f>HYPERLINK("https://klasma.github.io/Logging_2281/tillsynsmail/A 25692-2023 tillsynsbegäran mail.docx", "A 25692-2023")</f>
        <v/>
      </c>
    </row>
    <row r="65" ht="15" customHeight="1">
      <c r="A65" t="inlineStr">
        <is>
          <t>A 48777-2023</t>
        </is>
      </c>
      <c r="B65" s="1" t="n">
        <v>45208</v>
      </c>
      <c r="C65" s="1" t="n">
        <v>45841</v>
      </c>
      <c r="D65" t="inlineStr">
        <is>
          <t>VÄSTERNORRLANDS LÄN</t>
        </is>
      </c>
      <c r="E65" t="inlineStr">
        <is>
          <t>SUNDSVALL</t>
        </is>
      </c>
      <c r="F65" t="inlineStr">
        <is>
          <t>SCA</t>
        </is>
      </c>
      <c r="G65" t="n">
        <v>2.3</v>
      </c>
      <c r="H65" t="n">
        <v>2</v>
      </c>
      <c r="I65" t="n">
        <v>2</v>
      </c>
      <c r="J65" t="n">
        <v>4</v>
      </c>
      <c r="K65" t="n">
        <v>0</v>
      </c>
      <c r="L65" t="n">
        <v>0</v>
      </c>
      <c r="M65" t="n">
        <v>0</v>
      </c>
      <c r="N65" t="n">
        <v>0</v>
      </c>
      <c r="O65" t="n">
        <v>4</v>
      </c>
      <c r="P65" t="n">
        <v>0</v>
      </c>
      <c r="Q65" t="n">
        <v>6</v>
      </c>
      <c r="R65" s="2" t="inlineStr">
        <is>
          <t>Granticka
Harticka
Spillkråka
Tretåig hackspett
Trådticka
Vedticka</t>
        </is>
      </c>
      <c r="S65">
        <f>HYPERLINK("https://klasma.github.io/Logging_2281/artfynd/A 48777-2023 artfynd.xlsx", "A 48777-2023")</f>
        <v/>
      </c>
      <c r="T65">
        <f>HYPERLINK("https://klasma.github.io/Logging_2281/kartor/A 48777-2023 karta.png", "A 48777-2023")</f>
        <v/>
      </c>
      <c r="V65">
        <f>HYPERLINK("https://klasma.github.io/Logging_2281/klagomål/A 48777-2023 FSC-klagomål.docx", "A 48777-2023")</f>
        <v/>
      </c>
      <c r="W65">
        <f>HYPERLINK("https://klasma.github.io/Logging_2281/klagomålsmail/A 48777-2023 FSC-klagomål mail.docx", "A 48777-2023")</f>
        <v/>
      </c>
      <c r="X65">
        <f>HYPERLINK("https://klasma.github.io/Logging_2281/tillsyn/A 48777-2023 tillsynsbegäran.docx", "A 48777-2023")</f>
        <v/>
      </c>
      <c r="Y65">
        <f>HYPERLINK("https://klasma.github.io/Logging_2281/tillsynsmail/A 48777-2023 tillsynsbegäran mail.docx", "A 48777-2023")</f>
        <v/>
      </c>
      <c r="Z65">
        <f>HYPERLINK("https://klasma.github.io/Logging_2281/fåglar/A 48777-2023 prioriterade fågelarter.docx", "A 48777-2023")</f>
        <v/>
      </c>
    </row>
    <row r="66" ht="15" customHeight="1">
      <c r="A66" t="inlineStr">
        <is>
          <t>A 23553-2024</t>
        </is>
      </c>
      <c r="B66" s="1" t="n">
        <v>45454</v>
      </c>
      <c r="C66" s="1" t="n">
        <v>45841</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33777-2024</t>
        </is>
      </c>
      <c r="B67" s="1" t="n">
        <v>45520</v>
      </c>
      <c r="C67" s="1" t="n">
        <v>45841</v>
      </c>
      <c r="D67" t="inlineStr">
        <is>
          <t>VÄSTERNORRLANDS LÄN</t>
        </is>
      </c>
      <c r="E67" t="inlineStr">
        <is>
          <t>SUNDSVALL</t>
        </is>
      </c>
      <c r="F67" t="inlineStr">
        <is>
          <t>SCA</t>
        </is>
      </c>
      <c r="G67" t="n">
        <v>7.5</v>
      </c>
      <c r="H67" t="n">
        <v>4</v>
      </c>
      <c r="I67" t="n">
        <v>0</v>
      </c>
      <c r="J67" t="n">
        <v>4</v>
      </c>
      <c r="K67" t="n">
        <v>1</v>
      </c>
      <c r="L67" t="n">
        <v>0</v>
      </c>
      <c r="M67" t="n">
        <v>0</v>
      </c>
      <c r="N67" t="n">
        <v>0</v>
      </c>
      <c r="O67" t="n">
        <v>5</v>
      </c>
      <c r="P67" t="n">
        <v>1</v>
      </c>
      <c r="Q67" t="n">
        <v>6</v>
      </c>
      <c r="R67" s="2" t="inlineStr">
        <is>
          <t>Knärot
Granticka
Spillkråka
Tretåig hackspett
Ullticka
Dubbelnycklar</t>
        </is>
      </c>
      <c r="S67">
        <f>HYPERLINK("https://klasma.github.io/Logging_2281/artfynd/A 33777-2024 artfynd.xlsx", "A 33777-2024")</f>
        <v/>
      </c>
      <c r="T67">
        <f>HYPERLINK("https://klasma.github.io/Logging_2281/kartor/A 33777-2024 karta.png", "A 33777-2024")</f>
        <v/>
      </c>
      <c r="U67">
        <f>HYPERLINK("https://klasma.github.io/Logging_2281/knärot/A 33777-2024 karta knärot.png", "A 33777-2024")</f>
        <v/>
      </c>
      <c r="V67">
        <f>HYPERLINK("https://klasma.github.io/Logging_2281/klagomål/A 33777-2024 FSC-klagomål.docx", "A 33777-2024")</f>
        <v/>
      </c>
      <c r="W67">
        <f>HYPERLINK("https://klasma.github.io/Logging_2281/klagomålsmail/A 33777-2024 FSC-klagomål mail.docx", "A 33777-2024")</f>
        <v/>
      </c>
      <c r="X67">
        <f>HYPERLINK("https://klasma.github.io/Logging_2281/tillsyn/A 33777-2024 tillsynsbegäran.docx", "A 33777-2024")</f>
        <v/>
      </c>
      <c r="Y67">
        <f>HYPERLINK("https://klasma.github.io/Logging_2281/tillsynsmail/A 33777-2024 tillsynsbegäran mail.docx", "A 33777-2024")</f>
        <v/>
      </c>
      <c r="Z67">
        <f>HYPERLINK("https://klasma.github.io/Logging_2281/fåglar/A 33777-2024 prioriterade fågelarter.docx", "A 33777-2024")</f>
        <v/>
      </c>
    </row>
    <row r="68" ht="15" customHeight="1">
      <c r="A68" t="inlineStr">
        <is>
          <t>A 43818-2024</t>
        </is>
      </c>
      <c r="B68" s="1" t="n">
        <v>45571</v>
      </c>
      <c r="C68" s="1" t="n">
        <v>45841</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46087-2024</t>
        </is>
      </c>
      <c r="B69" s="1" t="n">
        <v>45581</v>
      </c>
      <c r="C69" s="1" t="n">
        <v>45841</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55548-2024</t>
        </is>
      </c>
      <c r="B70" s="1" t="n">
        <v>45622</v>
      </c>
      <c r="C70" s="1" t="n">
        <v>45841</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27209-2025</t>
        </is>
      </c>
      <c r="B71" s="1" t="n">
        <v>45812</v>
      </c>
      <c r="C71" s="1" t="n">
        <v>45841</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HYPERLINK("https://klasma.github.io/Logging_222281/artfynd/A 27209-2025 artfynd.xlsx", "A 27209-2025")</f>
        <v/>
      </c>
      <c r="T71">
        <f>HYPERLINK("https://klasma.github.io/Logging_222281/kartor/A 27209-2025 karta.png", "A 27209-2025")</f>
        <v/>
      </c>
      <c r="V71">
        <f>HYPERLINK("https://klasma.github.io/Logging_222281/klagomål/A 27209-2025 FSC-klagomål.docx", "A 27209-2025")</f>
        <v/>
      </c>
      <c r="W71">
        <f>HYPERLINK("https://klasma.github.io/Logging_222281/klagomålsmail/A 27209-2025 FSC-klagomål mail.docx", "A 27209-2025")</f>
        <v/>
      </c>
      <c r="X71">
        <f>HYPERLINK("https://klasma.github.io/Logging_222281/tillsyn/A 27209-2025 tillsynsbegäran.docx", "A 27209-2025")</f>
        <v/>
      </c>
      <c r="Y71">
        <f>HYPERLINK("https://klasma.github.io/Logging_222281/tillsynsmail/A 27209-2025 tillsynsbegäran mail.docx", "A 27209-2025")</f>
        <v/>
      </c>
    </row>
    <row r="72" ht="15" customHeight="1">
      <c r="A72" t="inlineStr">
        <is>
          <t>A 32938-2025</t>
        </is>
      </c>
      <c r="B72" s="1" t="n">
        <v>45839</v>
      </c>
      <c r="C72" s="1" t="n">
        <v>45841</v>
      </c>
      <c r="D72" t="inlineStr">
        <is>
          <t>VÄSTERNORRLANDS LÄN</t>
        </is>
      </c>
      <c r="E72" t="inlineStr">
        <is>
          <t>SUNDSVALL</t>
        </is>
      </c>
      <c r="F72" t="inlineStr">
        <is>
          <t>SCA</t>
        </is>
      </c>
      <c r="G72" t="n">
        <v>2.4</v>
      </c>
      <c r="H72" t="n">
        <v>4</v>
      </c>
      <c r="I72" t="n">
        <v>0</v>
      </c>
      <c r="J72" t="n">
        <v>4</v>
      </c>
      <c r="K72" t="n">
        <v>1</v>
      </c>
      <c r="L72" t="n">
        <v>0</v>
      </c>
      <c r="M72" t="n">
        <v>0</v>
      </c>
      <c r="N72" t="n">
        <v>0</v>
      </c>
      <c r="O72" t="n">
        <v>5</v>
      </c>
      <c r="P72" t="n">
        <v>1</v>
      </c>
      <c r="Q72" t="n">
        <v>6</v>
      </c>
      <c r="R72" s="2" t="inlineStr">
        <is>
          <t>Knärot
Garnlav
Spillkråka
Tallticka
Tretåig hackspett
Revlummer</t>
        </is>
      </c>
      <c r="S72">
        <f>HYPERLINK("https://klasma.github.io/Logging_222281/artfynd/A 32938-2025 artfynd.xlsx", "A 32938-2025")</f>
        <v/>
      </c>
      <c r="T72">
        <f>HYPERLINK("https://klasma.github.io/Logging_222281/kartor/A 32938-2025 karta.png", "A 32938-2025")</f>
        <v/>
      </c>
      <c r="U72">
        <f>HYPERLINK("https://klasma.github.io/Logging_222281/knärot/A 32938-2025 karta knärot.png", "A 32938-2025")</f>
        <v/>
      </c>
      <c r="V72">
        <f>HYPERLINK("https://klasma.github.io/Logging_222281/klagomål/A 32938-2025 FSC-klagomål.docx", "A 32938-2025")</f>
        <v/>
      </c>
      <c r="W72">
        <f>HYPERLINK("https://klasma.github.io/Logging_222281/klagomålsmail/A 32938-2025 FSC-klagomål mail.docx", "A 32938-2025")</f>
        <v/>
      </c>
      <c r="X72">
        <f>HYPERLINK("https://klasma.github.io/Logging_222281/tillsyn/A 32938-2025 tillsynsbegäran.docx", "A 32938-2025")</f>
        <v/>
      </c>
      <c r="Y72">
        <f>HYPERLINK("https://klasma.github.io/Logging_222281/tillsynsmail/A 32938-2025 tillsynsbegäran mail.docx", "A 32938-2025")</f>
        <v/>
      </c>
      <c r="Z72">
        <f>HYPERLINK("https://klasma.github.io/Logging_222281/fåglar/A 32938-2025 prioriterade fågelarter.docx", "A 32938-2025")</f>
        <v/>
      </c>
    </row>
    <row r="73" ht="15" customHeight="1">
      <c r="A73" t="inlineStr">
        <is>
          <t>A 49980-2019</t>
        </is>
      </c>
      <c r="B73" s="1" t="n">
        <v>43733</v>
      </c>
      <c r="C73" s="1" t="n">
        <v>45841</v>
      </c>
      <c r="D73" t="inlineStr">
        <is>
          <t>VÄSTERNORRLANDS LÄN</t>
        </is>
      </c>
      <c r="E73" t="inlineStr">
        <is>
          <t>SUNDSVALL</t>
        </is>
      </c>
      <c r="G73" t="n">
        <v>6.3</v>
      </c>
      <c r="H73" t="n">
        <v>1</v>
      </c>
      <c r="I73" t="n">
        <v>0</v>
      </c>
      <c r="J73" t="n">
        <v>3</v>
      </c>
      <c r="K73" t="n">
        <v>2</v>
      </c>
      <c r="L73" t="n">
        <v>0</v>
      </c>
      <c r="M73" t="n">
        <v>0</v>
      </c>
      <c r="N73" t="n">
        <v>0</v>
      </c>
      <c r="O73" t="n">
        <v>5</v>
      </c>
      <c r="P73" t="n">
        <v>2</v>
      </c>
      <c r="Q73" t="n">
        <v>5</v>
      </c>
      <c r="R73" s="2" t="inlineStr">
        <is>
          <t>Knärot
Rynkskinn
Lunglav
Rosenticka
Ullticka</t>
        </is>
      </c>
      <c r="S73">
        <f>HYPERLINK("https://klasma.github.io/Logging_2281/artfynd/A 49980-2019 artfynd.xlsx", "A 49980-2019")</f>
        <v/>
      </c>
      <c r="T73">
        <f>HYPERLINK("https://klasma.github.io/Logging_2281/kartor/A 49980-2019 karta.png", "A 49980-2019")</f>
        <v/>
      </c>
      <c r="U73">
        <f>HYPERLINK("https://klasma.github.io/Logging_2281/knärot/A 49980-2019 karta knärot.png", "A 49980-2019")</f>
        <v/>
      </c>
      <c r="V73">
        <f>HYPERLINK("https://klasma.github.io/Logging_2281/klagomål/A 49980-2019 FSC-klagomål.docx", "A 49980-2019")</f>
        <v/>
      </c>
      <c r="W73">
        <f>HYPERLINK("https://klasma.github.io/Logging_2281/klagomålsmail/A 49980-2019 FSC-klagomål mail.docx", "A 49980-2019")</f>
        <v/>
      </c>
      <c r="X73">
        <f>HYPERLINK("https://klasma.github.io/Logging_2281/tillsyn/A 49980-2019 tillsynsbegäran.docx", "A 49980-2019")</f>
        <v/>
      </c>
      <c r="Y73">
        <f>HYPERLINK("https://klasma.github.io/Logging_2281/tillsynsmail/A 49980-2019 tillsynsbegäran mail.docx", "A 49980-2019")</f>
        <v/>
      </c>
    </row>
    <row r="74" ht="15" customHeight="1">
      <c r="A74" t="inlineStr">
        <is>
          <t>A 36967-2020</t>
        </is>
      </c>
      <c r="B74" s="1" t="n">
        <v>44053</v>
      </c>
      <c r="C74" s="1" t="n">
        <v>45841</v>
      </c>
      <c r="D74" t="inlineStr">
        <is>
          <t>VÄSTERNORRLANDS LÄN</t>
        </is>
      </c>
      <c r="E74" t="inlineStr">
        <is>
          <t>SUNDSVALL</t>
        </is>
      </c>
      <c r="F74" t="inlineStr">
        <is>
          <t>SCA</t>
        </is>
      </c>
      <c r="G74" t="n">
        <v>6.1</v>
      </c>
      <c r="H74" t="n">
        <v>1</v>
      </c>
      <c r="I74" t="n">
        <v>2</v>
      </c>
      <c r="J74" t="n">
        <v>2</v>
      </c>
      <c r="K74" t="n">
        <v>1</v>
      </c>
      <c r="L74" t="n">
        <v>0</v>
      </c>
      <c r="M74" t="n">
        <v>0</v>
      </c>
      <c r="N74" t="n">
        <v>0</v>
      </c>
      <c r="O74" t="n">
        <v>3</v>
      </c>
      <c r="P74" t="n">
        <v>1</v>
      </c>
      <c r="Q74" t="n">
        <v>5</v>
      </c>
      <c r="R74" s="2" t="inlineStr">
        <is>
          <t>Knärot
Granticka
Lunglav
Skogshakmossa
Stor aspticka</t>
        </is>
      </c>
      <c r="S74">
        <f>HYPERLINK("https://klasma.github.io/Logging_2281/artfynd/A 36967-2020 artfynd.xlsx", "A 36967-2020")</f>
        <v/>
      </c>
      <c r="T74">
        <f>HYPERLINK("https://klasma.github.io/Logging_2281/kartor/A 36967-2020 karta.png", "A 36967-2020")</f>
        <v/>
      </c>
      <c r="U74">
        <f>HYPERLINK("https://klasma.github.io/Logging_2281/knärot/A 36967-2020 karta knärot.png", "A 36967-2020")</f>
        <v/>
      </c>
      <c r="V74">
        <f>HYPERLINK("https://klasma.github.io/Logging_2281/klagomål/A 36967-2020 FSC-klagomål.docx", "A 36967-2020")</f>
        <v/>
      </c>
      <c r="W74">
        <f>HYPERLINK("https://klasma.github.io/Logging_2281/klagomålsmail/A 36967-2020 FSC-klagomål mail.docx", "A 36967-2020")</f>
        <v/>
      </c>
      <c r="X74">
        <f>HYPERLINK("https://klasma.github.io/Logging_2281/tillsyn/A 36967-2020 tillsynsbegäran.docx", "A 36967-2020")</f>
        <v/>
      </c>
      <c r="Y74">
        <f>HYPERLINK("https://klasma.github.io/Logging_2281/tillsynsmail/A 36967-2020 tillsynsbegäran mail.docx", "A 36967-2020")</f>
        <v/>
      </c>
    </row>
    <row r="75" ht="15" customHeight="1">
      <c r="A75" t="inlineStr">
        <is>
          <t>A 39080-2020</t>
        </is>
      </c>
      <c r="B75" s="1" t="n">
        <v>44062</v>
      </c>
      <c r="C75" s="1" t="n">
        <v>45841</v>
      </c>
      <c r="D75" t="inlineStr">
        <is>
          <t>VÄSTERNORRLANDS LÄN</t>
        </is>
      </c>
      <c r="E75" t="inlineStr">
        <is>
          <t>SUNDSVALL</t>
        </is>
      </c>
      <c r="F75" t="inlineStr">
        <is>
          <t>SCA</t>
        </is>
      </c>
      <c r="G75" t="n">
        <v>4.5</v>
      </c>
      <c r="H75" t="n">
        <v>2</v>
      </c>
      <c r="I75" t="n">
        <v>1</v>
      </c>
      <c r="J75" t="n">
        <v>2</v>
      </c>
      <c r="K75" t="n">
        <v>1</v>
      </c>
      <c r="L75" t="n">
        <v>0</v>
      </c>
      <c r="M75" t="n">
        <v>0</v>
      </c>
      <c r="N75" t="n">
        <v>0</v>
      </c>
      <c r="O75" t="n">
        <v>3</v>
      </c>
      <c r="P75" t="n">
        <v>1</v>
      </c>
      <c r="Q75" t="n">
        <v>5</v>
      </c>
      <c r="R75" s="2" t="inlineStr">
        <is>
          <t>Knärot
Lunglav
Skrovellav
Grönpyrola
Blåsippa</t>
        </is>
      </c>
      <c r="S75">
        <f>HYPERLINK("https://klasma.github.io/Logging_2281/artfynd/A 39080-2020 artfynd.xlsx", "A 39080-2020")</f>
        <v/>
      </c>
      <c r="T75">
        <f>HYPERLINK("https://klasma.github.io/Logging_2281/kartor/A 39080-2020 karta.png", "A 39080-2020")</f>
        <v/>
      </c>
      <c r="U75">
        <f>HYPERLINK("https://klasma.github.io/Logging_2281/knärot/A 39080-2020 karta knärot.png", "A 39080-2020")</f>
        <v/>
      </c>
      <c r="V75">
        <f>HYPERLINK("https://klasma.github.io/Logging_2281/klagomål/A 39080-2020 FSC-klagomål.docx", "A 39080-2020")</f>
        <v/>
      </c>
      <c r="W75">
        <f>HYPERLINK("https://klasma.github.io/Logging_2281/klagomålsmail/A 39080-2020 FSC-klagomål mail.docx", "A 39080-2020")</f>
        <v/>
      </c>
      <c r="X75">
        <f>HYPERLINK("https://klasma.github.io/Logging_2281/tillsyn/A 39080-2020 tillsynsbegäran.docx", "A 39080-2020")</f>
        <v/>
      </c>
      <c r="Y75">
        <f>HYPERLINK("https://klasma.github.io/Logging_2281/tillsynsmail/A 39080-2020 tillsynsbegäran mail.docx", "A 39080-2020")</f>
        <v/>
      </c>
    </row>
    <row r="76" ht="15" customHeight="1">
      <c r="A76" t="inlineStr">
        <is>
          <t>A 50152-2020</t>
        </is>
      </c>
      <c r="B76" s="1" t="n">
        <v>44104</v>
      </c>
      <c r="C76" s="1" t="n">
        <v>45841</v>
      </c>
      <c r="D76" t="inlineStr">
        <is>
          <t>VÄSTERNORRLANDS LÄN</t>
        </is>
      </c>
      <c r="E76" t="inlineStr">
        <is>
          <t>SUNDSVALL</t>
        </is>
      </c>
      <c r="G76" t="n">
        <v>9.199999999999999</v>
      </c>
      <c r="H76" t="n">
        <v>0</v>
      </c>
      <c r="I76" t="n">
        <v>0</v>
      </c>
      <c r="J76" t="n">
        <v>5</v>
      </c>
      <c r="K76" t="n">
        <v>0</v>
      </c>
      <c r="L76" t="n">
        <v>0</v>
      </c>
      <c r="M76" t="n">
        <v>0</v>
      </c>
      <c r="N76" t="n">
        <v>0</v>
      </c>
      <c r="O76" t="n">
        <v>5</v>
      </c>
      <c r="P76" t="n">
        <v>0</v>
      </c>
      <c r="Q76" t="n">
        <v>5</v>
      </c>
      <c r="R76" s="2" t="inlineStr">
        <is>
          <t>Garnlav
Kolflarnlav
Lunglav
Mörk kolflarnlav
Vaddporing</t>
        </is>
      </c>
      <c r="S76">
        <f>HYPERLINK("https://klasma.github.io/Logging_2281/artfynd/A 50152-2020 artfynd.xlsx", "A 50152-2020")</f>
        <v/>
      </c>
      <c r="T76">
        <f>HYPERLINK("https://klasma.github.io/Logging_2281/kartor/A 50152-2020 karta.png", "A 50152-2020")</f>
        <v/>
      </c>
      <c r="U76">
        <f>HYPERLINK("https://klasma.github.io/Logging_2281/knärot/A 50152-2020 karta knärot.png", "A 50152-2020")</f>
        <v/>
      </c>
      <c r="V76">
        <f>HYPERLINK("https://klasma.github.io/Logging_2281/klagomål/A 50152-2020 FSC-klagomål.docx", "A 50152-2020")</f>
        <v/>
      </c>
      <c r="W76">
        <f>HYPERLINK("https://klasma.github.io/Logging_2281/klagomålsmail/A 50152-2020 FSC-klagomål mail.docx", "A 50152-2020")</f>
        <v/>
      </c>
      <c r="X76">
        <f>HYPERLINK("https://klasma.github.io/Logging_2281/tillsyn/A 50152-2020 tillsynsbegäran.docx", "A 50152-2020")</f>
        <v/>
      </c>
      <c r="Y76">
        <f>HYPERLINK("https://klasma.github.io/Logging_2281/tillsynsmail/A 50152-2020 tillsynsbegäran mail.docx", "A 50152-2020")</f>
        <v/>
      </c>
    </row>
    <row r="77" ht="15" customHeight="1">
      <c r="A77" t="inlineStr">
        <is>
          <t>A 444-2021</t>
        </is>
      </c>
      <c r="B77" s="1" t="n">
        <v>44201</v>
      </c>
      <c r="C77" s="1" t="n">
        <v>45841</v>
      </c>
      <c r="D77" t="inlineStr">
        <is>
          <t>VÄSTERNORRLANDS LÄN</t>
        </is>
      </c>
      <c r="E77" t="inlineStr">
        <is>
          <t>SUNDSVALL</t>
        </is>
      </c>
      <c r="F77" t="inlineStr">
        <is>
          <t>SCA</t>
        </is>
      </c>
      <c r="G77" t="n">
        <v>1.8</v>
      </c>
      <c r="H77" t="n">
        <v>3</v>
      </c>
      <c r="I77" t="n">
        <v>0</v>
      </c>
      <c r="J77" t="n">
        <v>4</v>
      </c>
      <c r="K77" t="n">
        <v>0</v>
      </c>
      <c r="L77" t="n">
        <v>0</v>
      </c>
      <c r="M77" t="n">
        <v>0</v>
      </c>
      <c r="N77" t="n">
        <v>0</v>
      </c>
      <c r="O77" t="n">
        <v>4</v>
      </c>
      <c r="P77" t="n">
        <v>0</v>
      </c>
      <c r="Q77" t="n">
        <v>5</v>
      </c>
      <c r="R77" s="2" t="inlineStr">
        <is>
          <t>Garnlav
Spillkråka
Tretåig hackspett
Ullticka
Tjäder</t>
        </is>
      </c>
      <c r="S77">
        <f>HYPERLINK("https://klasma.github.io/Logging_2281/artfynd/A 444-2021 artfynd.xlsx", "A 444-2021")</f>
        <v/>
      </c>
      <c r="T77">
        <f>HYPERLINK("https://klasma.github.io/Logging_2281/kartor/A 444-2021 karta.png", "A 444-2021")</f>
        <v/>
      </c>
      <c r="V77">
        <f>HYPERLINK("https://klasma.github.io/Logging_2281/klagomål/A 444-2021 FSC-klagomål.docx", "A 444-2021")</f>
        <v/>
      </c>
      <c r="W77">
        <f>HYPERLINK("https://klasma.github.io/Logging_2281/klagomålsmail/A 444-2021 FSC-klagomål mail.docx", "A 444-2021")</f>
        <v/>
      </c>
      <c r="X77">
        <f>HYPERLINK("https://klasma.github.io/Logging_2281/tillsyn/A 444-2021 tillsynsbegäran.docx", "A 444-2021")</f>
        <v/>
      </c>
      <c r="Y77">
        <f>HYPERLINK("https://klasma.github.io/Logging_2281/tillsynsmail/A 444-2021 tillsynsbegäran mail.docx", "A 444-2021")</f>
        <v/>
      </c>
      <c r="Z77">
        <f>HYPERLINK("https://klasma.github.io/Logging_2281/fåglar/A 444-2021 prioriterade fågelarter.docx", "A 444-2021")</f>
        <v/>
      </c>
    </row>
    <row r="78" ht="15" customHeight="1">
      <c r="A78" t="inlineStr">
        <is>
          <t>A 7567-2021</t>
        </is>
      </c>
      <c r="B78" s="1" t="n">
        <v>44239</v>
      </c>
      <c r="C78" s="1" t="n">
        <v>45841</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55854-2022</t>
        </is>
      </c>
      <c r="B79" s="1" t="n">
        <v>44886</v>
      </c>
      <c r="C79" s="1" t="n">
        <v>45841</v>
      </c>
      <c r="D79" t="inlineStr">
        <is>
          <t>VÄSTERNORRLANDS LÄN</t>
        </is>
      </c>
      <c r="E79" t="inlineStr">
        <is>
          <t>SUNDSVALL</t>
        </is>
      </c>
      <c r="G79" t="n">
        <v>3.8</v>
      </c>
      <c r="H79" t="n">
        <v>2</v>
      </c>
      <c r="I79" t="n">
        <v>0</v>
      </c>
      <c r="J79" t="n">
        <v>2</v>
      </c>
      <c r="K79" t="n">
        <v>1</v>
      </c>
      <c r="L79" t="n">
        <v>0</v>
      </c>
      <c r="M79" t="n">
        <v>0</v>
      </c>
      <c r="N79" t="n">
        <v>0</v>
      </c>
      <c r="O79" t="n">
        <v>3</v>
      </c>
      <c r="P79" t="n">
        <v>1</v>
      </c>
      <c r="Q79" t="n">
        <v>5</v>
      </c>
      <c r="R79" s="2" t="inlineStr">
        <is>
          <t>Sanddraba
Sminkrot
Vårstarr
Pärluggla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22578-2023</t>
        </is>
      </c>
      <c r="B80" s="1" t="n">
        <v>45071</v>
      </c>
      <c r="C80" s="1" t="n">
        <v>45841</v>
      </c>
      <c r="D80" t="inlineStr">
        <is>
          <t>VÄSTERNORRLANDS LÄN</t>
        </is>
      </c>
      <c r="E80" t="inlineStr">
        <is>
          <t>SUNDSVALL</t>
        </is>
      </c>
      <c r="F80" t="inlineStr">
        <is>
          <t>Holmen skog AB</t>
        </is>
      </c>
      <c r="G80" t="n">
        <v>4.2</v>
      </c>
      <c r="H80" t="n">
        <v>0</v>
      </c>
      <c r="I80" t="n">
        <v>3</v>
      </c>
      <c r="J80" t="n">
        <v>2</v>
      </c>
      <c r="K80" t="n">
        <v>0</v>
      </c>
      <c r="L80" t="n">
        <v>0</v>
      </c>
      <c r="M80" t="n">
        <v>0</v>
      </c>
      <c r="N80" t="n">
        <v>0</v>
      </c>
      <c r="O80" t="n">
        <v>2</v>
      </c>
      <c r="P80" t="n">
        <v>0</v>
      </c>
      <c r="Q80" t="n">
        <v>5</v>
      </c>
      <c r="R80" s="2" t="inlineStr">
        <is>
          <t>Garnlav
Lunglav
Skinnlav
Stuplav
Tibast</t>
        </is>
      </c>
      <c r="S80">
        <f>HYPERLINK("https://klasma.github.io/Logging_2281/artfynd/A 22578-2023 artfynd.xlsx", "A 22578-2023")</f>
        <v/>
      </c>
      <c r="T80">
        <f>HYPERLINK("https://klasma.github.io/Logging_2281/kartor/A 22578-2023 karta.png", "A 22578-2023")</f>
        <v/>
      </c>
      <c r="V80">
        <f>HYPERLINK("https://klasma.github.io/Logging_2281/klagomål/A 22578-2023 FSC-klagomål.docx", "A 22578-2023")</f>
        <v/>
      </c>
      <c r="W80">
        <f>HYPERLINK("https://klasma.github.io/Logging_2281/klagomålsmail/A 22578-2023 FSC-klagomål mail.docx", "A 22578-2023")</f>
        <v/>
      </c>
      <c r="X80">
        <f>HYPERLINK("https://klasma.github.io/Logging_2281/tillsyn/A 22578-2023 tillsynsbegäran.docx", "A 22578-2023")</f>
        <v/>
      </c>
      <c r="Y80">
        <f>HYPERLINK("https://klasma.github.io/Logging_2281/tillsynsmail/A 22578-2023 tillsynsbegäran mail.docx", "A 22578-2023")</f>
        <v/>
      </c>
    </row>
    <row r="81" ht="15" customHeight="1">
      <c r="A81" t="inlineStr">
        <is>
          <t>A 27782-2023</t>
        </is>
      </c>
      <c r="B81" s="1" t="n">
        <v>45098</v>
      </c>
      <c r="C81" s="1" t="n">
        <v>45841</v>
      </c>
      <c r="D81" t="inlineStr">
        <is>
          <t>VÄSTERNORRLANDS LÄN</t>
        </is>
      </c>
      <c r="E81" t="inlineStr">
        <is>
          <t>SUNDSVALL</t>
        </is>
      </c>
      <c r="G81" t="n">
        <v>2.8</v>
      </c>
      <c r="H81" t="n">
        <v>5</v>
      </c>
      <c r="I81" t="n">
        <v>0</v>
      </c>
      <c r="J81" t="n">
        <v>1</v>
      </c>
      <c r="K81" t="n">
        <v>0</v>
      </c>
      <c r="L81" t="n">
        <v>1</v>
      </c>
      <c r="M81" t="n">
        <v>0</v>
      </c>
      <c r="N81" t="n">
        <v>0</v>
      </c>
      <c r="O81" t="n">
        <v>2</v>
      </c>
      <c r="P81" t="n">
        <v>1</v>
      </c>
      <c r="Q81" t="n">
        <v>5</v>
      </c>
      <c r="R81" s="2" t="inlineStr">
        <is>
          <t>Grönfink
Björktrast
Gråkråka
Gröngöling
Sångsvan</t>
        </is>
      </c>
      <c r="S81">
        <f>HYPERLINK("https://klasma.github.io/Logging_2281/artfynd/A 27782-2023 artfynd.xlsx", "A 27782-2023")</f>
        <v/>
      </c>
      <c r="T81">
        <f>HYPERLINK("https://klasma.github.io/Logging_2281/kartor/A 27782-2023 karta.png", "A 27782-2023")</f>
        <v/>
      </c>
      <c r="V81">
        <f>HYPERLINK("https://klasma.github.io/Logging_2281/klagomål/A 27782-2023 FSC-klagomål.docx", "A 27782-2023")</f>
        <v/>
      </c>
      <c r="W81">
        <f>HYPERLINK("https://klasma.github.io/Logging_2281/klagomålsmail/A 27782-2023 FSC-klagomål mail.docx", "A 27782-2023")</f>
        <v/>
      </c>
      <c r="X81">
        <f>HYPERLINK("https://klasma.github.io/Logging_2281/tillsyn/A 27782-2023 tillsynsbegäran.docx", "A 27782-2023")</f>
        <v/>
      </c>
      <c r="Y81">
        <f>HYPERLINK("https://klasma.github.io/Logging_2281/tillsynsmail/A 27782-2023 tillsynsbegäran mail.docx", "A 27782-2023")</f>
        <v/>
      </c>
      <c r="Z81">
        <f>HYPERLINK("https://klasma.github.io/Logging_2281/fåglar/A 27782-2023 prioriterade fågelarter.docx", "A 27782-2023")</f>
        <v/>
      </c>
    </row>
    <row r="82" ht="15" customHeight="1">
      <c r="A82" t="inlineStr">
        <is>
          <t>A 42153-2023</t>
        </is>
      </c>
      <c r="B82" s="1" t="n">
        <v>45178</v>
      </c>
      <c r="C82" s="1" t="n">
        <v>45841</v>
      </c>
      <c r="D82" t="inlineStr">
        <is>
          <t>VÄSTERNORRLANDS LÄN</t>
        </is>
      </c>
      <c r="E82" t="inlineStr">
        <is>
          <t>SUNDSVALL</t>
        </is>
      </c>
      <c r="F82" t="inlineStr">
        <is>
          <t>SCA</t>
        </is>
      </c>
      <c r="G82" t="n">
        <v>6.8</v>
      </c>
      <c r="H82" t="n">
        <v>3</v>
      </c>
      <c r="I82" t="n">
        <v>1</v>
      </c>
      <c r="J82" t="n">
        <v>2</v>
      </c>
      <c r="K82" t="n">
        <v>1</v>
      </c>
      <c r="L82" t="n">
        <v>0</v>
      </c>
      <c r="M82" t="n">
        <v>0</v>
      </c>
      <c r="N82" t="n">
        <v>0</v>
      </c>
      <c r="O82" t="n">
        <v>3</v>
      </c>
      <c r="P82" t="n">
        <v>1</v>
      </c>
      <c r="Q82" t="n">
        <v>5</v>
      </c>
      <c r="R82" s="2" t="inlineStr">
        <is>
          <t>Laxporing
Talltita
Vedskivlav
Spindelblomster
Fläcknycklar</t>
        </is>
      </c>
      <c r="S82">
        <f>HYPERLINK("https://klasma.github.io/Logging_2281/artfynd/A 42153-2023 artfynd.xlsx", "A 42153-2023")</f>
        <v/>
      </c>
      <c r="T82">
        <f>HYPERLINK("https://klasma.github.io/Logging_2281/kartor/A 42153-2023 karta.png", "A 42153-2023")</f>
        <v/>
      </c>
      <c r="V82">
        <f>HYPERLINK("https://klasma.github.io/Logging_2281/klagomål/A 42153-2023 FSC-klagomål.docx", "A 42153-2023")</f>
        <v/>
      </c>
      <c r="W82">
        <f>HYPERLINK("https://klasma.github.io/Logging_2281/klagomålsmail/A 42153-2023 FSC-klagomål mail.docx", "A 42153-2023")</f>
        <v/>
      </c>
      <c r="X82">
        <f>HYPERLINK("https://klasma.github.io/Logging_2281/tillsyn/A 42153-2023 tillsynsbegäran.docx", "A 42153-2023")</f>
        <v/>
      </c>
      <c r="Y82">
        <f>HYPERLINK("https://klasma.github.io/Logging_2281/tillsynsmail/A 42153-2023 tillsynsbegäran mail.docx", "A 42153-2023")</f>
        <v/>
      </c>
      <c r="Z82">
        <f>HYPERLINK("https://klasma.github.io/Logging_2281/fåglar/A 42153-2023 prioriterade fågelarter.docx", "A 42153-2023")</f>
        <v/>
      </c>
    </row>
    <row r="83" ht="15" customHeight="1">
      <c r="A83" t="inlineStr">
        <is>
          <t>A 42518-2023</t>
        </is>
      </c>
      <c r="B83" s="1" t="n">
        <v>45180</v>
      </c>
      <c r="C83" s="1" t="n">
        <v>45841</v>
      </c>
      <c r="D83" t="inlineStr">
        <is>
          <t>VÄSTERNORRLANDS LÄN</t>
        </is>
      </c>
      <c r="E83" t="inlineStr">
        <is>
          <t>SUNDSVALL</t>
        </is>
      </c>
      <c r="F83" t="inlineStr">
        <is>
          <t>SCA</t>
        </is>
      </c>
      <c r="G83" t="n">
        <v>3.1</v>
      </c>
      <c r="H83" t="n">
        <v>0</v>
      </c>
      <c r="I83" t="n">
        <v>0</v>
      </c>
      <c r="J83" t="n">
        <v>4</v>
      </c>
      <c r="K83" t="n">
        <v>1</v>
      </c>
      <c r="L83" t="n">
        <v>0</v>
      </c>
      <c r="M83" t="n">
        <v>0</v>
      </c>
      <c r="N83" t="n">
        <v>0</v>
      </c>
      <c r="O83" t="n">
        <v>5</v>
      </c>
      <c r="P83" t="n">
        <v>1</v>
      </c>
      <c r="Q83" t="n">
        <v>5</v>
      </c>
      <c r="R83" s="2" t="inlineStr">
        <is>
          <t>Aspgelélav
Kolflarnlav
Lunglav
Vedflamlav
Vedskivlav</t>
        </is>
      </c>
      <c r="S83">
        <f>HYPERLINK("https://klasma.github.io/Logging_2281/artfynd/A 42518-2023 artfynd.xlsx", "A 42518-2023")</f>
        <v/>
      </c>
      <c r="T83">
        <f>HYPERLINK("https://klasma.github.io/Logging_2281/kartor/A 42518-2023 karta.png", "A 42518-2023")</f>
        <v/>
      </c>
      <c r="V83">
        <f>HYPERLINK("https://klasma.github.io/Logging_2281/klagomål/A 42518-2023 FSC-klagomål.docx", "A 42518-2023")</f>
        <v/>
      </c>
      <c r="W83">
        <f>HYPERLINK("https://klasma.github.io/Logging_2281/klagomålsmail/A 42518-2023 FSC-klagomål mail.docx", "A 42518-2023")</f>
        <v/>
      </c>
      <c r="X83">
        <f>HYPERLINK("https://klasma.github.io/Logging_2281/tillsyn/A 42518-2023 tillsynsbegäran.docx", "A 42518-2023")</f>
        <v/>
      </c>
      <c r="Y83">
        <f>HYPERLINK("https://klasma.github.io/Logging_2281/tillsynsmail/A 42518-2023 tillsynsbegäran mail.docx", "A 42518-2023")</f>
        <v/>
      </c>
    </row>
    <row r="84" ht="15" customHeight="1">
      <c r="A84" t="inlineStr">
        <is>
          <t>A 13556-2024</t>
        </is>
      </c>
      <c r="B84" s="1" t="n">
        <v>45387</v>
      </c>
      <c r="C84" s="1" t="n">
        <v>45841</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29076-2024</t>
        </is>
      </c>
      <c r="B85" s="1" t="n">
        <v>45481</v>
      </c>
      <c r="C85" s="1" t="n">
        <v>45841</v>
      </c>
      <c r="D85" t="inlineStr">
        <is>
          <t>VÄSTERNORRLANDS LÄN</t>
        </is>
      </c>
      <c r="E85" t="inlineStr">
        <is>
          <t>SUNDSVALL</t>
        </is>
      </c>
      <c r="G85" t="n">
        <v>5.6</v>
      </c>
      <c r="H85" t="n">
        <v>1</v>
      </c>
      <c r="I85" t="n">
        <v>3</v>
      </c>
      <c r="J85" t="n">
        <v>1</v>
      </c>
      <c r="K85" t="n">
        <v>1</v>
      </c>
      <c r="L85" t="n">
        <v>0</v>
      </c>
      <c r="M85" t="n">
        <v>0</v>
      </c>
      <c r="N85" t="n">
        <v>0</v>
      </c>
      <c r="O85" t="n">
        <v>2</v>
      </c>
      <c r="P85" t="n">
        <v>1</v>
      </c>
      <c r="Q85" t="n">
        <v>5</v>
      </c>
      <c r="R85" s="2" t="inlineStr">
        <is>
          <t>Knärot
Lunglav
Bårdlav
Stuplav
Svart trolldruva</t>
        </is>
      </c>
      <c r="S85">
        <f>HYPERLINK("https://klasma.github.io/Logging_2281/artfynd/A 29076-2024 artfynd.xlsx", "A 29076-2024")</f>
        <v/>
      </c>
      <c r="T85">
        <f>HYPERLINK("https://klasma.github.io/Logging_2281/kartor/A 29076-2024 karta.png", "A 29076-2024")</f>
        <v/>
      </c>
      <c r="U85">
        <f>HYPERLINK("https://klasma.github.io/Logging_2281/knärot/A 29076-2024 karta knärot.png", "A 29076-2024")</f>
        <v/>
      </c>
      <c r="V85">
        <f>HYPERLINK("https://klasma.github.io/Logging_2281/klagomål/A 29076-2024 FSC-klagomål.docx", "A 29076-2024")</f>
        <v/>
      </c>
      <c r="W85">
        <f>HYPERLINK("https://klasma.github.io/Logging_2281/klagomålsmail/A 29076-2024 FSC-klagomål mail.docx", "A 29076-2024")</f>
        <v/>
      </c>
      <c r="X85">
        <f>HYPERLINK("https://klasma.github.io/Logging_2281/tillsyn/A 29076-2024 tillsynsbegäran.docx", "A 29076-2024")</f>
        <v/>
      </c>
      <c r="Y85">
        <f>HYPERLINK("https://klasma.github.io/Logging_2281/tillsynsmail/A 29076-2024 tillsynsbegäran mail.docx", "A 29076-2024")</f>
        <v/>
      </c>
    </row>
    <row r="86" ht="15" customHeight="1">
      <c r="A86" t="inlineStr">
        <is>
          <t>A 31887-2024</t>
        </is>
      </c>
      <c r="B86" s="1" t="n">
        <v>45509</v>
      </c>
      <c r="C86" s="1" t="n">
        <v>45841</v>
      </c>
      <c r="D86" t="inlineStr">
        <is>
          <t>VÄSTERNORRLANDS LÄN</t>
        </is>
      </c>
      <c r="E86" t="inlineStr">
        <is>
          <t>SUNDSVALL</t>
        </is>
      </c>
      <c r="F86" t="inlineStr">
        <is>
          <t>SCA</t>
        </is>
      </c>
      <c r="G86" t="n">
        <v>5</v>
      </c>
      <c r="H86" t="n">
        <v>2</v>
      </c>
      <c r="I86" t="n">
        <v>1</v>
      </c>
      <c r="J86" t="n">
        <v>2</v>
      </c>
      <c r="K86" t="n">
        <v>1</v>
      </c>
      <c r="L86" t="n">
        <v>0</v>
      </c>
      <c r="M86" t="n">
        <v>0</v>
      </c>
      <c r="N86" t="n">
        <v>0</v>
      </c>
      <c r="O86" t="n">
        <v>3</v>
      </c>
      <c r="P86" t="n">
        <v>1</v>
      </c>
      <c r="Q86" t="n">
        <v>5</v>
      </c>
      <c r="R86" s="2" t="inlineStr">
        <is>
          <t>Knärot
Garnlav
Ullticka
Vedticka
Revlummer</t>
        </is>
      </c>
      <c r="S86">
        <f>HYPERLINK("https://klasma.github.io/Logging_2281/artfynd/A 31887-2024 artfynd.xlsx", "A 31887-2024")</f>
        <v/>
      </c>
      <c r="T86">
        <f>HYPERLINK("https://klasma.github.io/Logging_2281/kartor/A 31887-2024 karta.png", "A 31887-2024")</f>
        <v/>
      </c>
      <c r="U86">
        <f>HYPERLINK("https://klasma.github.io/Logging_2281/knärot/A 31887-2024 karta knärot.png", "A 31887-2024")</f>
        <v/>
      </c>
      <c r="V86">
        <f>HYPERLINK("https://klasma.github.io/Logging_2281/klagomål/A 31887-2024 FSC-klagomål.docx", "A 31887-2024")</f>
        <v/>
      </c>
      <c r="W86">
        <f>HYPERLINK("https://klasma.github.io/Logging_2281/klagomålsmail/A 31887-2024 FSC-klagomål mail.docx", "A 31887-2024")</f>
        <v/>
      </c>
      <c r="X86">
        <f>HYPERLINK("https://klasma.github.io/Logging_2281/tillsyn/A 31887-2024 tillsynsbegäran.docx", "A 31887-2024")</f>
        <v/>
      </c>
      <c r="Y86">
        <f>HYPERLINK("https://klasma.github.io/Logging_2281/tillsynsmail/A 31887-2024 tillsynsbegäran mail.docx", "A 31887-2024")</f>
        <v/>
      </c>
    </row>
    <row r="87" ht="15" customHeight="1">
      <c r="A87" t="inlineStr">
        <is>
          <t>A 51286-2024</t>
        </is>
      </c>
      <c r="B87" s="1" t="n">
        <v>45600</v>
      </c>
      <c r="C87" s="1" t="n">
        <v>45841</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57859-2024</t>
        </is>
      </c>
      <c r="B88" s="1" t="n">
        <v>45631</v>
      </c>
      <c r="C88" s="1" t="n">
        <v>45841</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60009-2024</t>
        </is>
      </c>
      <c r="B89" s="1" t="n">
        <v>45642</v>
      </c>
      <c r="C89" s="1" t="n">
        <v>45841</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4878-2025</t>
        </is>
      </c>
      <c r="B90" s="1" t="n">
        <v>45688</v>
      </c>
      <c r="C90" s="1" t="n">
        <v>45841</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4865-2025</t>
        </is>
      </c>
      <c r="B91" s="1" t="n">
        <v>45688</v>
      </c>
      <c r="C91" s="1" t="n">
        <v>45841</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16943-2025</t>
        </is>
      </c>
      <c r="B92" s="1" t="n">
        <v>45755</v>
      </c>
      <c r="C92" s="1" t="n">
        <v>45841</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HYPERLINK("https://klasma.github.io/Logging_222281/artfynd/A 16943-2025 artfynd.xlsx", "A 16943-2025")</f>
        <v/>
      </c>
      <c r="T92">
        <f>HYPERLINK("https://klasma.github.io/Logging_222281/kartor/A 16943-2025 karta.png", "A 16943-2025")</f>
        <v/>
      </c>
      <c r="V92">
        <f>HYPERLINK("https://klasma.github.io/Logging_222281/klagomål/A 16943-2025 FSC-klagomål.docx", "A 16943-2025")</f>
        <v/>
      </c>
      <c r="W92">
        <f>HYPERLINK("https://klasma.github.io/Logging_222281/klagomålsmail/A 16943-2025 FSC-klagomål mail.docx", "A 16943-2025")</f>
        <v/>
      </c>
      <c r="X92">
        <f>HYPERLINK("https://klasma.github.io/Logging_222281/tillsyn/A 16943-2025 tillsynsbegäran.docx", "A 16943-2025")</f>
        <v/>
      </c>
      <c r="Y92">
        <f>HYPERLINK("https://klasma.github.io/Logging_222281/tillsynsmail/A 16943-2025 tillsynsbegäran mail.docx", "A 16943-2025")</f>
        <v/>
      </c>
      <c r="Z92">
        <f>HYPERLINK("https://klasma.github.io/Logging_222281/fåglar/A 16943-2025 prioriterade fågelarter.docx", "A 16943-2025")</f>
        <v/>
      </c>
    </row>
    <row r="93" ht="15" customHeight="1">
      <c r="A93" t="inlineStr">
        <is>
          <t>A 20628-2025</t>
        </is>
      </c>
      <c r="B93" s="1" t="n">
        <v>45776</v>
      </c>
      <c r="C93" s="1" t="n">
        <v>45841</v>
      </c>
      <c r="D93" t="inlineStr">
        <is>
          <t>VÄSTERNORRLANDS LÄN</t>
        </is>
      </c>
      <c r="E93" t="inlineStr">
        <is>
          <t>SUNDSVALL</t>
        </is>
      </c>
      <c r="F93" t="inlineStr">
        <is>
          <t>Naturvårdsverket</t>
        </is>
      </c>
      <c r="G93" t="n">
        <v>27.3</v>
      </c>
      <c r="H93" t="n">
        <v>0</v>
      </c>
      <c r="I93" t="n">
        <v>1</v>
      </c>
      <c r="J93" t="n">
        <v>4</v>
      </c>
      <c r="K93" t="n">
        <v>0</v>
      </c>
      <c r="L93" t="n">
        <v>0</v>
      </c>
      <c r="M93" t="n">
        <v>0</v>
      </c>
      <c r="N93" t="n">
        <v>0</v>
      </c>
      <c r="O93" t="n">
        <v>4</v>
      </c>
      <c r="P93" t="n">
        <v>0</v>
      </c>
      <c r="Q93" t="n">
        <v>5</v>
      </c>
      <c r="R93" s="2" t="inlineStr">
        <is>
          <t>Lunglav
Tallticka
Vedflamlav
Vedskivlav
Stuplav</t>
        </is>
      </c>
      <c r="S93">
        <f>HYPERLINK("https://klasma.github.io/Logging_222281/artfynd/A 20628-2025 artfynd.xlsx", "A 20628-2025")</f>
        <v/>
      </c>
      <c r="T93">
        <f>HYPERLINK("https://klasma.github.io/Logging_222281/kartor/A 20628-2025 karta.png", "A 20628-2025")</f>
        <v/>
      </c>
      <c r="V93">
        <f>HYPERLINK("https://klasma.github.io/Logging_222281/klagomål/A 20628-2025 FSC-klagomål.docx", "A 20628-2025")</f>
        <v/>
      </c>
      <c r="W93">
        <f>HYPERLINK("https://klasma.github.io/Logging_222281/klagomålsmail/A 20628-2025 FSC-klagomål mail.docx", "A 20628-2025")</f>
        <v/>
      </c>
      <c r="X93">
        <f>HYPERLINK("https://klasma.github.io/Logging_222281/tillsyn/A 20628-2025 tillsynsbegäran.docx", "A 20628-2025")</f>
        <v/>
      </c>
      <c r="Y93">
        <f>HYPERLINK("https://klasma.github.io/Logging_222281/tillsynsmail/A 20628-2025 tillsynsbegäran mail.docx", "A 20628-2025")</f>
        <v/>
      </c>
    </row>
    <row r="94" ht="15" customHeight="1">
      <c r="A94" t="inlineStr">
        <is>
          <t>A 28406-2025</t>
        </is>
      </c>
      <c r="B94" s="1" t="n">
        <v>45819</v>
      </c>
      <c r="C94" s="1" t="n">
        <v>45841</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HYPERLINK("https://klasma.github.io/Logging_222281/artfynd/A 28406-2025 artfynd.xlsx", "A 28406-2025")</f>
        <v/>
      </c>
      <c r="T94">
        <f>HYPERLINK("https://klasma.github.io/Logging_222281/kartor/A 28406-2025 karta.png", "A 28406-2025")</f>
        <v/>
      </c>
      <c r="V94">
        <f>HYPERLINK("https://klasma.github.io/Logging_222281/klagomål/A 28406-2025 FSC-klagomål.docx", "A 28406-2025")</f>
        <v/>
      </c>
      <c r="W94">
        <f>HYPERLINK("https://klasma.github.io/Logging_222281/klagomålsmail/A 28406-2025 FSC-klagomål mail.docx", "A 28406-2025")</f>
        <v/>
      </c>
      <c r="X94">
        <f>HYPERLINK("https://klasma.github.io/Logging_222281/tillsyn/A 28406-2025 tillsynsbegäran.docx", "A 28406-2025")</f>
        <v/>
      </c>
      <c r="Y94">
        <f>HYPERLINK("https://klasma.github.io/Logging_222281/tillsynsmail/A 28406-2025 tillsynsbegäran mail.docx", "A 28406-2025")</f>
        <v/>
      </c>
    </row>
    <row r="95" ht="15" customHeight="1">
      <c r="A95" t="inlineStr">
        <is>
          <t>A 30394-2025</t>
        </is>
      </c>
      <c r="B95" s="1" t="n">
        <v>45827</v>
      </c>
      <c r="C95" s="1" t="n">
        <v>45841</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HYPERLINK("https://klasma.github.io/Logging_222281/artfynd/A 30394-2025 artfynd.xlsx", "A 30394-2025")</f>
        <v/>
      </c>
      <c r="T95">
        <f>HYPERLINK("https://klasma.github.io/Logging_222281/kartor/A 30394-2025 karta.png", "A 30394-2025")</f>
        <v/>
      </c>
      <c r="V95">
        <f>HYPERLINK("https://klasma.github.io/Logging_222281/klagomål/A 30394-2025 FSC-klagomål.docx", "A 30394-2025")</f>
        <v/>
      </c>
      <c r="W95">
        <f>HYPERLINK("https://klasma.github.io/Logging_222281/klagomålsmail/A 30394-2025 FSC-klagomål mail.docx", "A 30394-2025")</f>
        <v/>
      </c>
      <c r="X95">
        <f>HYPERLINK("https://klasma.github.io/Logging_222281/tillsyn/A 30394-2025 tillsynsbegäran.docx", "A 30394-2025")</f>
        <v/>
      </c>
      <c r="Y95">
        <f>HYPERLINK("https://klasma.github.io/Logging_222281/tillsynsmail/A 30394-2025 tillsynsbegäran mail.docx", "A 30394-2025")</f>
        <v/>
      </c>
      <c r="Z95">
        <f>HYPERLINK("https://klasma.github.io/Logging_222281/fåglar/A 30394-2025 prioriterade fågelarter.docx", "A 30394-2025")</f>
        <v/>
      </c>
    </row>
    <row r="96" ht="15" customHeight="1">
      <c r="A96" t="inlineStr">
        <is>
          <t>A 34686-2019</t>
        </is>
      </c>
      <c r="B96" s="1" t="n">
        <v>43657</v>
      </c>
      <c r="C96" s="1" t="n">
        <v>45841</v>
      </c>
      <c r="D96" t="inlineStr">
        <is>
          <t>VÄSTERNORRLANDS LÄN</t>
        </is>
      </c>
      <c r="E96" t="inlineStr">
        <is>
          <t>SUNDSVALL</t>
        </is>
      </c>
      <c r="G96" t="n">
        <v>11.3</v>
      </c>
      <c r="H96" t="n">
        <v>0</v>
      </c>
      <c r="I96" t="n">
        <v>3</v>
      </c>
      <c r="J96" t="n">
        <v>0</v>
      </c>
      <c r="K96" t="n">
        <v>1</v>
      </c>
      <c r="L96" t="n">
        <v>0</v>
      </c>
      <c r="M96" t="n">
        <v>0</v>
      </c>
      <c r="N96" t="n">
        <v>0</v>
      </c>
      <c r="O96" t="n">
        <v>1</v>
      </c>
      <c r="P96" t="n">
        <v>1</v>
      </c>
      <c r="Q96" t="n">
        <v>4</v>
      </c>
      <c r="R96" s="2" t="inlineStr">
        <is>
          <t>Narrvaxskivling
Fransig jordstjärna
Kamjordstjärna
Olivspindling</t>
        </is>
      </c>
      <c r="S96">
        <f>HYPERLINK("https://klasma.github.io/Logging_2281/artfynd/A 34686-2019 artfynd.xlsx", "A 34686-2019")</f>
        <v/>
      </c>
      <c r="T96">
        <f>HYPERLINK("https://klasma.github.io/Logging_2281/kartor/A 34686-2019 karta.png", "A 34686-2019")</f>
        <v/>
      </c>
      <c r="V96">
        <f>HYPERLINK("https://klasma.github.io/Logging_2281/klagomål/A 34686-2019 FSC-klagomål.docx", "A 34686-2019")</f>
        <v/>
      </c>
      <c r="W96">
        <f>HYPERLINK("https://klasma.github.io/Logging_2281/klagomålsmail/A 34686-2019 FSC-klagomål mail.docx", "A 34686-2019")</f>
        <v/>
      </c>
      <c r="X96">
        <f>HYPERLINK("https://klasma.github.io/Logging_2281/tillsyn/A 34686-2019 tillsynsbegäran.docx", "A 34686-2019")</f>
        <v/>
      </c>
      <c r="Y96">
        <f>HYPERLINK("https://klasma.github.io/Logging_2281/tillsynsmail/A 34686-2019 tillsynsbegäran mail.docx", "A 34686-2019")</f>
        <v/>
      </c>
    </row>
    <row r="97" ht="15" customHeight="1">
      <c r="A97" t="inlineStr">
        <is>
          <t>A 3002-2020</t>
        </is>
      </c>
      <c r="B97" s="1" t="n">
        <v>43850</v>
      </c>
      <c r="C97" s="1" t="n">
        <v>45841</v>
      </c>
      <c r="D97" t="inlineStr">
        <is>
          <t>VÄSTERNORRLANDS LÄN</t>
        </is>
      </c>
      <c r="E97" t="inlineStr">
        <is>
          <t>SUNDSVALL</t>
        </is>
      </c>
      <c r="G97" t="n">
        <v>14</v>
      </c>
      <c r="H97" t="n">
        <v>4</v>
      </c>
      <c r="I97" t="n">
        <v>0</v>
      </c>
      <c r="J97" t="n">
        <v>3</v>
      </c>
      <c r="K97" t="n">
        <v>0</v>
      </c>
      <c r="L97" t="n">
        <v>0</v>
      </c>
      <c r="M97" t="n">
        <v>0</v>
      </c>
      <c r="N97" t="n">
        <v>0</v>
      </c>
      <c r="O97" t="n">
        <v>3</v>
      </c>
      <c r="P97" t="n">
        <v>0</v>
      </c>
      <c r="Q97" t="n">
        <v>4</v>
      </c>
      <c r="R97" s="2" t="inlineStr">
        <is>
          <t>Grönsångare
Lundsångare
Rosenfink
Törnskata</t>
        </is>
      </c>
      <c r="S97">
        <f>HYPERLINK("https://klasma.github.io/Logging_2281/artfynd/A 3002-2020 artfynd.xlsx", "A 3002-2020")</f>
        <v/>
      </c>
      <c r="T97">
        <f>HYPERLINK("https://klasma.github.io/Logging_2281/kartor/A 3002-2020 karta.png", "A 3002-2020")</f>
        <v/>
      </c>
      <c r="V97">
        <f>HYPERLINK("https://klasma.github.io/Logging_2281/klagomål/A 3002-2020 FSC-klagomål.docx", "A 3002-2020")</f>
        <v/>
      </c>
      <c r="W97">
        <f>HYPERLINK("https://klasma.github.io/Logging_2281/klagomålsmail/A 3002-2020 FSC-klagomål mail.docx", "A 3002-2020")</f>
        <v/>
      </c>
      <c r="X97">
        <f>HYPERLINK("https://klasma.github.io/Logging_2281/tillsyn/A 3002-2020 tillsynsbegäran.docx", "A 3002-2020")</f>
        <v/>
      </c>
      <c r="Y97">
        <f>HYPERLINK("https://klasma.github.io/Logging_2281/tillsynsmail/A 3002-2020 tillsynsbegäran mail.docx", "A 3002-2020")</f>
        <v/>
      </c>
      <c r="Z97">
        <f>HYPERLINK("https://klasma.github.io/Logging_2281/fåglar/A 3002-2020 prioriterade fågelarter.docx", "A 3002-2020")</f>
        <v/>
      </c>
    </row>
    <row r="98" ht="15" customHeight="1">
      <c r="A98" t="inlineStr">
        <is>
          <t>A 22480-2020</t>
        </is>
      </c>
      <c r="B98" s="1" t="n">
        <v>43963</v>
      </c>
      <c r="C98" s="1" t="n">
        <v>45841</v>
      </c>
      <c r="D98" t="inlineStr">
        <is>
          <t>VÄSTERNORRLANDS LÄN</t>
        </is>
      </c>
      <c r="E98" t="inlineStr">
        <is>
          <t>SUNDSVALL</t>
        </is>
      </c>
      <c r="G98" t="n">
        <v>8.300000000000001</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22480-2020 artfynd.xlsx", "A 22480-2020")</f>
        <v/>
      </c>
      <c r="T98">
        <f>HYPERLINK("https://klasma.github.io/Logging_2281/kartor/A 22480-2020 karta.png", "A 22480-2020")</f>
        <v/>
      </c>
      <c r="V98">
        <f>HYPERLINK("https://klasma.github.io/Logging_2281/klagomål/A 22480-2020 FSC-klagomål.docx", "A 22480-2020")</f>
        <v/>
      </c>
      <c r="W98">
        <f>HYPERLINK("https://klasma.github.io/Logging_2281/klagomålsmail/A 22480-2020 FSC-klagomål mail.docx", "A 22480-2020")</f>
        <v/>
      </c>
      <c r="X98">
        <f>HYPERLINK("https://klasma.github.io/Logging_2281/tillsyn/A 22480-2020 tillsynsbegäran.docx", "A 22480-2020")</f>
        <v/>
      </c>
      <c r="Y98">
        <f>HYPERLINK("https://klasma.github.io/Logging_2281/tillsynsmail/A 22480-2020 tillsynsbegäran mail.docx", "A 22480-2020")</f>
        <v/>
      </c>
    </row>
    <row r="99" ht="15" customHeight="1">
      <c r="A99" t="inlineStr">
        <is>
          <t>A 36968-2020</t>
        </is>
      </c>
      <c r="B99" s="1" t="n">
        <v>44053</v>
      </c>
      <c r="C99" s="1" t="n">
        <v>45841</v>
      </c>
      <c r="D99" t="inlineStr">
        <is>
          <t>VÄSTERNORRLANDS LÄN</t>
        </is>
      </c>
      <c r="E99" t="inlineStr">
        <is>
          <t>SUNDSVALL</t>
        </is>
      </c>
      <c r="F99" t="inlineStr">
        <is>
          <t>SCA</t>
        </is>
      </c>
      <c r="G99" t="n">
        <v>5.8</v>
      </c>
      <c r="H99" t="n">
        <v>2</v>
      </c>
      <c r="I99" t="n">
        <v>1</v>
      </c>
      <c r="J99" t="n">
        <v>1</v>
      </c>
      <c r="K99" t="n">
        <v>1</v>
      </c>
      <c r="L99" t="n">
        <v>0</v>
      </c>
      <c r="M99" t="n">
        <v>0</v>
      </c>
      <c r="N99" t="n">
        <v>0</v>
      </c>
      <c r="O99" t="n">
        <v>2</v>
      </c>
      <c r="P99" t="n">
        <v>1</v>
      </c>
      <c r="Q99" t="n">
        <v>4</v>
      </c>
      <c r="R99" s="2" t="inlineStr">
        <is>
          <t>Knärot
Lunglav
Stor aspticka
Nattviol</t>
        </is>
      </c>
      <c r="S99">
        <f>HYPERLINK("https://klasma.github.io/Logging_2281/artfynd/A 36968-2020 artfynd.xlsx", "A 36968-2020")</f>
        <v/>
      </c>
      <c r="T99">
        <f>HYPERLINK("https://klasma.github.io/Logging_2281/kartor/A 36968-2020 karta.png", "A 36968-2020")</f>
        <v/>
      </c>
      <c r="U99">
        <f>HYPERLINK("https://klasma.github.io/Logging_2281/knärot/A 36968-2020 karta knärot.png", "A 36968-2020")</f>
        <v/>
      </c>
      <c r="V99">
        <f>HYPERLINK("https://klasma.github.io/Logging_2281/klagomål/A 36968-2020 FSC-klagomål.docx", "A 36968-2020")</f>
        <v/>
      </c>
      <c r="W99">
        <f>HYPERLINK("https://klasma.github.io/Logging_2281/klagomålsmail/A 36968-2020 FSC-klagomål mail.docx", "A 36968-2020")</f>
        <v/>
      </c>
      <c r="X99">
        <f>HYPERLINK("https://klasma.github.io/Logging_2281/tillsyn/A 36968-2020 tillsynsbegäran.docx", "A 36968-2020")</f>
        <v/>
      </c>
      <c r="Y99">
        <f>HYPERLINK("https://klasma.github.io/Logging_2281/tillsynsmail/A 36968-2020 tillsynsbegäran mail.docx", "A 36968-2020")</f>
        <v/>
      </c>
    </row>
    <row r="100" ht="15" customHeight="1">
      <c r="A100" t="inlineStr">
        <is>
          <t>A 36969-2020</t>
        </is>
      </c>
      <c r="B100" s="1" t="n">
        <v>44053</v>
      </c>
      <c r="C100" s="1" t="n">
        <v>45841</v>
      </c>
      <c r="D100" t="inlineStr">
        <is>
          <t>VÄSTERNORRLANDS LÄN</t>
        </is>
      </c>
      <c r="E100" t="inlineStr">
        <is>
          <t>SUNDSVALL</t>
        </is>
      </c>
      <c r="F100" t="inlineStr">
        <is>
          <t>SCA</t>
        </is>
      </c>
      <c r="G100" t="n">
        <v>17.4</v>
      </c>
      <c r="H100" t="n">
        <v>2</v>
      </c>
      <c r="I100" t="n">
        <v>0</v>
      </c>
      <c r="J100" t="n">
        <v>2</v>
      </c>
      <c r="K100" t="n">
        <v>1</v>
      </c>
      <c r="L100" t="n">
        <v>0</v>
      </c>
      <c r="M100" t="n">
        <v>0</v>
      </c>
      <c r="N100" t="n">
        <v>0</v>
      </c>
      <c r="O100" t="n">
        <v>3</v>
      </c>
      <c r="P100" t="n">
        <v>1</v>
      </c>
      <c r="Q100" t="n">
        <v>4</v>
      </c>
      <c r="R100" s="2" t="inlineStr">
        <is>
          <t>Knärot
Doftskinn
Lunglav
Nattviol</t>
        </is>
      </c>
      <c r="S100">
        <f>HYPERLINK("https://klasma.github.io/Logging_2281/artfynd/A 36969-2020 artfynd.xlsx", "A 36969-2020")</f>
        <v/>
      </c>
      <c r="T100">
        <f>HYPERLINK("https://klasma.github.io/Logging_2281/kartor/A 36969-2020 karta.png", "A 36969-2020")</f>
        <v/>
      </c>
      <c r="U100">
        <f>HYPERLINK("https://klasma.github.io/Logging_2281/knärot/A 36969-2020 karta knärot.png", "A 36969-2020")</f>
        <v/>
      </c>
      <c r="V100">
        <f>HYPERLINK("https://klasma.github.io/Logging_2281/klagomål/A 36969-2020 FSC-klagomål.docx", "A 36969-2020")</f>
        <v/>
      </c>
      <c r="W100">
        <f>HYPERLINK("https://klasma.github.io/Logging_2281/klagomålsmail/A 36969-2020 FSC-klagomål mail.docx", "A 36969-2020")</f>
        <v/>
      </c>
      <c r="X100">
        <f>HYPERLINK("https://klasma.github.io/Logging_2281/tillsyn/A 36969-2020 tillsynsbegäran.docx", "A 36969-2020")</f>
        <v/>
      </c>
      <c r="Y100">
        <f>HYPERLINK("https://klasma.github.io/Logging_2281/tillsynsmail/A 36969-2020 tillsynsbegäran mail.docx", "A 36969-2020")</f>
        <v/>
      </c>
    </row>
    <row r="101" ht="15" customHeight="1">
      <c r="A101" t="inlineStr">
        <is>
          <t>A 44497-2020</t>
        </is>
      </c>
      <c r="B101" s="1" t="n">
        <v>44084</v>
      </c>
      <c r="C101" s="1" t="n">
        <v>45841</v>
      </c>
      <c r="D101" t="inlineStr">
        <is>
          <t>VÄSTERNORRLANDS LÄN</t>
        </is>
      </c>
      <c r="E101" t="inlineStr">
        <is>
          <t>SUNDSVALL</t>
        </is>
      </c>
      <c r="F101" t="inlineStr">
        <is>
          <t>SCA</t>
        </is>
      </c>
      <c r="G101" t="n">
        <v>20.1</v>
      </c>
      <c r="H101" t="n">
        <v>1</v>
      </c>
      <c r="I101" t="n">
        <v>2</v>
      </c>
      <c r="J101" t="n">
        <v>1</v>
      </c>
      <c r="K101" t="n">
        <v>1</v>
      </c>
      <c r="L101" t="n">
        <v>0</v>
      </c>
      <c r="M101" t="n">
        <v>0</v>
      </c>
      <c r="N101" t="n">
        <v>0</v>
      </c>
      <c r="O101" t="n">
        <v>2</v>
      </c>
      <c r="P101" t="n">
        <v>1</v>
      </c>
      <c r="Q101" t="n">
        <v>4</v>
      </c>
      <c r="R101" s="2" t="inlineStr">
        <is>
          <t>Knärot
Granticka
Korallblylav
Stor aspticka</t>
        </is>
      </c>
      <c r="S101">
        <f>HYPERLINK("https://klasma.github.io/Logging_2281/artfynd/A 44497-2020 artfynd.xlsx", "A 44497-2020")</f>
        <v/>
      </c>
      <c r="T101">
        <f>HYPERLINK("https://klasma.github.io/Logging_2281/kartor/A 44497-2020 karta.png", "A 44497-2020")</f>
        <v/>
      </c>
      <c r="U101">
        <f>HYPERLINK("https://klasma.github.io/Logging_2281/knärot/A 44497-2020 karta knärot.png", "A 44497-2020")</f>
        <v/>
      </c>
      <c r="V101">
        <f>HYPERLINK("https://klasma.github.io/Logging_2281/klagomål/A 44497-2020 FSC-klagomål.docx", "A 44497-2020")</f>
        <v/>
      </c>
      <c r="W101">
        <f>HYPERLINK("https://klasma.github.io/Logging_2281/klagomålsmail/A 44497-2020 FSC-klagomål mail.docx", "A 44497-2020")</f>
        <v/>
      </c>
      <c r="X101">
        <f>HYPERLINK("https://klasma.github.io/Logging_2281/tillsyn/A 44497-2020 tillsynsbegäran.docx", "A 44497-2020")</f>
        <v/>
      </c>
      <c r="Y101">
        <f>HYPERLINK("https://klasma.github.io/Logging_2281/tillsynsmail/A 44497-2020 tillsynsbegäran mail.docx", "A 44497-2020")</f>
        <v/>
      </c>
    </row>
    <row r="102" ht="15" customHeight="1">
      <c r="A102" t="inlineStr">
        <is>
          <t>A 3094-2021</t>
        </is>
      </c>
      <c r="B102" s="1" t="n">
        <v>44216</v>
      </c>
      <c r="C102" s="1" t="n">
        <v>45841</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24268-2021</t>
        </is>
      </c>
      <c r="B103" s="1" t="n">
        <v>44336</v>
      </c>
      <c r="C103" s="1" t="n">
        <v>45841</v>
      </c>
      <c r="D103" t="inlineStr">
        <is>
          <t>VÄSTERNORRLANDS LÄN</t>
        </is>
      </c>
      <c r="E103" t="inlineStr">
        <is>
          <t>SUNDSVALL</t>
        </is>
      </c>
      <c r="F103" t="inlineStr">
        <is>
          <t>SCA</t>
        </is>
      </c>
      <c r="G103" t="n">
        <v>5.4</v>
      </c>
      <c r="H103" t="n">
        <v>3</v>
      </c>
      <c r="I103" t="n">
        <v>0</v>
      </c>
      <c r="J103" t="n">
        <v>1</v>
      </c>
      <c r="K103" t="n">
        <v>1</v>
      </c>
      <c r="L103" t="n">
        <v>0</v>
      </c>
      <c r="M103" t="n">
        <v>0</v>
      </c>
      <c r="N103" t="n">
        <v>0</v>
      </c>
      <c r="O103" t="n">
        <v>2</v>
      </c>
      <c r="P103" t="n">
        <v>1</v>
      </c>
      <c r="Q103" t="n">
        <v>4</v>
      </c>
      <c r="R103" s="2" t="inlineStr">
        <is>
          <t>Knärot
Lunglav
Fläcknycklar
Revlummer</t>
        </is>
      </c>
      <c r="S103">
        <f>HYPERLINK("https://klasma.github.io/Logging_2281/artfynd/A 24268-2021 artfynd.xlsx", "A 24268-2021")</f>
        <v/>
      </c>
      <c r="T103">
        <f>HYPERLINK("https://klasma.github.io/Logging_2281/kartor/A 24268-2021 karta.png", "A 24268-2021")</f>
        <v/>
      </c>
      <c r="U103">
        <f>HYPERLINK("https://klasma.github.io/Logging_2281/knärot/A 24268-2021 karta knärot.png", "A 24268-2021")</f>
        <v/>
      </c>
      <c r="V103">
        <f>HYPERLINK("https://klasma.github.io/Logging_2281/klagomål/A 24268-2021 FSC-klagomål.docx", "A 24268-2021")</f>
        <v/>
      </c>
      <c r="W103">
        <f>HYPERLINK("https://klasma.github.io/Logging_2281/klagomålsmail/A 24268-2021 FSC-klagomål mail.docx", "A 24268-2021")</f>
        <v/>
      </c>
      <c r="X103">
        <f>HYPERLINK("https://klasma.github.io/Logging_2281/tillsyn/A 24268-2021 tillsynsbegäran.docx", "A 24268-2021")</f>
        <v/>
      </c>
      <c r="Y103">
        <f>HYPERLINK("https://klasma.github.io/Logging_2281/tillsynsmail/A 24268-2021 tillsynsbegäran mail.docx", "A 24268-2021")</f>
        <v/>
      </c>
    </row>
    <row r="104" ht="15" customHeight="1">
      <c r="A104" t="inlineStr">
        <is>
          <t>A 27556-2021</t>
        </is>
      </c>
      <c r="B104" s="1" t="n">
        <v>44352</v>
      </c>
      <c r="C104" s="1" t="n">
        <v>45841</v>
      </c>
      <c r="D104" t="inlineStr">
        <is>
          <t>VÄSTERNORRLANDS LÄN</t>
        </is>
      </c>
      <c r="E104" t="inlineStr">
        <is>
          <t>SUNDSVALL</t>
        </is>
      </c>
      <c r="F104" t="inlineStr">
        <is>
          <t>SCA</t>
        </is>
      </c>
      <c r="G104" t="n">
        <v>9.4</v>
      </c>
      <c r="H104" t="n">
        <v>1</v>
      </c>
      <c r="I104" t="n">
        <v>0</v>
      </c>
      <c r="J104" t="n">
        <v>3</v>
      </c>
      <c r="K104" t="n">
        <v>0</v>
      </c>
      <c r="L104" t="n">
        <v>0</v>
      </c>
      <c r="M104" t="n">
        <v>0</v>
      </c>
      <c r="N104" t="n">
        <v>0</v>
      </c>
      <c r="O104" t="n">
        <v>3</v>
      </c>
      <c r="P104" t="n">
        <v>0</v>
      </c>
      <c r="Q104" t="n">
        <v>4</v>
      </c>
      <c r="R104" s="2" t="inlineStr">
        <is>
          <t>Doftskinn
Gränsticka
Ullticka
Revlummer</t>
        </is>
      </c>
      <c r="S104">
        <f>HYPERLINK("https://klasma.github.io/Logging_2281/artfynd/A 27556-2021 artfynd.xlsx", "A 27556-2021")</f>
        <v/>
      </c>
      <c r="T104">
        <f>HYPERLINK("https://klasma.github.io/Logging_2281/kartor/A 27556-2021 karta.png", "A 27556-2021")</f>
        <v/>
      </c>
      <c r="V104">
        <f>HYPERLINK("https://klasma.github.io/Logging_2281/klagomål/A 27556-2021 FSC-klagomål.docx", "A 27556-2021")</f>
        <v/>
      </c>
      <c r="W104">
        <f>HYPERLINK("https://klasma.github.io/Logging_2281/klagomålsmail/A 27556-2021 FSC-klagomål mail.docx", "A 27556-2021")</f>
        <v/>
      </c>
      <c r="X104">
        <f>HYPERLINK("https://klasma.github.io/Logging_2281/tillsyn/A 27556-2021 tillsynsbegäran.docx", "A 27556-2021")</f>
        <v/>
      </c>
      <c r="Y104">
        <f>HYPERLINK("https://klasma.github.io/Logging_2281/tillsynsmail/A 27556-2021 tillsynsbegäran mail.docx", "A 27556-2021")</f>
        <v/>
      </c>
    </row>
    <row r="105" ht="15" customHeight="1">
      <c r="A105" t="inlineStr">
        <is>
          <t>A 49997-2021</t>
        </is>
      </c>
      <c r="B105" s="1" t="n">
        <v>44456</v>
      </c>
      <c r="C105" s="1" t="n">
        <v>45841</v>
      </c>
      <c r="D105" t="inlineStr">
        <is>
          <t>VÄSTERNORRLANDS LÄN</t>
        </is>
      </c>
      <c r="E105" t="inlineStr">
        <is>
          <t>SUNDSVALL</t>
        </is>
      </c>
      <c r="G105" t="n">
        <v>1.7</v>
      </c>
      <c r="H105" t="n">
        <v>0</v>
      </c>
      <c r="I105" t="n">
        <v>0</v>
      </c>
      <c r="J105" t="n">
        <v>3</v>
      </c>
      <c r="K105" t="n">
        <v>1</v>
      </c>
      <c r="L105" t="n">
        <v>0</v>
      </c>
      <c r="M105" t="n">
        <v>0</v>
      </c>
      <c r="N105" t="n">
        <v>0</v>
      </c>
      <c r="O105" t="n">
        <v>4</v>
      </c>
      <c r="P105" t="n">
        <v>1</v>
      </c>
      <c r="Q105" t="n">
        <v>4</v>
      </c>
      <c r="R105" s="2" t="inlineStr">
        <is>
          <t>Rynkskinn
Gränsticka
Rosenticka
Ullticka</t>
        </is>
      </c>
      <c r="S105">
        <f>HYPERLINK("https://klasma.github.io/Logging_2281/artfynd/A 49997-2021 artfynd.xlsx", "A 49997-2021")</f>
        <v/>
      </c>
      <c r="T105">
        <f>HYPERLINK("https://klasma.github.io/Logging_2281/kartor/A 49997-2021 karta.png", "A 49997-2021")</f>
        <v/>
      </c>
      <c r="V105">
        <f>HYPERLINK("https://klasma.github.io/Logging_2281/klagomål/A 49997-2021 FSC-klagomål.docx", "A 49997-2021")</f>
        <v/>
      </c>
      <c r="W105">
        <f>HYPERLINK("https://klasma.github.io/Logging_2281/klagomålsmail/A 49997-2021 FSC-klagomål mail.docx", "A 49997-2021")</f>
        <v/>
      </c>
      <c r="X105">
        <f>HYPERLINK("https://klasma.github.io/Logging_2281/tillsyn/A 49997-2021 tillsynsbegäran.docx", "A 49997-2021")</f>
        <v/>
      </c>
      <c r="Y105">
        <f>HYPERLINK("https://klasma.github.io/Logging_2281/tillsynsmail/A 49997-2021 tillsynsbegäran mail.docx", "A 49997-2021")</f>
        <v/>
      </c>
    </row>
    <row r="106" ht="15" customHeight="1">
      <c r="A106" t="inlineStr">
        <is>
          <t>A 21663-2022</t>
        </is>
      </c>
      <c r="B106" s="1" t="n">
        <v>44707</v>
      </c>
      <c r="C106" s="1" t="n">
        <v>45841</v>
      </c>
      <c r="D106" t="inlineStr">
        <is>
          <t>VÄSTERNORRLANDS LÄN</t>
        </is>
      </c>
      <c r="E106" t="inlineStr">
        <is>
          <t>SUNDSVALL</t>
        </is>
      </c>
      <c r="F106" t="inlineStr">
        <is>
          <t>SCA</t>
        </is>
      </c>
      <c r="G106" t="n">
        <v>1.5</v>
      </c>
      <c r="H106" t="n">
        <v>2</v>
      </c>
      <c r="I106" t="n">
        <v>0</v>
      </c>
      <c r="J106" t="n">
        <v>4</v>
      </c>
      <c r="K106" t="n">
        <v>0</v>
      </c>
      <c r="L106" t="n">
        <v>0</v>
      </c>
      <c r="M106" t="n">
        <v>0</v>
      </c>
      <c r="N106" t="n">
        <v>0</v>
      </c>
      <c r="O106" t="n">
        <v>4</v>
      </c>
      <c r="P106" t="n">
        <v>0</v>
      </c>
      <c r="Q106" t="n">
        <v>4</v>
      </c>
      <c r="R106" s="2" t="inlineStr">
        <is>
          <t>Garnlav
Svartvit flugsnappare
Talltita
Ullticka</t>
        </is>
      </c>
      <c r="S106">
        <f>HYPERLINK("https://klasma.github.io/Logging_2281/artfynd/A 21663-2022 artfynd.xlsx", "A 21663-2022")</f>
        <v/>
      </c>
      <c r="T106">
        <f>HYPERLINK("https://klasma.github.io/Logging_2281/kartor/A 21663-2022 karta.png", "A 21663-2022")</f>
        <v/>
      </c>
      <c r="U106">
        <f>HYPERLINK("https://klasma.github.io/Logging_2281/knärot/A 21663-2022 karta knärot.png", "A 21663-2022")</f>
        <v/>
      </c>
      <c r="V106">
        <f>HYPERLINK("https://klasma.github.io/Logging_2281/klagomål/A 21663-2022 FSC-klagomål.docx", "A 21663-2022")</f>
        <v/>
      </c>
      <c r="W106">
        <f>HYPERLINK("https://klasma.github.io/Logging_2281/klagomålsmail/A 21663-2022 FSC-klagomål mail.docx", "A 21663-2022")</f>
        <v/>
      </c>
      <c r="X106">
        <f>HYPERLINK("https://klasma.github.io/Logging_2281/tillsyn/A 21663-2022 tillsynsbegäran.docx", "A 21663-2022")</f>
        <v/>
      </c>
      <c r="Y106">
        <f>HYPERLINK("https://klasma.github.io/Logging_2281/tillsynsmail/A 21663-2022 tillsynsbegäran mail.docx", "A 21663-2022")</f>
        <v/>
      </c>
      <c r="Z106">
        <f>HYPERLINK("https://klasma.github.io/Logging_2281/fåglar/A 21663-2022 prioriterade fågelarter.docx", "A 21663-2022")</f>
        <v/>
      </c>
    </row>
    <row r="107" ht="15" customHeight="1">
      <c r="A107" t="inlineStr">
        <is>
          <t>A 21661-2022</t>
        </is>
      </c>
      <c r="B107" s="1" t="n">
        <v>44706</v>
      </c>
      <c r="C107" s="1" t="n">
        <v>45841</v>
      </c>
      <c r="D107" t="inlineStr">
        <is>
          <t>VÄSTERNORRLANDS LÄN</t>
        </is>
      </c>
      <c r="E107" t="inlineStr">
        <is>
          <t>SUNDSVALL</t>
        </is>
      </c>
      <c r="F107" t="inlineStr">
        <is>
          <t>SCA</t>
        </is>
      </c>
      <c r="G107" t="n">
        <v>1.8</v>
      </c>
      <c r="H107" t="n">
        <v>3</v>
      </c>
      <c r="I107" t="n">
        <v>0</v>
      </c>
      <c r="J107" t="n">
        <v>1</v>
      </c>
      <c r="K107" t="n">
        <v>1</v>
      </c>
      <c r="L107" t="n">
        <v>0</v>
      </c>
      <c r="M107" t="n">
        <v>0</v>
      </c>
      <c r="N107" t="n">
        <v>0</v>
      </c>
      <c r="O107" t="n">
        <v>2</v>
      </c>
      <c r="P107" t="n">
        <v>1</v>
      </c>
      <c r="Q107" t="n">
        <v>4</v>
      </c>
      <c r="R107" s="2" t="inlineStr">
        <is>
          <t>Knärot
Lunglav
Orre
Tjäder</t>
        </is>
      </c>
      <c r="S107">
        <f>HYPERLINK("https://klasma.github.io/Logging_2281/artfynd/A 21661-2022 artfynd.xlsx", "A 21661-2022")</f>
        <v/>
      </c>
      <c r="T107">
        <f>HYPERLINK("https://klasma.github.io/Logging_2281/kartor/A 21661-2022 karta.png", "A 21661-2022")</f>
        <v/>
      </c>
      <c r="U107">
        <f>HYPERLINK("https://klasma.github.io/Logging_2281/knärot/A 21661-2022 karta knärot.png",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27950-2022</t>
        </is>
      </c>
      <c r="B108" s="1" t="n">
        <v>44744</v>
      </c>
      <c r="C108" s="1" t="n">
        <v>45841</v>
      </c>
      <c r="D108" t="inlineStr">
        <is>
          <t>VÄSTERNORRLANDS LÄN</t>
        </is>
      </c>
      <c r="E108" t="inlineStr">
        <is>
          <t>SUNDSVALL</t>
        </is>
      </c>
      <c r="F108" t="inlineStr">
        <is>
          <t>SCA</t>
        </is>
      </c>
      <c r="G108" t="n">
        <v>3.6</v>
      </c>
      <c r="H108" t="n">
        <v>4</v>
      </c>
      <c r="I108" t="n">
        <v>0</v>
      </c>
      <c r="J108" t="n">
        <v>3</v>
      </c>
      <c r="K108" t="n">
        <v>1</v>
      </c>
      <c r="L108" t="n">
        <v>0</v>
      </c>
      <c r="M108" t="n">
        <v>0</v>
      </c>
      <c r="N108" t="n">
        <v>0</v>
      </c>
      <c r="O108" t="n">
        <v>4</v>
      </c>
      <c r="P108" t="n">
        <v>1</v>
      </c>
      <c r="Q108" t="n">
        <v>4</v>
      </c>
      <c r="R108" s="2" t="inlineStr">
        <is>
          <t>Knärot
Järpe
Spillkråka
Tretåig hackspett</t>
        </is>
      </c>
      <c r="S108">
        <f>HYPERLINK("https://klasma.github.io/Logging_2281/artfynd/A 27950-2022 artfynd.xlsx", "A 27950-2022")</f>
        <v/>
      </c>
      <c r="T108">
        <f>HYPERLINK("https://klasma.github.io/Logging_2281/kartor/A 27950-2022 karta.png", "A 27950-2022")</f>
        <v/>
      </c>
      <c r="U108">
        <f>HYPERLINK("https://klasma.github.io/Logging_2281/knärot/A 27950-2022 karta knärot.png", "A 27950-2022")</f>
        <v/>
      </c>
      <c r="V108">
        <f>HYPERLINK("https://klasma.github.io/Logging_2281/klagomål/A 27950-2022 FSC-klagomål.docx", "A 27950-2022")</f>
        <v/>
      </c>
      <c r="W108">
        <f>HYPERLINK("https://klasma.github.io/Logging_2281/klagomålsmail/A 27950-2022 FSC-klagomål mail.docx", "A 27950-2022")</f>
        <v/>
      </c>
      <c r="X108">
        <f>HYPERLINK("https://klasma.github.io/Logging_2281/tillsyn/A 27950-2022 tillsynsbegäran.docx", "A 27950-2022")</f>
        <v/>
      </c>
      <c r="Y108">
        <f>HYPERLINK("https://klasma.github.io/Logging_2281/tillsynsmail/A 27950-2022 tillsynsbegäran mail.docx", "A 27950-2022")</f>
        <v/>
      </c>
      <c r="Z108">
        <f>HYPERLINK("https://klasma.github.io/Logging_2281/fåglar/A 27950-2022 prioriterade fågelarter.docx", "A 27950-2022")</f>
        <v/>
      </c>
    </row>
    <row r="109" ht="15" customHeight="1">
      <c r="A109" t="inlineStr">
        <is>
          <t>A 48576-2022</t>
        </is>
      </c>
      <c r="B109" s="1" t="n">
        <v>44859</v>
      </c>
      <c r="C109" s="1" t="n">
        <v>45841</v>
      </c>
      <c r="D109" t="inlineStr">
        <is>
          <t>VÄSTERNORRLANDS LÄN</t>
        </is>
      </c>
      <c r="E109" t="inlineStr">
        <is>
          <t>SUNDSVALL</t>
        </is>
      </c>
      <c r="F109" t="inlineStr">
        <is>
          <t>Holmen skog AB</t>
        </is>
      </c>
      <c r="G109" t="n">
        <v>5</v>
      </c>
      <c r="H109" t="n">
        <v>0</v>
      </c>
      <c r="I109" t="n">
        <v>2</v>
      </c>
      <c r="J109" t="n">
        <v>2</v>
      </c>
      <c r="K109" t="n">
        <v>0</v>
      </c>
      <c r="L109" t="n">
        <v>0</v>
      </c>
      <c r="M109" t="n">
        <v>0</v>
      </c>
      <c r="N109" t="n">
        <v>0</v>
      </c>
      <c r="O109" t="n">
        <v>2</v>
      </c>
      <c r="P109" t="n">
        <v>0</v>
      </c>
      <c r="Q109" t="n">
        <v>4</v>
      </c>
      <c r="R109" s="2" t="inlineStr">
        <is>
          <t>Garnlav
Lunglav
Källmossor
Källpraktmossa</t>
        </is>
      </c>
      <c r="S109">
        <f>HYPERLINK("https://klasma.github.io/Logging_2281/artfynd/A 48576-2022 artfynd.xlsx", "A 48576-2022")</f>
        <v/>
      </c>
      <c r="T109">
        <f>HYPERLINK("https://klasma.github.io/Logging_2281/kartor/A 48576-2022 karta.png", "A 48576-2022")</f>
        <v/>
      </c>
      <c r="V109">
        <f>HYPERLINK("https://klasma.github.io/Logging_2281/klagomål/A 48576-2022 FSC-klagomål.docx", "A 48576-2022")</f>
        <v/>
      </c>
      <c r="W109">
        <f>HYPERLINK("https://klasma.github.io/Logging_2281/klagomålsmail/A 48576-2022 FSC-klagomål mail.docx", "A 48576-2022")</f>
        <v/>
      </c>
      <c r="X109">
        <f>HYPERLINK("https://klasma.github.io/Logging_2281/tillsyn/A 48576-2022 tillsynsbegäran.docx", "A 48576-2022")</f>
        <v/>
      </c>
      <c r="Y109">
        <f>HYPERLINK("https://klasma.github.io/Logging_2281/tillsynsmail/A 48576-2022 tillsynsbegäran mail.docx", "A 48576-2022")</f>
        <v/>
      </c>
    </row>
    <row r="110" ht="15" customHeight="1">
      <c r="A110" t="inlineStr">
        <is>
          <t>A 15985-2023</t>
        </is>
      </c>
      <c r="B110" s="1" t="n">
        <v>45022</v>
      </c>
      <c r="C110" s="1" t="n">
        <v>45841</v>
      </c>
      <c r="D110" t="inlineStr">
        <is>
          <t>VÄSTERNORRLANDS LÄN</t>
        </is>
      </c>
      <c r="E110" t="inlineStr">
        <is>
          <t>SUNDSVALL</t>
        </is>
      </c>
      <c r="F110" t="inlineStr">
        <is>
          <t>SCA</t>
        </is>
      </c>
      <c r="G110" t="n">
        <v>7.3</v>
      </c>
      <c r="H110" t="n">
        <v>3</v>
      </c>
      <c r="I110" t="n">
        <v>0</v>
      </c>
      <c r="J110" t="n">
        <v>1</v>
      </c>
      <c r="K110" t="n">
        <v>0</v>
      </c>
      <c r="L110" t="n">
        <v>0</v>
      </c>
      <c r="M110" t="n">
        <v>0</v>
      </c>
      <c r="N110" t="n">
        <v>0</v>
      </c>
      <c r="O110" t="n">
        <v>1</v>
      </c>
      <c r="P110" t="n">
        <v>0</v>
      </c>
      <c r="Q110" t="n">
        <v>4</v>
      </c>
      <c r="R110" s="2" t="inlineStr">
        <is>
          <t>Lunglav
Fläcknycklar
Nattviol
Revlummer</t>
        </is>
      </c>
      <c r="S110">
        <f>HYPERLINK("https://klasma.github.io/Logging_2281/artfynd/A 15985-2023 artfynd.xlsx", "A 15985-2023")</f>
        <v/>
      </c>
      <c r="T110">
        <f>HYPERLINK("https://klasma.github.io/Logging_2281/kartor/A 15985-2023 karta.png", "A 15985-2023")</f>
        <v/>
      </c>
      <c r="V110">
        <f>HYPERLINK("https://klasma.github.io/Logging_2281/klagomål/A 15985-2023 FSC-klagomål.docx", "A 15985-2023")</f>
        <v/>
      </c>
      <c r="W110">
        <f>HYPERLINK("https://klasma.github.io/Logging_2281/klagomålsmail/A 15985-2023 FSC-klagomål mail.docx", "A 15985-2023")</f>
        <v/>
      </c>
      <c r="X110">
        <f>HYPERLINK("https://klasma.github.io/Logging_2281/tillsyn/A 15985-2023 tillsynsbegäran.docx", "A 15985-2023")</f>
        <v/>
      </c>
      <c r="Y110">
        <f>HYPERLINK("https://klasma.github.io/Logging_2281/tillsynsmail/A 15985-2023 tillsynsbegäran mail.docx", "A 15985-2023")</f>
        <v/>
      </c>
    </row>
    <row r="111" ht="15" customHeight="1">
      <c r="A111" t="inlineStr">
        <is>
          <t>A 16767-2023</t>
        </is>
      </c>
      <c r="B111" s="1" t="n">
        <v>45030</v>
      </c>
      <c r="C111" s="1" t="n">
        <v>45841</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18375-2023</t>
        </is>
      </c>
      <c r="B112" s="1" t="n">
        <v>45041</v>
      </c>
      <c r="C112" s="1" t="n">
        <v>45841</v>
      </c>
      <c r="D112" t="inlineStr">
        <is>
          <t>VÄSTERNORRLANDS LÄN</t>
        </is>
      </c>
      <c r="E112" t="inlineStr">
        <is>
          <t>SUNDSVALL</t>
        </is>
      </c>
      <c r="F112" t="inlineStr">
        <is>
          <t>SCA</t>
        </is>
      </c>
      <c r="G112" t="n">
        <v>13.1</v>
      </c>
      <c r="H112" t="n">
        <v>1</v>
      </c>
      <c r="I112" t="n">
        <v>2</v>
      </c>
      <c r="J112" t="n">
        <v>2</v>
      </c>
      <c r="K112" t="n">
        <v>0</v>
      </c>
      <c r="L112" t="n">
        <v>0</v>
      </c>
      <c r="M112" t="n">
        <v>0</v>
      </c>
      <c r="N112" t="n">
        <v>0</v>
      </c>
      <c r="O112" t="n">
        <v>2</v>
      </c>
      <c r="P112" t="n">
        <v>0</v>
      </c>
      <c r="Q112" t="n">
        <v>4</v>
      </c>
      <c r="R112" s="2" t="inlineStr">
        <is>
          <t>Garnlav
Lunglav
Dropptaggsvamp
Plattlummer</t>
        </is>
      </c>
      <c r="S112">
        <f>HYPERLINK("https://klasma.github.io/Logging_2281/artfynd/A 18375-2023 artfynd.xlsx", "A 18375-2023")</f>
        <v/>
      </c>
      <c r="T112">
        <f>HYPERLINK("https://klasma.github.io/Logging_2281/kartor/A 18375-2023 karta.png", "A 18375-2023")</f>
        <v/>
      </c>
      <c r="V112">
        <f>HYPERLINK("https://klasma.github.io/Logging_2281/klagomål/A 18375-2023 FSC-klagomål.docx", "A 18375-2023")</f>
        <v/>
      </c>
      <c r="W112">
        <f>HYPERLINK("https://klasma.github.io/Logging_2281/klagomålsmail/A 18375-2023 FSC-klagomål mail.docx", "A 18375-2023")</f>
        <v/>
      </c>
      <c r="X112">
        <f>HYPERLINK("https://klasma.github.io/Logging_2281/tillsyn/A 18375-2023 tillsynsbegäran.docx", "A 18375-2023")</f>
        <v/>
      </c>
      <c r="Y112">
        <f>HYPERLINK("https://klasma.github.io/Logging_2281/tillsynsmail/A 18375-2023 tillsynsbegäran mail.docx", "A 18375-2023")</f>
        <v/>
      </c>
    </row>
    <row r="113" ht="15" customHeight="1">
      <c r="A113" t="inlineStr">
        <is>
          <t>A 18829-2023</t>
        </is>
      </c>
      <c r="B113" s="1" t="n">
        <v>45042</v>
      </c>
      <c r="C113" s="1" t="n">
        <v>45841</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44396-2023</t>
        </is>
      </c>
      <c r="B114" s="1" t="n">
        <v>45188</v>
      </c>
      <c r="C114" s="1" t="n">
        <v>45841</v>
      </c>
      <c r="D114" t="inlineStr">
        <is>
          <t>VÄSTERNORRLANDS LÄN</t>
        </is>
      </c>
      <c r="E114" t="inlineStr">
        <is>
          <t>SUNDSVALL</t>
        </is>
      </c>
      <c r="F114" t="inlineStr">
        <is>
          <t>SCA</t>
        </is>
      </c>
      <c r="G114" t="n">
        <v>11.9</v>
      </c>
      <c r="H114" t="n">
        <v>1</v>
      </c>
      <c r="I114" t="n">
        <v>0</v>
      </c>
      <c r="J114" t="n">
        <v>2</v>
      </c>
      <c r="K114" t="n">
        <v>2</v>
      </c>
      <c r="L114" t="n">
        <v>0</v>
      </c>
      <c r="M114" t="n">
        <v>0</v>
      </c>
      <c r="N114" t="n">
        <v>0</v>
      </c>
      <c r="O114" t="n">
        <v>4</v>
      </c>
      <c r="P114" t="n">
        <v>2</v>
      </c>
      <c r="Q114" t="n">
        <v>4</v>
      </c>
      <c r="R114" s="2" t="inlineStr">
        <is>
          <t>Blackticka
Långskägg
Garnlav
Lunglav</t>
        </is>
      </c>
      <c r="S114">
        <f>HYPERLINK("https://klasma.github.io/Logging_2281/artfynd/A 44396-2023 artfynd.xlsx", "A 44396-2023")</f>
        <v/>
      </c>
      <c r="T114">
        <f>HYPERLINK("https://klasma.github.io/Logging_2281/kartor/A 44396-2023 karta.png", "A 44396-2023")</f>
        <v/>
      </c>
      <c r="V114">
        <f>HYPERLINK("https://klasma.github.io/Logging_2281/klagomål/A 44396-2023 FSC-klagomål.docx", "A 44396-2023")</f>
        <v/>
      </c>
      <c r="W114">
        <f>HYPERLINK("https://klasma.github.io/Logging_2281/klagomålsmail/A 44396-2023 FSC-klagomål mail.docx", "A 44396-2023")</f>
        <v/>
      </c>
      <c r="X114">
        <f>HYPERLINK("https://klasma.github.io/Logging_2281/tillsyn/A 44396-2023 tillsynsbegäran.docx", "A 44396-2023")</f>
        <v/>
      </c>
      <c r="Y114">
        <f>HYPERLINK("https://klasma.github.io/Logging_2281/tillsynsmail/A 44396-2023 tillsynsbegäran mail.docx", "A 44396-2023")</f>
        <v/>
      </c>
    </row>
    <row r="115" ht="15" customHeight="1">
      <c r="A115" t="inlineStr">
        <is>
          <t>A 45949-2023</t>
        </is>
      </c>
      <c r="B115" s="1" t="n">
        <v>45195</v>
      </c>
      <c r="C115" s="1" t="n">
        <v>45841</v>
      </c>
      <c r="D115" t="inlineStr">
        <is>
          <t>VÄSTERNORRLANDS LÄN</t>
        </is>
      </c>
      <c r="E115" t="inlineStr">
        <is>
          <t>SUNDSVALL</t>
        </is>
      </c>
      <c r="F115" t="inlineStr">
        <is>
          <t>SCA</t>
        </is>
      </c>
      <c r="G115" t="n">
        <v>29.1</v>
      </c>
      <c r="H115" t="n">
        <v>4</v>
      </c>
      <c r="I115" t="n">
        <v>1</v>
      </c>
      <c r="J115" t="n">
        <v>2</v>
      </c>
      <c r="K115" t="n">
        <v>1</v>
      </c>
      <c r="L115" t="n">
        <v>0</v>
      </c>
      <c r="M115" t="n">
        <v>0</v>
      </c>
      <c r="N115" t="n">
        <v>0</v>
      </c>
      <c r="O115" t="n">
        <v>3</v>
      </c>
      <c r="P115" t="n">
        <v>1</v>
      </c>
      <c r="Q115" t="n">
        <v>4</v>
      </c>
      <c r="R115" s="2" t="inlineStr">
        <is>
          <t>Knärot
Spillkråka
Tretåig hackspett
Plattlummer</t>
        </is>
      </c>
      <c r="S115">
        <f>HYPERLINK("https://klasma.github.io/Logging_2281/artfynd/A 45949-2023 artfynd.xlsx", "A 45949-2023")</f>
        <v/>
      </c>
      <c r="T115">
        <f>HYPERLINK("https://klasma.github.io/Logging_2281/kartor/A 45949-2023 karta.png", "A 45949-2023")</f>
        <v/>
      </c>
      <c r="U115">
        <f>HYPERLINK("https://klasma.github.io/Logging_2281/knärot/A 45949-2023 karta knärot.png", "A 45949-2023")</f>
        <v/>
      </c>
      <c r="V115">
        <f>HYPERLINK("https://klasma.github.io/Logging_2281/klagomål/A 45949-2023 FSC-klagomål.docx", "A 45949-2023")</f>
        <v/>
      </c>
      <c r="W115">
        <f>HYPERLINK("https://klasma.github.io/Logging_2281/klagomålsmail/A 45949-2023 FSC-klagomål mail.docx", "A 45949-2023")</f>
        <v/>
      </c>
      <c r="X115">
        <f>HYPERLINK("https://klasma.github.io/Logging_2281/tillsyn/A 45949-2023 tillsynsbegäran.docx", "A 45949-2023")</f>
        <v/>
      </c>
      <c r="Y115">
        <f>HYPERLINK("https://klasma.github.io/Logging_2281/tillsynsmail/A 45949-2023 tillsynsbegäran mail.docx", "A 45949-2023")</f>
        <v/>
      </c>
      <c r="Z115">
        <f>HYPERLINK("https://klasma.github.io/Logging_2281/fåglar/A 45949-2023 prioriterade fågelarter.docx", "A 45949-2023")</f>
        <v/>
      </c>
    </row>
    <row r="116" ht="15" customHeight="1">
      <c r="A116" t="inlineStr">
        <is>
          <t>A 53044-2023</t>
        </is>
      </c>
      <c r="B116" s="1" t="n">
        <v>45226</v>
      </c>
      <c r="C116" s="1" t="n">
        <v>45841</v>
      </c>
      <c r="D116" t="inlineStr">
        <is>
          <t>VÄSTERNORRLANDS LÄN</t>
        </is>
      </c>
      <c r="E116" t="inlineStr">
        <is>
          <t>SUNDSVALL</t>
        </is>
      </c>
      <c r="F116" t="inlineStr">
        <is>
          <t>SCA</t>
        </is>
      </c>
      <c r="G116" t="n">
        <v>5.6</v>
      </c>
      <c r="H116" t="n">
        <v>0</v>
      </c>
      <c r="I116" t="n">
        <v>1</v>
      </c>
      <c r="J116" t="n">
        <v>3</v>
      </c>
      <c r="K116" t="n">
        <v>0</v>
      </c>
      <c r="L116" t="n">
        <v>0</v>
      </c>
      <c r="M116" t="n">
        <v>0</v>
      </c>
      <c r="N116" t="n">
        <v>0</v>
      </c>
      <c r="O116" t="n">
        <v>3</v>
      </c>
      <c r="P116" t="n">
        <v>0</v>
      </c>
      <c r="Q116" t="n">
        <v>4</v>
      </c>
      <c r="R116" s="2" t="inlineStr">
        <is>
          <t>Garnlav
Lunglav
Ullticka
Stuplav</t>
        </is>
      </c>
      <c r="S116">
        <f>HYPERLINK("https://klasma.github.io/Logging_2281/artfynd/A 53044-2023 artfynd.xlsx", "A 53044-2023")</f>
        <v/>
      </c>
      <c r="T116">
        <f>HYPERLINK("https://klasma.github.io/Logging_2281/kartor/A 53044-2023 karta.png", "A 53044-2023")</f>
        <v/>
      </c>
      <c r="V116">
        <f>HYPERLINK("https://klasma.github.io/Logging_2281/klagomål/A 53044-2023 FSC-klagomål.docx", "A 53044-2023")</f>
        <v/>
      </c>
      <c r="W116">
        <f>HYPERLINK("https://klasma.github.io/Logging_2281/klagomålsmail/A 53044-2023 FSC-klagomål mail.docx", "A 53044-2023")</f>
        <v/>
      </c>
      <c r="X116">
        <f>HYPERLINK("https://klasma.github.io/Logging_2281/tillsyn/A 53044-2023 tillsynsbegäran.docx", "A 53044-2023")</f>
        <v/>
      </c>
      <c r="Y116">
        <f>HYPERLINK("https://klasma.github.io/Logging_2281/tillsynsmail/A 53044-2023 tillsynsbegäran mail.docx", "A 53044-2023")</f>
        <v/>
      </c>
    </row>
    <row r="117" ht="15" customHeight="1">
      <c r="A117" t="inlineStr">
        <is>
          <t>A 54674-2023</t>
        </is>
      </c>
      <c r="B117" s="1" t="n">
        <v>45235</v>
      </c>
      <c r="C117" s="1" t="n">
        <v>45841</v>
      </c>
      <c r="D117" t="inlineStr">
        <is>
          <t>VÄSTERNORRLANDS LÄN</t>
        </is>
      </c>
      <c r="E117" t="inlineStr">
        <is>
          <t>SUNDSVALL</t>
        </is>
      </c>
      <c r="G117" t="n">
        <v>1.1</v>
      </c>
      <c r="H117" t="n">
        <v>4</v>
      </c>
      <c r="I117" t="n">
        <v>0</v>
      </c>
      <c r="J117" t="n">
        <v>2</v>
      </c>
      <c r="K117" t="n">
        <v>0</v>
      </c>
      <c r="L117" t="n">
        <v>0</v>
      </c>
      <c r="M117" t="n">
        <v>0</v>
      </c>
      <c r="N117" t="n">
        <v>0</v>
      </c>
      <c r="O117" t="n">
        <v>2</v>
      </c>
      <c r="P117" t="n">
        <v>0</v>
      </c>
      <c r="Q117" t="n">
        <v>4</v>
      </c>
      <c r="R117" s="2" t="inlineStr">
        <is>
          <t>Björktrast
Spillkråka
Grönsiska
Trana</t>
        </is>
      </c>
      <c r="S117">
        <f>HYPERLINK("https://klasma.github.io/Logging_2281/artfynd/A 54674-2023 artfynd.xlsx", "A 54674-2023")</f>
        <v/>
      </c>
      <c r="T117">
        <f>HYPERLINK("https://klasma.github.io/Logging_2281/kartor/A 54674-2023 karta.png", "A 54674-2023")</f>
        <v/>
      </c>
      <c r="V117">
        <f>HYPERLINK("https://klasma.github.io/Logging_2281/klagomål/A 54674-2023 FSC-klagomål.docx", "A 54674-2023")</f>
        <v/>
      </c>
      <c r="W117">
        <f>HYPERLINK("https://klasma.github.io/Logging_2281/klagomålsmail/A 54674-2023 FSC-klagomål mail.docx", "A 54674-2023")</f>
        <v/>
      </c>
      <c r="X117">
        <f>HYPERLINK("https://klasma.github.io/Logging_2281/tillsyn/A 54674-2023 tillsynsbegäran.docx", "A 54674-2023")</f>
        <v/>
      </c>
      <c r="Y117">
        <f>HYPERLINK("https://klasma.github.io/Logging_2281/tillsynsmail/A 54674-2023 tillsynsbegäran mail.docx", "A 54674-2023")</f>
        <v/>
      </c>
      <c r="Z117">
        <f>HYPERLINK("https://klasma.github.io/Logging_2281/fåglar/A 54674-2023 prioriterade fågelarter.docx", "A 54674-2023")</f>
        <v/>
      </c>
    </row>
    <row r="118" ht="15" customHeight="1">
      <c r="A118" t="inlineStr">
        <is>
          <t>A 29694-2024</t>
        </is>
      </c>
      <c r="B118" s="1" t="n">
        <v>45485</v>
      </c>
      <c r="C118" s="1" t="n">
        <v>45841</v>
      </c>
      <c r="D118" t="inlineStr">
        <is>
          <t>VÄSTERNORRLANDS LÄN</t>
        </is>
      </c>
      <c r="E118" t="inlineStr">
        <is>
          <t>SUNDSVALL</t>
        </is>
      </c>
      <c r="F118" t="inlineStr">
        <is>
          <t>SCA</t>
        </is>
      </c>
      <c r="G118" t="n">
        <v>13.1</v>
      </c>
      <c r="H118" t="n">
        <v>2</v>
      </c>
      <c r="I118" t="n">
        <v>1</v>
      </c>
      <c r="J118" t="n">
        <v>3</v>
      </c>
      <c r="K118" t="n">
        <v>0</v>
      </c>
      <c r="L118" t="n">
        <v>0</v>
      </c>
      <c r="M118" t="n">
        <v>0</v>
      </c>
      <c r="N118" t="n">
        <v>0</v>
      </c>
      <c r="O118" t="n">
        <v>3</v>
      </c>
      <c r="P118" t="n">
        <v>0</v>
      </c>
      <c r="Q118" t="n">
        <v>4</v>
      </c>
      <c r="R118" s="2" t="inlineStr">
        <is>
          <t>Rosenticka
Spillkråka
Talltita
Stor aspticka</t>
        </is>
      </c>
      <c r="S118">
        <f>HYPERLINK("https://klasma.github.io/Logging_2281/artfynd/A 29694-2024 artfynd.xlsx", "A 29694-2024")</f>
        <v/>
      </c>
      <c r="T118">
        <f>HYPERLINK("https://klasma.github.io/Logging_2281/kartor/A 29694-2024 karta.png", "A 29694-2024")</f>
        <v/>
      </c>
      <c r="V118">
        <f>HYPERLINK("https://klasma.github.io/Logging_2281/klagomål/A 29694-2024 FSC-klagomål.docx", "A 29694-2024")</f>
        <v/>
      </c>
      <c r="W118">
        <f>HYPERLINK("https://klasma.github.io/Logging_2281/klagomålsmail/A 29694-2024 FSC-klagomål mail.docx", "A 29694-2024")</f>
        <v/>
      </c>
      <c r="X118">
        <f>HYPERLINK("https://klasma.github.io/Logging_2281/tillsyn/A 29694-2024 tillsynsbegäran.docx", "A 29694-2024")</f>
        <v/>
      </c>
      <c r="Y118">
        <f>HYPERLINK("https://klasma.github.io/Logging_2281/tillsynsmail/A 29694-2024 tillsynsbegäran mail.docx", "A 29694-2024")</f>
        <v/>
      </c>
      <c r="Z118">
        <f>HYPERLINK("https://klasma.github.io/Logging_2281/fåglar/A 29694-2024 prioriterade fågelarter.docx", "A 29694-2024")</f>
        <v/>
      </c>
    </row>
    <row r="119" ht="15" customHeight="1">
      <c r="A119" t="inlineStr">
        <is>
          <t>A 50551-2024</t>
        </is>
      </c>
      <c r="B119" s="1" t="n">
        <v>45600</v>
      </c>
      <c r="C119" s="1" t="n">
        <v>45841</v>
      </c>
      <c r="D119" t="inlineStr">
        <is>
          <t>VÄSTERNORRLANDS LÄN</t>
        </is>
      </c>
      <c r="E119" t="inlineStr">
        <is>
          <t>SUNDSVALL</t>
        </is>
      </c>
      <c r="F119" t="inlineStr">
        <is>
          <t>Kommuner</t>
        </is>
      </c>
      <c r="G119" t="n">
        <v>19.7</v>
      </c>
      <c r="H119" t="n">
        <v>3</v>
      </c>
      <c r="I119" t="n">
        <v>0</v>
      </c>
      <c r="J119" t="n">
        <v>3</v>
      </c>
      <c r="K119" t="n">
        <v>1</v>
      </c>
      <c r="L119" t="n">
        <v>0</v>
      </c>
      <c r="M119" t="n">
        <v>0</v>
      </c>
      <c r="N119" t="n">
        <v>0</v>
      </c>
      <c r="O119" t="n">
        <v>4</v>
      </c>
      <c r="P119" t="n">
        <v>1</v>
      </c>
      <c r="Q119" t="n">
        <v>4</v>
      </c>
      <c r="R119" s="2" t="inlineStr">
        <is>
          <t>Havstrut
Flodsångare
Rödprick
Spillkråka</t>
        </is>
      </c>
      <c r="S119">
        <f>HYPERLINK("https://klasma.github.io/Logging_2281/artfynd/A 50551-2024 artfynd.xlsx", "A 50551-2024")</f>
        <v/>
      </c>
      <c r="T119">
        <f>HYPERLINK("https://klasma.github.io/Logging_2281/kartor/A 50551-2024 karta.png", "A 50551-2024")</f>
        <v/>
      </c>
      <c r="V119">
        <f>HYPERLINK("https://klasma.github.io/Logging_2281/klagomål/A 50551-2024 FSC-klagomål.docx", "A 50551-2024")</f>
        <v/>
      </c>
      <c r="W119">
        <f>HYPERLINK("https://klasma.github.io/Logging_2281/klagomålsmail/A 50551-2024 FSC-klagomål mail.docx", "A 50551-2024")</f>
        <v/>
      </c>
      <c r="X119">
        <f>HYPERLINK("https://klasma.github.io/Logging_2281/tillsyn/A 50551-2024 tillsynsbegäran.docx", "A 50551-2024")</f>
        <v/>
      </c>
      <c r="Y119">
        <f>HYPERLINK("https://klasma.github.io/Logging_2281/tillsynsmail/A 50551-2024 tillsynsbegäran mail.docx", "A 50551-2024")</f>
        <v/>
      </c>
      <c r="Z119">
        <f>HYPERLINK("https://klasma.github.io/Logging_2281/fåglar/A 50551-2024 prioriterade fågelarter.docx", "A 50551-2024")</f>
        <v/>
      </c>
    </row>
    <row r="120" ht="15" customHeight="1">
      <c r="A120" t="inlineStr">
        <is>
          <t>A 60194-2024</t>
        </is>
      </c>
      <c r="B120" s="1" t="n">
        <v>45642</v>
      </c>
      <c r="C120" s="1" t="n">
        <v>45841</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9509-2025</t>
        </is>
      </c>
      <c r="B121" s="1" t="n">
        <v>45715</v>
      </c>
      <c r="C121" s="1" t="n">
        <v>45841</v>
      </c>
      <c r="D121" t="inlineStr">
        <is>
          <t>VÄSTERNORRLANDS LÄN</t>
        </is>
      </c>
      <c r="E121" t="inlineStr">
        <is>
          <t>SUNDSVALL</t>
        </is>
      </c>
      <c r="G121" t="n">
        <v>5.1</v>
      </c>
      <c r="H121" t="n">
        <v>4</v>
      </c>
      <c r="I121" t="n">
        <v>1</v>
      </c>
      <c r="J121" t="n">
        <v>2</v>
      </c>
      <c r="K121" t="n">
        <v>1</v>
      </c>
      <c r="L121" t="n">
        <v>0</v>
      </c>
      <c r="M121" t="n">
        <v>0</v>
      </c>
      <c r="N121" t="n">
        <v>0</v>
      </c>
      <c r="O121" t="n">
        <v>3</v>
      </c>
      <c r="P121" t="n">
        <v>1</v>
      </c>
      <c r="Q121" t="n">
        <v>4</v>
      </c>
      <c r="R121" s="2" t="inlineStr">
        <is>
          <t>Knärot
Spillkråka
Tretåig hackspett
Plattlummer</t>
        </is>
      </c>
      <c r="S121">
        <f>HYPERLINK("https://klasma.github.io/Logging_222281/artfynd/A 9509-2025 artfynd.xlsx", "A 9509-2025")</f>
        <v/>
      </c>
      <c r="T121">
        <f>HYPERLINK("https://klasma.github.io/Logging_222281/kartor/A 9509-2025 karta.png", "A 9509-2025")</f>
        <v/>
      </c>
      <c r="U121">
        <f>HYPERLINK("https://klasma.github.io/Logging_222281/knärot/A 9509-2025 karta knärot.png", "A 9509-2025")</f>
        <v/>
      </c>
      <c r="V121">
        <f>HYPERLINK("https://klasma.github.io/Logging_222281/klagomål/A 9509-2025 FSC-klagomål.docx", "A 9509-2025")</f>
        <v/>
      </c>
      <c r="W121">
        <f>HYPERLINK("https://klasma.github.io/Logging_222281/klagomålsmail/A 9509-2025 FSC-klagomål mail.docx", "A 9509-2025")</f>
        <v/>
      </c>
      <c r="X121">
        <f>HYPERLINK("https://klasma.github.io/Logging_222281/tillsyn/A 9509-2025 tillsynsbegäran.docx", "A 9509-2025")</f>
        <v/>
      </c>
      <c r="Y121">
        <f>HYPERLINK("https://klasma.github.io/Logging_222281/tillsynsmail/A 9509-2025 tillsynsbegäran mail.docx", "A 9509-2025")</f>
        <v/>
      </c>
      <c r="Z121">
        <f>HYPERLINK("https://klasma.github.io/Logging_222281/fåglar/A 9509-2025 prioriterade fågelarter.docx", "A 9509-2025")</f>
        <v/>
      </c>
    </row>
    <row r="122" ht="15" customHeight="1">
      <c r="A122" t="inlineStr">
        <is>
          <t>A 13391-2025</t>
        </is>
      </c>
      <c r="B122" s="1" t="n">
        <v>45735</v>
      </c>
      <c r="C122" s="1" t="n">
        <v>45841</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HYPERLINK("https://klasma.github.io/Logging_222281/artfynd/A 13391-2025 artfynd.xlsx", "A 13391-2025")</f>
        <v/>
      </c>
      <c r="T122">
        <f>HYPERLINK("https://klasma.github.io/Logging_222281/kartor/A 13391-2025 karta.png", "A 13391-2025")</f>
        <v/>
      </c>
      <c r="V122">
        <f>HYPERLINK("https://klasma.github.io/Logging_222281/klagomål/A 13391-2025 FSC-klagomål.docx", "A 13391-2025")</f>
        <v/>
      </c>
      <c r="W122">
        <f>HYPERLINK("https://klasma.github.io/Logging_222281/klagomålsmail/A 13391-2025 FSC-klagomål mail.docx", "A 13391-2025")</f>
        <v/>
      </c>
      <c r="X122">
        <f>HYPERLINK("https://klasma.github.io/Logging_222281/tillsyn/A 13391-2025 tillsynsbegäran.docx", "A 13391-2025")</f>
        <v/>
      </c>
      <c r="Y122">
        <f>HYPERLINK("https://klasma.github.io/Logging_222281/tillsynsmail/A 13391-2025 tillsynsbegäran mail.docx", "A 13391-2025")</f>
        <v/>
      </c>
      <c r="Z122">
        <f>HYPERLINK("https://klasma.github.io/Logging_222281/fåglar/A 13391-2025 prioriterade fågelarter.docx", "A 13391-2025")</f>
        <v/>
      </c>
    </row>
    <row r="123" ht="15" customHeight="1">
      <c r="A123" t="inlineStr">
        <is>
          <t>A 16319-2025</t>
        </is>
      </c>
      <c r="B123" s="1" t="n">
        <v>45751</v>
      </c>
      <c r="C123" s="1" t="n">
        <v>45841</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HYPERLINK("https://klasma.github.io/Logging_222281/artfynd/A 16319-2025 artfynd.xlsx", "A 16319-2025")</f>
        <v/>
      </c>
      <c r="T123">
        <f>HYPERLINK("https://klasma.github.io/Logging_222281/kartor/A 16319-2025 karta.png", "A 16319-2025")</f>
        <v/>
      </c>
      <c r="V123">
        <f>HYPERLINK("https://klasma.github.io/Logging_222281/klagomål/A 16319-2025 FSC-klagomål.docx", "A 16319-2025")</f>
        <v/>
      </c>
      <c r="W123">
        <f>HYPERLINK("https://klasma.github.io/Logging_222281/klagomålsmail/A 16319-2025 FSC-klagomål mail.docx", "A 16319-2025")</f>
        <v/>
      </c>
      <c r="X123">
        <f>HYPERLINK("https://klasma.github.io/Logging_222281/tillsyn/A 16319-2025 tillsynsbegäran.docx", "A 16319-2025")</f>
        <v/>
      </c>
      <c r="Y123">
        <f>HYPERLINK("https://klasma.github.io/Logging_222281/tillsynsmail/A 16319-2025 tillsynsbegäran mail.docx", "A 16319-2025")</f>
        <v/>
      </c>
      <c r="Z123">
        <f>HYPERLINK("https://klasma.github.io/Logging_222281/fåglar/A 16319-2025 prioriterade fågelarter.docx", "A 16319-2025")</f>
        <v/>
      </c>
    </row>
    <row r="124" ht="15" customHeight="1">
      <c r="A124" t="inlineStr">
        <is>
          <t>A 21594-2025</t>
        </is>
      </c>
      <c r="B124" s="1" t="n">
        <v>45783</v>
      </c>
      <c r="C124" s="1" t="n">
        <v>45841</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HYPERLINK("https://klasma.github.io/Logging_222281/artfynd/A 21594-2025 artfynd.xlsx", "A 21594-2025")</f>
        <v/>
      </c>
      <c r="T124">
        <f>HYPERLINK("https://klasma.github.io/Logging_222281/kartor/A 21594-2025 karta.png", "A 21594-2025")</f>
        <v/>
      </c>
      <c r="V124">
        <f>HYPERLINK("https://klasma.github.io/Logging_222281/klagomål/A 21594-2025 FSC-klagomål.docx", "A 21594-2025")</f>
        <v/>
      </c>
      <c r="W124">
        <f>HYPERLINK("https://klasma.github.io/Logging_222281/klagomålsmail/A 21594-2025 FSC-klagomål mail.docx", "A 21594-2025")</f>
        <v/>
      </c>
      <c r="X124">
        <f>HYPERLINK("https://klasma.github.io/Logging_222281/tillsyn/A 21594-2025 tillsynsbegäran.docx", "A 21594-2025")</f>
        <v/>
      </c>
      <c r="Y124">
        <f>HYPERLINK("https://klasma.github.io/Logging_222281/tillsynsmail/A 21594-2025 tillsynsbegäran mail.docx", "A 21594-2025")</f>
        <v/>
      </c>
    </row>
    <row r="125" ht="15" customHeight="1">
      <c r="A125" t="inlineStr">
        <is>
          <t>A 21986-2025</t>
        </is>
      </c>
      <c r="B125" s="1" t="n">
        <v>45784</v>
      </c>
      <c r="C125" s="1" t="n">
        <v>45841</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HYPERLINK("https://klasma.github.io/Logging_222281/artfynd/A 21986-2025 artfynd.xlsx", "A 21986-2025")</f>
        <v/>
      </c>
      <c r="T125">
        <f>HYPERLINK("https://klasma.github.io/Logging_222281/kartor/A 21986-2025 karta.png", "A 21986-2025")</f>
        <v/>
      </c>
      <c r="V125">
        <f>HYPERLINK("https://klasma.github.io/Logging_222281/klagomål/A 21986-2025 FSC-klagomål.docx", "A 21986-2025")</f>
        <v/>
      </c>
      <c r="W125">
        <f>HYPERLINK("https://klasma.github.io/Logging_222281/klagomålsmail/A 21986-2025 FSC-klagomål mail.docx", "A 21986-2025")</f>
        <v/>
      </c>
      <c r="X125">
        <f>HYPERLINK("https://klasma.github.io/Logging_222281/tillsyn/A 21986-2025 tillsynsbegäran.docx", "A 21986-2025")</f>
        <v/>
      </c>
      <c r="Y125">
        <f>HYPERLINK("https://klasma.github.io/Logging_222281/tillsynsmail/A 21986-2025 tillsynsbegäran mail.docx", "A 21986-2025")</f>
        <v/>
      </c>
    </row>
    <row r="126" ht="15" customHeight="1">
      <c r="A126" t="inlineStr">
        <is>
          <t>A 22114-2025</t>
        </is>
      </c>
      <c r="B126" s="1" t="n">
        <v>45785</v>
      </c>
      <c r="C126" s="1" t="n">
        <v>45841</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HYPERLINK("https://klasma.github.io/Logging_222281/artfynd/A 22114-2025 artfynd.xlsx", "A 22114-2025")</f>
        <v/>
      </c>
      <c r="T126">
        <f>HYPERLINK("https://klasma.github.io/Logging_222281/kartor/A 22114-2025 karta.png", "A 22114-2025")</f>
        <v/>
      </c>
      <c r="V126">
        <f>HYPERLINK("https://klasma.github.io/Logging_222281/klagomål/A 22114-2025 FSC-klagomål.docx", "A 22114-2025")</f>
        <v/>
      </c>
      <c r="W126">
        <f>HYPERLINK("https://klasma.github.io/Logging_222281/klagomålsmail/A 22114-2025 FSC-klagomål mail.docx", "A 22114-2025")</f>
        <v/>
      </c>
      <c r="X126">
        <f>HYPERLINK("https://klasma.github.io/Logging_222281/tillsyn/A 22114-2025 tillsynsbegäran.docx", "A 22114-2025")</f>
        <v/>
      </c>
      <c r="Y126">
        <f>HYPERLINK("https://klasma.github.io/Logging_222281/tillsynsmail/A 22114-2025 tillsynsbegäran mail.docx", "A 22114-2025")</f>
        <v/>
      </c>
    </row>
    <row r="127" ht="15" customHeight="1">
      <c r="A127" t="inlineStr">
        <is>
          <t>A 24422-2025</t>
        </is>
      </c>
      <c r="B127" s="1" t="n">
        <v>45797</v>
      </c>
      <c r="C127" s="1" t="n">
        <v>45841</v>
      </c>
      <c r="D127" t="inlineStr">
        <is>
          <t>VÄSTERNORRLANDS LÄN</t>
        </is>
      </c>
      <c r="E127" t="inlineStr">
        <is>
          <t>SUNDSVALL</t>
        </is>
      </c>
      <c r="F127" t="inlineStr">
        <is>
          <t>SCA</t>
        </is>
      </c>
      <c r="G127" t="n">
        <v>2.2</v>
      </c>
      <c r="H127" t="n">
        <v>2</v>
      </c>
      <c r="I127" t="n">
        <v>0</v>
      </c>
      <c r="J127" t="n">
        <v>3</v>
      </c>
      <c r="K127" t="n">
        <v>0</v>
      </c>
      <c r="L127" t="n">
        <v>0</v>
      </c>
      <c r="M127" t="n">
        <v>0</v>
      </c>
      <c r="N127" t="n">
        <v>0</v>
      </c>
      <c r="O127" t="n">
        <v>3</v>
      </c>
      <c r="P127" t="n">
        <v>0</v>
      </c>
      <c r="Q127" t="n">
        <v>4</v>
      </c>
      <c r="R127" s="2" t="inlineStr">
        <is>
          <t>Garnlav
Lunglav
Tretåig hackspett
Revlummer</t>
        </is>
      </c>
      <c r="S127">
        <f>HYPERLINK("https://klasma.github.io/Logging_222281/artfynd/A 24422-2025 artfynd.xlsx", "A 24422-2025")</f>
        <v/>
      </c>
      <c r="T127">
        <f>HYPERLINK("https://klasma.github.io/Logging_222281/kartor/A 24422-2025 karta.png", "A 24422-2025")</f>
        <v/>
      </c>
      <c r="V127">
        <f>HYPERLINK("https://klasma.github.io/Logging_222281/klagomål/A 24422-2025 FSC-klagomål.docx", "A 24422-2025")</f>
        <v/>
      </c>
      <c r="W127">
        <f>HYPERLINK("https://klasma.github.io/Logging_222281/klagomålsmail/A 24422-2025 FSC-klagomål mail.docx", "A 24422-2025")</f>
        <v/>
      </c>
      <c r="X127">
        <f>HYPERLINK("https://klasma.github.io/Logging_222281/tillsyn/A 24422-2025 tillsynsbegäran.docx", "A 24422-2025")</f>
        <v/>
      </c>
      <c r="Y127">
        <f>HYPERLINK("https://klasma.github.io/Logging_222281/tillsynsmail/A 24422-2025 tillsynsbegäran mail.docx", "A 24422-2025")</f>
        <v/>
      </c>
      <c r="Z127">
        <f>HYPERLINK("https://klasma.github.io/Logging_222281/fåglar/A 24422-2025 prioriterade fågelarter.docx", "A 24422-2025")</f>
        <v/>
      </c>
    </row>
    <row r="128" ht="15" customHeight="1">
      <c r="A128" t="inlineStr">
        <is>
          <t>A 44607-2019</t>
        </is>
      </c>
      <c r="B128" s="1" t="n">
        <v>43711</v>
      </c>
      <c r="C128" s="1" t="n">
        <v>45841</v>
      </c>
      <c r="D128" t="inlineStr">
        <is>
          <t>VÄSTERNORRLANDS LÄN</t>
        </is>
      </c>
      <c r="E128" t="inlineStr">
        <is>
          <t>SUNDSVALL</t>
        </is>
      </c>
      <c r="G128" t="n">
        <v>1.6</v>
      </c>
      <c r="H128" t="n">
        <v>3</v>
      </c>
      <c r="I128" t="n">
        <v>0</v>
      </c>
      <c r="J128" t="n">
        <v>2</v>
      </c>
      <c r="K128" t="n">
        <v>0</v>
      </c>
      <c r="L128" t="n">
        <v>0</v>
      </c>
      <c r="M128" t="n">
        <v>0</v>
      </c>
      <c r="N128" t="n">
        <v>0</v>
      </c>
      <c r="O128" t="n">
        <v>2</v>
      </c>
      <c r="P128" t="n">
        <v>0</v>
      </c>
      <c r="Q128" t="n">
        <v>3</v>
      </c>
      <c r="R128" s="2" t="inlineStr">
        <is>
          <t>Järpe
Talltita
Grönsiska</t>
        </is>
      </c>
      <c r="S128">
        <f>HYPERLINK("https://klasma.github.io/Logging_2281/artfynd/A 44607-2019 artfynd.xlsx", "A 44607-2019")</f>
        <v/>
      </c>
      <c r="T128">
        <f>HYPERLINK("https://klasma.github.io/Logging_2281/kartor/A 44607-2019 karta.png", "A 44607-2019")</f>
        <v/>
      </c>
      <c r="V128">
        <f>HYPERLINK("https://klasma.github.io/Logging_2281/klagomål/A 44607-2019 FSC-klagomål.docx", "A 44607-2019")</f>
        <v/>
      </c>
      <c r="W128">
        <f>HYPERLINK("https://klasma.github.io/Logging_2281/klagomålsmail/A 44607-2019 FSC-klagomål mail.docx", "A 44607-2019")</f>
        <v/>
      </c>
      <c r="X128">
        <f>HYPERLINK("https://klasma.github.io/Logging_2281/tillsyn/A 44607-2019 tillsynsbegäran.docx", "A 44607-2019")</f>
        <v/>
      </c>
      <c r="Y128">
        <f>HYPERLINK("https://klasma.github.io/Logging_2281/tillsynsmail/A 44607-2019 tillsynsbegäran mail.docx", "A 44607-2019")</f>
        <v/>
      </c>
      <c r="Z128">
        <f>HYPERLINK("https://klasma.github.io/Logging_2281/fåglar/A 44607-2019 prioriterade fågelarter.docx", "A 44607-2019")</f>
        <v/>
      </c>
    </row>
    <row r="129" ht="15" customHeight="1">
      <c r="A129" t="inlineStr">
        <is>
          <t>A 65041-2019</t>
        </is>
      </c>
      <c r="B129" s="1" t="n">
        <v>43801</v>
      </c>
      <c r="C129" s="1" t="n">
        <v>45841</v>
      </c>
      <c r="D129" t="inlineStr">
        <is>
          <t>VÄSTERNORRLANDS LÄN</t>
        </is>
      </c>
      <c r="E129" t="inlineStr">
        <is>
          <t>SUNDSVALL</t>
        </is>
      </c>
      <c r="F129" t="inlineStr">
        <is>
          <t>Naturvårdsverket</t>
        </is>
      </c>
      <c r="G129" t="n">
        <v>33.1</v>
      </c>
      <c r="H129" t="n">
        <v>2</v>
      </c>
      <c r="I129" t="n">
        <v>0</v>
      </c>
      <c r="J129" t="n">
        <v>3</v>
      </c>
      <c r="K129" t="n">
        <v>0</v>
      </c>
      <c r="L129" t="n">
        <v>0</v>
      </c>
      <c r="M129" t="n">
        <v>0</v>
      </c>
      <c r="N129" t="n">
        <v>0</v>
      </c>
      <c r="O129" t="n">
        <v>3</v>
      </c>
      <c r="P129" t="n">
        <v>0</v>
      </c>
      <c r="Q129" t="n">
        <v>3</v>
      </c>
      <c r="R129" s="2" t="inlineStr">
        <is>
          <t>Dvärgbägarlav
Spillkråka
Tretåig hackspett</t>
        </is>
      </c>
      <c r="S129">
        <f>HYPERLINK("https://klasma.github.io/Logging_2281/artfynd/A 65041-2019 artfynd.xlsx", "A 65041-2019")</f>
        <v/>
      </c>
      <c r="T129">
        <f>HYPERLINK("https://klasma.github.io/Logging_2281/kartor/A 65041-2019 karta.png", "A 65041-2019")</f>
        <v/>
      </c>
      <c r="V129">
        <f>HYPERLINK("https://klasma.github.io/Logging_2281/klagomål/A 65041-2019 FSC-klagomål.docx", "A 65041-2019")</f>
        <v/>
      </c>
      <c r="W129">
        <f>HYPERLINK("https://klasma.github.io/Logging_2281/klagomålsmail/A 65041-2019 FSC-klagomål mail.docx", "A 65041-2019")</f>
        <v/>
      </c>
      <c r="X129">
        <f>HYPERLINK("https://klasma.github.io/Logging_2281/tillsyn/A 65041-2019 tillsynsbegäran.docx", "A 65041-2019")</f>
        <v/>
      </c>
      <c r="Y129">
        <f>HYPERLINK("https://klasma.github.io/Logging_2281/tillsynsmail/A 65041-2019 tillsynsbegäran mail.docx", "A 65041-2019")</f>
        <v/>
      </c>
      <c r="Z129">
        <f>HYPERLINK("https://klasma.github.io/Logging_2281/fåglar/A 65041-2019 prioriterade fågelarter.docx", "A 65041-2019")</f>
        <v/>
      </c>
    </row>
    <row r="130" ht="15" customHeight="1">
      <c r="A130" t="inlineStr">
        <is>
          <t>A 22407-2020</t>
        </is>
      </c>
      <c r="B130" s="1" t="n">
        <v>43962</v>
      </c>
      <c r="C130" s="1" t="n">
        <v>45841</v>
      </c>
      <c r="D130" t="inlineStr">
        <is>
          <t>VÄSTERNORRLANDS LÄN</t>
        </is>
      </c>
      <c r="E130" t="inlineStr">
        <is>
          <t>SUNDSVALL</t>
        </is>
      </c>
      <c r="G130" t="n">
        <v>1</v>
      </c>
      <c r="H130" t="n">
        <v>0</v>
      </c>
      <c r="I130" t="n">
        <v>1</v>
      </c>
      <c r="J130" t="n">
        <v>2</v>
      </c>
      <c r="K130" t="n">
        <v>0</v>
      </c>
      <c r="L130" t="n">
        <v>0</v>
      </c>
      <c r="M130" t="n">
        <v>0</v>
      </c>
      <c r="N130" t="n">
        <v>0</v>
      </c>
      <c r="O130" t="n">
        <v>2</v>
      </c>
      <c r="P130" t="n">
        <v>0</v>
      </c>
      <c r="Q130" t="n">
        <v>3</v>
      </c>
      <c r="R130" s="2" t="inlineStr">
        <is>
          <t>Slåtterfibbla
Ullticka
Dropptaggsvamp</t>
        </is>
      </c>
      <c r="S130">
        <f>HYPERLINK("https://klasma.github.io/Logging_2281/artfynd/A 22407-2020 artfynd.xlsx", "A 22407-2020")</f>
        <v/>
      </c>
      <c r="T130">
        <f>HYPERLINK("https://klasma.github.io/Logging_2281/kartor/A 22407-2020 karta.png", "A 22407-2020")</f>
        <v/>
      </c>
      <c r="U130">
        <f>HYPERLINK("https://klasma.github.io/Logging_2281/knärot/A 22407-2020 karta knärot.png", "A 22407-2020")</f>
        <v/>
      </c>
      <c r="V130">
        <f>HYPERLINK("https://klasma.github.io/Logging_2281/klagomål/A 22407-2020 FSC-klagomål.docx", "A 22407-2020")</f>
        <v/>
      </c>
      <c r="W130">
        <f>HYPERLINK("https://klasma.github.io/Logging_2281/klagomålsmail/A 22407-2020 FSC-klagomål mail.docx", "A 22407-2020")</f>
        <v/>
      </c>
      <c r="X130">
        <f>HYPERLINK("https://klasma.github.io/Logging_2281/tillsyn/A 22407-2020 tillsynsbegäran.docx", "A 22407-2020")</f>
        <v/>
      </c>
      <c r="Y130">
        <f>HYPERLINK("https://klasma.github.io/Logging_2281/tillsynsmail/A 22407-2020 tillsynsbegäran mail.docx", "A 22407-2020")</f>
        <v/>
      </c>
    </row>
    <row r="131" ht="15" customHeight="1">
      <c r="A131" t="inlineStr">
        <is>
          <t>A 50336-2020</t>
        </is>
      </c>
      <c r="B131" s="1" t="n">
        <v>44110</v>
      </c>
      <c r="C131" s="1" t="n">
        <v>45841</v>
      </c>
      <c r="D131" t="inlineStr">
        <is>
          <t>VÄSTERNORRLANDS LÄN</t>
        </is>
      </c>
      <c r="E131" t="inlineStr">
        <is>
          <t>SUNDSVALL</t>
        </is>
      </c>
      <c r="F131" t="inlineStr">
        <is>
          <t>Kommuner</t>
        </is>
      </c>
      <c r="G131" t="n">
        <v>6.9</v>
      </c>
      <c r="H131" t="n">
        <v>3</v>
      </c>
      <c r="I131" t="n">
        <v>0</v>
      </c>
      <c r="J131" t="n">
        <v>1</v>
      </c>
      <c r="K131" t="n">
        <v>0</v>
      </c>
      <c r="L131" t="n">
        <v>0</v>
      </c>
      <c r="M131" t="n">
        <v>0</v>
      </c>
      <c r="N131" t="n">
        <v>0</v>
      </c>
      <c r="O131" t="n">
        <v>1</v>
      </c>
      <c r="P131" t="n">
        <v>0</v>
      </c>
      <c r="Q131" t="n">
        <v>3</v>
      </c>
      <c r="R131" s="2" t="inlineStr">
        <is>
          <t>Rödvingetrast
Gråkråka
Gråspett</t>
        </is>
      </c>
      <c r="S131">
        <f>HYPERLINK("https://klasma.github.io/Logging_2281/artfynd/A 50336-2020 artfynd.xlsx", "A 50336-2020")</f>
        <v/>
      </c>
      <c r="T131">
        <f>HYPERLINK("https://klasma.github.io/Logging_2281/kartor/A 50336-2020 karta.png", "A 50336-2020")</f>
        <v/>
      </c>
      <c r="V131">
        <f>HYPERLINK("https://klasma.github.io/Logging_2281/klagomål/A 50336-2020 FSC-klagomål.docx", "A 50336-2020")</f>
        <v/>
      </c>
      <c r="W131">
        <f>HYPERLINK("https://klasma.github.io/Logging_2281/klagomålsmail/A 50336-2020 FSC-klagomål mail.docx", "A 50336-2020")</f>
        <v/>
      </c>
      <c r="X131">
        <f>HYPERLINK("https://klasma.github.io/Logging_2281/tillsyn/A 50336-2020 tillsynsbegäran.docx", "A 50336-2020")</f>
        <v/>
      </c>
      <c r="Y131">
        <f>HYPERLINK("https://klasma.github.io/Logging_2281/tillsynsmail/A 50336-2020 tillsynsbegäran mail.docx", "A 50336-2020")</f>
        <v/>
      </c>
      <c r="Z131">
        <f>HYPERLINK("https://klasma.github.io/Logging_2281/fåglar/A 50336-2020 prioriterade fågelarter.docx", "A 50336-2020")</f>
        <v/>
      </c>
    </row>
    <row r="132" ht="15" customHeight="1">
      <c r="A132" t="inlineStr">
        <is>
          <t>A 11351-2022</t>
        </is>
      </c>
      <c r="B132" s="1" t="n">
        <v>44630</v>
      </c>
      <c r="C132" s="1" t="n">
        <v>45841</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14677-2022</t>
        </is>
      </c>
      <c r="B133" s="1" t="n">
        <v>44655</v>
      </c>
      <c r="C133" s="1" t="n">
        <v>45841</v>
      </c>
      <c r="D133" t="inlineStr">
        <is>
          <t>VÄSTERNORRLANDS LÄN</t>
        </is>
      </c>
      <c r="E133" t="inlineStr">
        <is>
          <t>SUNDSVALL</t>
        </is>
      </c>
      <c r="G133" t="n">
        <v>12.9</v>
      </c>
      <c r="H133" t="n">
        <v>2</v>
      </c>
      <c r="I133" t="n">
        <v>0</v>
      </c>
      <c r="J133" t="n">
        <v>2</v>
      </c>
      <c r="K133" t="n">
        <v>1</v>
      </c>
      <c r="L133" t="n">
        <v>0</v>
      </c>
      <c r="M133" t="n">
        <v>0</v>
      </c>
      <c r="N133" t="n">
        <v>0</v>
      </c>
      <c r="O133" t="n">
        <v>3</v>
      </c>
      <c r="P133" t="n">
        <v>1</v>
      </c>
      <c r="Q133" t="n">
        <v>3</v>
      </c>
      <c r="R133" s="2" t="inlineStr">
        <is>
          <t>Knärot
Gammelgransskål
Tretåig hackspett</t>
        </is>
      </c>
      <c r="S133">
        <f>HYPERLINK("https://klasma.github.io/Logging_2281/artfynd/A 14677-2022 artfynd.xlsx", "A 14677-2022")</f>
        <v/>
      </c>
      <c r="T133">
        <f>HYPERLINK("https://klasma.github.io/Logging_2281/kartor/A 14677-2022 karta.png", "A 14677-2022")</f>
        <v/>
      </c>
      <c r="U133">
        <f>HYPERLINK("https://klasma.github.io/Logging_2281/knärot/A 14677-2022 karta knärot.png", "A 14677-2022")</f>
        <v/>
      </c>
      <c r="V133">
        <f>HYPERLINK("https://klasma.github.io/Logging_2281/klagomål/A 14677-2022 FSC-klagomål.docx", "A 14677-2022")</f>
        <v/>
      </c>
      <c r="W133">
        <f>HYPERLINK("https://klasma.github.io/Logging_2281/klagomålsmail/A 14677-2022 FSC-klagomål mail.docx", "A 14677-2022")</f>
        <v/>
      </c>
      <c r="X133">
        <f>HYPERLINK("https://klasma.github.io/Logging_2281/tillsyn/A 14677-2022 tillsynsbegäran.docx", "A 14677-2022")</f>
        <v/>
      </c>
      <c r="Y133">
        <f>HYPERLINK("https://klasma.github.io/Logging_2281/tillsynsmail/A 14677-2022 tillsynsbegäran mail.docx", "A 14677-2022")</f>
        <v/>
      </c>
      <c r="Z133">
        <f>HYPERLINK("https://klasma.github.io/Logging_2281/fåglar/A 14677-2022 prioriterade fågelarter.docx", "A 14677-2022")</f>
        <v/>
      </c>
    </row>
    <row r="134" ht="15" customHeight="1">
      <c r="A134" t="inlineStr">
        <is>
          <t>A 22566-2022</t>
        </is>
      </c>
      <c r="B134" s="1" t="n">
        <v>44714</v>
      </c>
      <c r="C134" s="1" t="n">
        <v>45841</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6795-2023</t>
        </is>
      </c>
      <c r="B135" s="1" t="n">
        <v>44966</v>
      </c>
      <c r="C135" s="1" t="n">
        <v>45841</v>
      </c>
      <c r="D135" t="inlineStr">
        <is>
          <t>VÄSTERNORRLANDS LÄN</t>
        </is>
      </c>
      <c r="E135" t="inlineStr">
        <is>
          <t>SUNDSVALL</t>
        </is>
      </c>
      <c r="F135" t="inlineStr">
        <is>
          <t>Naturvårdsverket</t>
        </is>
      </c>
      <c r="G135" t="n">
        <v>2.4</v>
      </c>
      <c r="H135" t="n">
        <v>1</v>
      </c>
      <c r="I135" t="n">
        <v>0</v>
      </c>
      <c r="J135" t="n">
        <v>2</v>
      </c>
      <c r="K135" t="n">
        <v>0</v>
      </c>
      <c r="L135" t="n">
        <v>0</v>
      </c>
      <c r="M135" t="n">
        <v>0</v>
      </c>
      <c r="N135" t="n">
        <v>0</v>
      </c>
      <c r="O135" t="n">
        <v>2</v>
      </c>
      <c r="P135" t="n">
        <v>0</v>
      </c>
      <c r="Q135" t="n">
        <v>3</v>
      </c>
      <c r="R135" s="2" t="inlineStr">
        <is>
          <t>Garnlav
Kolflarnlav
Vanlig groda</t>
        </is>
      </c>
      <c r="S135">
        <f>HYPERLINK("https://klasma.github.io/Logging_2281/artfynd/A 6795-2023 artfynd.xlsx", "A 6795-2023")</f>
        <v/>
      </c>
      <c r="T135">
        <f>HYPERLINK("https://klasma.github.io/Logging_2281/kartor/A 6795-2023 karta.png", "A 6795-2023")</f>
        <v/>
      </c>
      <c r="V135">
        <f>HYPERLINK("https://klasma.github.io/Logging_2281/klagomål/A 6795-2023 FSC-klagomål.docx", "A 6795-2023")</f>
        <v/>
      </c>
      <c r="W135">
        <f>HYPERLINK("https://klasma.github.io/Logging_2281/klagomålsmail/A 6795-2023 FSC-klagomål mail.docx", "A 6795-2023")</f>
        <v/>
      </c>
      <c r="X135">
        <f>HYPERLINK("https://klasma.github.io/Logging_2281/tillsyn/A 6795-2023 tillsynsbegäran.docx", "A 6795-2023")</f>
        <v/>
      </c>
      <c r="Y135">
        <f>HYPERLINK("https://klasma.github.io/Logging_2281/tillsynsmail/A 6795-2023 tillsynsbegäran mail.docx", "A 6795-2023")</f>
        <v/>
      </c>
    </row>
    <row r="136" ht="15" customHeight="1">
      <c r="A136" t="inlineStr">
        <is>
          <t>A 8680-2023</t>
        </is>
      </c>
      <c r="B136" s="1" t="n">
        <v>44977</v>
      </c>
      <c r="C136" s="1" t="n">
        <v>45841</v>
      </c>
      <c r="D136" t="inlineStr">
        <is>
          <t>VÄSTERNORRLANDS LÄN</t>
        </is>
      </c>
      <c r="E136" t="inlineStr">
        <is>
          <t>SUNDSVALL</t>
        </is>
      </c>
      <c r="F136" t="inlineStr">
        <is>
          <t>Naturvårdsverket</t>
        </is>
      </c>
      <c r="G136" t="n">
        <v>10.1</v>
      </c>
      <c r="H136" t="n">
        <v>0</v>
      </c>
      <c r="I136" t="n">
        <v>0</v>
      </c>
      <c r="J136" t="n">
        <v>3</v>
      </c>
      <c r="K136" t="n">
        <v>0</v>
      </c>
      <c r="L136" t="n">
        <v>0</v>
      </c>
      <c r="M136" t="n">
        <v>0</v>
      </c>
      <c r="N136" t="n">
        <v>0</v>
      </c>
      <c r="O136" t="n">
        <v>3</v>
      </c>
      <c r="P136" t="n">
        <v>0</v>
      </c>
      <c r="Q136" t="n">
        <v>3</v>
      </c>
      <c r="R136" s="2" t="inlineStr">
        <is>
          <t>Dvärgbägarlav
Kolflarnlav
Ullticka</t>
        </is>
      </c>
      <c r="S136">
        <f>HYPERLINK("https://klasma.github.io/Logging_2281/artfynd/A 8680-2023 artfynd.xlsx", "A 8680-2023")</f>
        <v/>
      </c>
      <c r="T136">
        <f>HYPERLINK("https://klasma.github.io/Logging_2281/kartor/A 8680-2023 karta.png", "A 8680-2023")</f>
        <v/>
      </c>
      <c r="V136">
        <f>HYPERLINK("https://klasma.github.io/Logging_2281/klagomål/A 8680-2023 FSC-klagomål.docx", "A 8680-2023")</f>
        <v/>
      </c>
      <c r="W136">
        <f>HYPERLINK("https://klasma.github.io/Logging_2281/klagomålsmail/A 8680-2023 FSC-klagomål mail.docx", "A 8680-2023")</f>
        <v/>
      </c>
      <c r="X136">
        <f>HYPERLINK("https://klasma.github.io/Logging_2281/tillsyn/A 8680-2023 tillsynsbegäran.docx", "A 8680-2023")</f>
        <v/>
      </c>
      <c r="Y136">
        <f>HYPERLINK("https://klasma.github.io/Logging_2281/tillsynsmail/A 8680-2023 tillsynsbegäran mail.docx", "A 8680-2023")</f>
        <v/>
      </c>
    </row>
    <row r="137" ht="15" customHeight="1">
      <c r="A137" t="inlineStr">
        <is>
          <t>A 16377-2023</t>
        </is>
      </c>
      <c r="B137" s="1" t="n">
        <v>45028</v>
      </c>
      <c r="C137" s="1" t="n">
        <v>45841</v>
      </c>
      <c r="D137" t="inlineStr">
        <is>
          <t>VÄSTERNORRLANDS LÄN</t>
        </is>
      </c>
      <c r="E137" t="inlineStr">
        <is>
          <t>SUNDSVALL</t>
        </is>
      </c>
      <c r="F137" t="inlineStr">
        <is>
          <t>SCA</t>
        </is>
      </c>
      <c r="G137" t="n">
        <v>4.9</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HYPERLINK("https://klasma.github.io/Logging_2281/artfynd/A 16377-2023 artfynd.xlsx", "A 16377-2023")</f>
        <v/>
      </c>
      <c r="T137">
        <f>HYPERLINK("https://klasma.github.io/Logging_2281/kartor/A 16377-2023 karta.png", "A 16377-2023")</f>
        <v/>
      </c>
      <c r="V137">
        <f>HYPERLINK("https://klasma.github.io/Logging_2281/klagomål/A 16377-2023 FSC-klagomål.docx", "A 16377-2023")</f>
        <v/>
      </c>
      <c r="W137">
        <f>HYPERLINK("https://klasma.github.io/Logging_2281/klagomålsmail/A 16377-2023 FSC-klagomål mail.docx", "A 16377-2023")</f>
        <v/>
      </c>
      <c r="X137">
        <f>HYPERLINK("https://klasma.github.io/Logging_2281/tillsyn/A 16377-2023 tillsynsbegäran.docx", "A 16377-2023")</f>
        <v/>
      </c>
      <c r="Y137">
        <f>HYPERLINK("https://klasma.github.io/Logging_2281/tillsynsmail/A 16377-2023 tillsynsbegäran mail.docx", "A 16377-2023")</f>
        <v/>
      </c>
    </row>
    <row r="138" ht="15" customHeight="1">
      <c r="A138" t="inlineStr">
        <is>
          <t>A 27390-2023</t>
        </is>
      </c>
      <c r="B138" s="1" t="n">
        <v>45096</v>
      </c>
      <c r="C138" s="1" t="n">
        <v>45841</v>
      </c>
      <c r="D138" t="inlineStr">
        <is>
          <t>VÄSTERNORRLANDS LÄN</t>
        </is>
      </c>
      <c r="E138" t="inlineStr">
        <is>
          <t>SUNDSVALL</t>
        </is>
      </c>
      <c r="F138" t="inlineStr">
        <is>
          <t>SCA</t>
        </is>
      </c>
      <c r="G138" t="n">
        <v>14.3</v>
      </c>
      <c r="H138" t="n">
        <v>1</v>
      </c>
      <c r="I138" t="n">
        <v>1</v>
      </c>
      <c r="J138" t="n">
        <v>1</v>
      </c>
      <c r="K138" t="n">
        <v>0</v>
      </c>
      <c r="L138" t="n">
        <v>0</v>
      </c>
      <c r="M138" t="n">
        <v>0</v>
      </c>
      <c r="N138" t="n">
        <v>0</v>
      </c>
      <c r="O138" t="n">
        <v>1</v>
      </c>
      <c r="P138" t="n">
        <v>0</v>
      </c>
      <c r="Q138" t="n">
        <v>3</v>
      </c>
      <c r="R138" s="2" t="inlineStr">
        <is>
          <t>Lunglav
Vedticka
Blåsippa</t>
        </is>
      </c>
      <c r="S138">
        <f>HYPERLINK("https://klasma.github.io/Logging_2281/artfynd/A 27390-2023 artfynd.xlsx", "A 27390-2023")</f>
        <v/>
      </c>
      <c r="T138">
        <f>HYPERLINK("https://klasma.github.io/Logging_2281/kartor/A 27390-2023 karta.png", "A 27390-2023")</f>
        <v/>
      </c>
      <c r="V138">
        <f>HYPERLINK("https://klasma.github.io/Logging_2281/klagomål/A 27390-2023 FSC-klagomål.docx", "A 27390-2023")</f>
        <v/>
      </c>
      <c r="W138">
        <f>HYPERLINK("https://klasma.github.io/Logging_2281/klagomålsmail/A 27390-2023 FSC-klagomål mail.docx", "A 27390-2023")</f>
        <v/>
      </c>
      <c r="X138">
        <f>HYPERLINK("https://klasma.github.io/Logging_2281/tillsyn/A 27390-2023 tillsynsbegäran.docx", "A 27390-2023")</f>
        <v/>
      </c>
      <c r="Y138">
        <f>HYPERLINK("https://klasma.github.io/Logging_2281/tillsynsmail/A 27390-2023 tillsynsbegäran mail.docx", "A 27390-2023")</f>
        <v/>
      </c>
    </row>
    <row r="139" ht="15" customHeight="1">
      <c r="A139" t="inlineStr">
        <is>
          <t>A 27734-2023</t>
        </is>
      </c>
      <c r="B139" s="1" t="n">
        <v>45098</v>
      </c>
      <c r="C139" s="1" t="n">
        <v>45841</v>
      </c>
      <c r="D139" t="inlineStr">
        <is>
          <t>VÄSTERNORRLANDS LÄN</t>
        </is>
      </c>
      <c r="E139" t="inlineStr">
        <is>
          <t>SUNDSVALL</t>
        </is>
      </c>
      <c r="G139" t="n">
        <v>0.8</v>
      </c>
      <c r="H139" t="n">
        <v>3</v>
      </c>
      <c r="I139" t="n">
        <v>0</v>
      </c>
      <c r="J139" t="n">
        <v>1</v>
      </c>
      <c r="K139" t="n">
        <v>0</v>
      </c>
      <c r="L139" t="n">
        <v>1</v>
      </c>
      <c r="M139" t="n">
        <v>0</v>
      </c>
      <c r="N139" t="n">
        <v>0</v>
      </c>
      <c r="O139" t="n">
        <v>2</v>
      </c>
      <c r="P139" t="n">
        <v>1</v>
      </c>
      <c r="Q139" t="n">
        <v>3</v>
      </c>
      <c r="R139" s="2" t="inlineStr">
        <is>
          <t>Grönfink
Björktrast
Skogsduva</t>
        </is>
      </c>
      <c r="S139">
        <f>HYPERLINK("https://klasma.github.io/Logging_2281/artfynd/A 27734-2023 artfynd.xlsx", "A 27734-2023")</f>
        <v/>
      </c>
      <c r="T139">
        <f>HYPERLINK("https://klasma.github.io/Logging_2281/kartor/A 27734-2023 karta.png", "A 27734-2023")</f>
        <v/>
      </c>
      <c r="V139">
        <f>HYPERLINK("https://klasma.github.io/Logging_2281/klagomål/A 27734-2023 FSC-klagomål.docx", "A 27734-2023")</f>
        <v/>
      </c>
      <c r="W139">
        <f>HYPERLINK("https://klasma.github.io/Logging_2281/klagomålsmail/A 27734-2023 FSC-klagomål mail.docx", "A 27734-2023")</f>
        <v/>
      </c>
      <c r="X139">
        <f>HYPERLINK("https://klasma.github.io/Logging_2281/tillsyn/A 27734-2023 tillsynsbegäran.docx", "A 27734-2023")</f>
        <v/>
      </c>
      <c r="Y139">
        <f>HYPERLINK("https://klasma.github.io/Logging_2281/tillsynsmail/A 27734-2023 tillsynsbegäran mail.docx", "A 27734-2023")</f>
        <v/>
      </c>
      <c r="Z139">
        <f>HYPERLINK("https://klasma.github.io/Logging_2281/fåglar/A 27734-2023 prioriterade fågelarter.docx", "A 27734-2023")</f>
        <v/>
      </c>
    </row>
    <row r="140" ht="15" customHeight="1">
      <c r="A140" t="inlineStr">
        <is>
          <t>A 30287-2023</t>
        </is>
      </c>
      <c r="B140" s="1" t="n">
        <v>45110</v>
      </c>
      <c r="C140" s="1" t="n">
        <v>45841</v>
      </c>
      <c r="D140" t="inlineStr">
        <is>
          <t>VÄSTERNORRLANDS LÄN</t>
        </is>
      </c>
      <c r="E140" t="inlineStr">
        <is>
          <t>SUNDSVALL</t>
        </is>
      </c>
      <c r="G140" t="n">
        <v>2.2</v>
      </c>
      <c r="H140" t="n">
        <v>3</v>
      </c>
      <c r="I140" t="n">
        <v>0</v>
      </c>
      <c r="J140" t="n">
        <v>1</v>
      </c>
      <c r="K140" t="n">
        <v>0</v>
      </c>
      <c r="L140" t="n">
        <v>1</v>
      </c>
      <c r="M140" t="n">
        <v>0</v>
      </c>
      <c r="N140" t="n">
        <v>0</v>
      </c>
      <c r="O140" t="n">
        <v>2</v>
      </c>
      <c r="P140" t="n">
        <v>1</v>
      </c>
      <c r="Q140" t="n">
        <v>3</v>
      </c>
      <c r="R140" s="2" t="inlineStr">
        <is>
          <t>Grönfink
Duvhök
Kungsfågel</t>
        </is>
      </c>
      <c r="S140">
        <f>HYPERLINK("https://klasma.github.io/Logging_2281/artfynd/A 30287-2023 artfynd.xlsx", "A 30287-2023")</f>
        <v/>
      </c>
      <c r="T140">
        <f>HYPERLINK("https://klasma.github.io/Logging_2281/kartor/A 30287-2023 karta.png", "A 30287-2023")</f>
        <v/>
      </c>
      <c r="V140">
        <f>HYPERLINK("https://klasma.github.io/Logging_2281/klagomål/A 30287-2023 FSC-klagomål.docx", "A 30287-2023")</f>
        <v/>
      </c>
      <c r="W140">
        <f>HYPERLINK("https://klasma.github.io/Logging_2281/klagomålsmail/A 30287-2023 FSC-klagomål mail.docx", "A 30287-2023")</f>
        <v/>
      </c>
      <c r="X140">
        <f>HYPERLINK("https://klasma.github.io/Logging_2281/tillsyn/A 30287-2023 tillsynsbegäran.docx", "A 30287-2023")</f>
        <v/>
      </c>
      <c r="Y140">
        <f>HYPERLINK("https://klasma.github.io/Logging_2281/tillsynsmail/A 30287-2023 tillsynsbegäran mail.docx", "A 30287-2023")</f>
        <v/>
      </c>
      <c r="Z140">
        <f>HYPERLINK("https://klasma.github.io/Logging_2281/fåglar/A 30287-2023 prioriterade fågelarter.docx", "A 30287-2023")</f>
        <v/>
      </c>
    </row>
    <row r="141" ht="15" customHeight="1">
      <c r="A141" t="inlineStr">
        <is>
          <t>A 38096-2023</t>
        </is>
      </c>
      <c r="B141" s="1" t="n">
        <v>45160</v>
      </c>
      <c r="C141" s="1" t="n">
        <v>45841</v>
      </c>
      <c r="D141" t="inlineStr">
        <is>
          <t>VÄSTERNORRLANDS LÄN</t>
        </is>
      </c>
      <c r="E141" t="inlineStr">
        <is>
          <t>SUNDSVALL</t>
        </is>
      </c>
      <c r="F141" t="inlineStr">
        <is>
          <t>SCA</t>
        </is>
      </c>
      <c r="G141" t="n">
        <v>3.6</v>
      </c>
      <c r="H141" t="n">
        <v>0</v>
      </c>
      <c r="I141" t="n">
        <v>1</v>
      </c>
      <c r="J141" t="n">
        <v>2</v>
      </c>
      <c r="K141" t="n">
        <v>0</v>
      </c>
      <c r="L141" t="n">
        <v>0</v>
      </c>
      <c r="M141" t="n">
        <v>0</v>
      </c>
      <c r="N141" t="n">
        <v>0</v>
      </c>
      <c r="O141" t="n">
        <v>2</v>
      </c>
      <c r="P141" t="n">
        <v>0</v>
      </c>
      <c r="Q141" t="n">
        <v>3</v>
      </c>
      <c r="R141" s="2" t="inlineStr">
        <is>
          <t>Blå taggsvamp
Lunglav
Dropptaggsvamp</t>
        </is>
      </c>
      <c r="S141">
        <f>HYPERLINK("https://klasma.github.io/Logging_2281/artfynd/A 38096-2023 artfynd.xlsx", "A 38096-2023")</f>
        <v/>
      </c>
      <c r="T141">
        <f>HYPERLINK("https://klasma.github.io/Logging_2281/kartor/A 38096-2023 karta.png", "A 38096-2023")</f>
        <v/>
      </c>
      <c r="V141">
        <f>HYPERLINK("https://klasma.github.io/Logging_2281/klagomål/A 38096-2023 FSC-klagomål.docx", "A 38096-2023")</f>
        <v/>
      </c>
      <c r="W141">
        <f>HYPERLINK("https://klasma.github.io/Logging_2281/klagomålsmail/A 38096-2023 FSC-klagomål mail.docx", "A 38096-2023")</f>
        <v/>
      </c>
      <c r="X141">
        <f>HYPERLINK("https://klasma.github.io/Logging_2281/tillsyn/A 38096-2023 tillsynsbegäran.docx", "A 38096-2023")</f>
        <v/>
      </c>
      <c r="Y141">
        <f>HYPERLINK("https://klasma.github.io/Logging_2281/tillsynsmail/A 38096-2023 tillsynsbegäran mail.docx", "A 38096-2023")</f>
        <v/>
      </c>
    </row>
    <row r="142" ht="15" customHeight="1">
      <c r="A142" t="inlineStr">
        <is>
          <t>A 54621-2023</t>
        </is>
      </c>
      <c r="B142" s="1" t="n">
        <v>45233</v>
      </c>
      <c r="C142" s="1" t="n">
        <v>45841</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60864-2023</t>
        </is>
      </c>
      <c r="B143" s="1" t="n">
        <v>45260</v>
      </c>
      <c r="C143" s="1" t="n">
        <v>45841</v>
      </c>
      <c r="D143" t="inlineStr">
        <is>
          <t>VÄSTERNORRLANDS LÄN</t>
        </is>
      </c>
      <c r="E143" t="inlineStr">
        <is>
          <t>SUNDSVALL</t>
        </is>
      </c>
      <c r="F143" t="inlineStr">
        <is>
          <t>SCA</t>
        </is>
      </c>
      <c r="G143" t="n">
        <v>0.9</v>
      </c>
      <c r="H143" t="n">
        <v>1</v>
      </c>
      <c r="I143" t="n">
        <v>2</v>
      </c>
      <c r="J143" t="n">
        <v>1</v>
      </c>
      <c r="K143" t="n">
        <v>0</v>
      </c>
      <c r="L143" t="n">
        <v>0</v>
      </c>
      <c r="M143" t="n">
        <v>0</v>
      </c>
      <c r="N143" t="n">
        <v>0</v>
      </c>
      <c r="O143" t="n">
        <v>1</v>
      </c>
      <c r="P143" t="n">
        <v>0</v>
      </c>
      <c r="Q143" t="n">
        <v>3</v>
      </c>
      <c r="R143" s="2" t="inlineStr">
        <is>
          <t>Tretåig hackspett
Dropptaggsvamp
Vedticka</t>
        </is>
      </c>
      <c r="S143">
        <f>HYPERLINK("https://klasma.github.io/Logging_2281/artfynd/A 60864-2023 artfynd.xlsx", "A 60864-2023")</f>
        <v/>
      </c>
      <c r="T143">
        <f>HYPERLINK("https://klasma.github.io/Logging_2281/kartor/A 60864-2023 karta.png", "A 60864-2023")</f>
        <v/>
      </c>
      <c r="V143">
        <f>HYPERLINK("https://klasma.github.io/Logging_2281/klagomål/A 60864-2023 FSC-klagomål.docx", "A 60864-2023")</f>
        <v/>
      </c>
      <c r="W143">
        <f>HYPERLINK("https://klasma.github.io/Logging_2281/klagomålsmail/A 60864-2023 FSC-klagomål mail.docx", "A 60864-2023")</f>
        <v/>
      </c>
      <c r="X143">
        <f>HYPERLINK("https://klasma.github.io/Logging_2281/tillsyn/A 60864-2023 tillsynsbegäran.docx", "A 60864-2023")</f>
        <v/>
      </c>
      <c r="Y143">
        <f>HYPERLINK("https://klasma.github.io/Logging_2281/tillsynsmail/A 60864-2023 tillsynsbegäran mail.docx", "A 60864-2023")</f>
        <v/>
      </c>
      <c r="Z143">
        <f>HYPERLINK("https://klasma.github.io/Logging_2281/fåglar/A 60864-2023 prioriterade fågelarter.docx", "A 60864-2023")</f>
        <v/>
      </c>
    </row>
    <row r="144" ht="15" customHeight="1">
      <c r="A144" t="inlineStr">
        <is>
          <t>A 14820-2024</t>
        </is>
      </c>
      <c r="B144" s="1" t="n">
        <v>45397</v>
      </c>
      <c r="C144" s="1" t="n">
        <v>45841</v>
      </c>
      <c r="D144" t="inlineStr">
        <is>
          <t>VÄSTERNORRLANDS LÄN</t>
        </is>
      </c>
      <c r="E144" t="inlineStr">
        <is>
          <t>SUNDSVALL</t>
        </is>
      </c>
      <c r="F144" t="inlineStr">
        <is>
          <t>SCA</t>
        </is>
      </c>
      <c r="G144" t="n">
        <v>13.1</v>
      </c>
      <c r="H144" t="n">
        <v>0</v>
      </c>
      <c r="I144" t="n">
        <v>1</v>
      </c>
      <c r="J144" t="n">
        <v>2</v>
      </c>
      <c r="K144" t="n">
        <v>0</v>
      </c>
      <c r="L144" t="n">
        <v>0</v>
      </c>
      <c r="M144" t="n">
        <v>0</v>
      </c>
      <c r="N144" t="n">
        <v>0</v>
      </c>
      <c r="O144" t="n">
        <v>2</v>
      </c>
      <c r="P144" t="n">
        <v>0</v>
      </c>
      <c r="Q144" t="n">
        <v>3</v>
      </c>
      <c r="R144" s="2" t="inlineStr">
        <is>
          <t>Garnlav
Lunglav
Luddlav</t>
        </is>
      </c>
      <c r="S144">
        <f>HYPERLINK("https://klasma.github.io/Logging_2281/artfynd/A 14820-2024 artfynd.xlsx", "A 14820-2024")</f>
        <v/>
      </c>
      <c r="T144">
        <f>HYPERLINK("https://klasma.github.io/Logging_2281/kartor/A 14820-2024 karta.png", "A 14820-2024")</f>
        <v/>
      </c>
      <c r="V144">
        <f>HYPERLINK("https://klasma.github.io/Logging_2281/klagomål/A 14820-2024 FSC-klagomål.docx", "A 14820-2024")</f>
        <v/>
      </c>
      <c r="W144">
        <f>HYPERLINK("https://klasma.github.io/Logging_2281/klagomålsmail/A 14820-2024 FSC-klagomål mail.docx", "A 14820-2024")</f>
        <v/>
      </c>
      <c r="X144">
        <f>HYPERLINK("https://klasma.github.io/Logging_2281/tillsyn/A 14820-2024 tillsynsbegäran.docx", "A 14820-2024")</f>
        <v/>
      </c>
      <c r="Y144">
        <f>HYPERLINK("https://klasma.github.io/Logging_2281/tillsynsmail/A 14820-2024 tillsynsbegäran mail.docx", "A 14820-2024")</f>
        <v/>
      </c>
    </row>
    <row r="145" ht="15" customHeight="1">
      <c r="A145" t="inlineStr">
        <is>
          <t>A 24782-2024</t>
        </is>
      </c>
      <c r="B145" s="1" t="n">
        <v>45460</v>
      </c>
      <c r="C145" s="1" t="n">
        <v>45841</v>
      </c>
      <c r="D145" t="inlineStr">
        <is>
          <t>VÄSTERNORRLANDS LÄN</t>
        </is>
      </c>
      <c r="E145" t="inlineStr">
        <is>
          <t>SUNDSVALL</t>
        </is>
      </c>
      <c r="F145" t="inlineStr">
        <is>
          <t>Kommuner</t>
        </is>
      </c>
      <c r="G145" t="n">
        <v>2.6</v>
      </c>
      <c r="H145" t="n">
        <v>3</v>
      </c>
      <c r="I145" t="n">
        <v>0</v>
      </c>
      <c r="J145" t="n">
        <v>3</v>
      </c>
      <c r="K145" t="n">
        <v>0</v>
      </c>
      <c r="L145" t="n">
        <v>0</v>
      </c>
      <c r="M145" t="n">
        <v>0</v>
      </c>
      <c r="N145" t="n">
        <v>0</v>
      </c>
      <c r="O145" t="n">
        <v>3</v>
      </c>
      <c r="P145" t="n">
        <v>0</v>
      </c>
      <c r="Q145" t="n">
        <v>3</v>
      </c>
      <c r="R145" s="2" t="inlineStr">
        <is>
          <t>Grönsångare
Talltita
Tretåig hackspett</t>
        </is>
      </c>
      <c r="S145">
        <f>HYPERLINK("https://klasma.github.io/Logging_2281/artfynd/A 24782-2024 artfynd.xlsx", "A 24782-2024")</f>
        <v/>
      </c>
      <c r="T145">
        <f>HYPERLINK("https://klasma.github.io/Logging_2281/kartor/A 24782-2024 karta.png", "A 24782-2024")</f>
        <v/>
      </c>
      <c r="V145">
        <f>HYPERLINK("https://klasma.github.io/Logging_2281/klagomål/A 24782-2024 FSC-klagomål.docx", "A 24782-2024")</f>
        <v/>
      </c>
      <c r="W145">
        <f>HYPERLINK("https://klasma.github.io/Logging_2281/klagomålsmail/A 24782-2024 FSC-klagomål mail.docx", "A 24782-2024")</f>
        <v/>
      </c>
      <c r="X145">
        <f>HYPERLINK("https://klasma.github.io/Logging_2281/tillsyn/A 24782-2024 tillsynsbegäran.docx", "A 24782-2024")</f>
        <v/>
      </c>
      <c r="Y145">
        <f>HYPERLINK("https://klasma.github.io/Logging_2281/tillsynsmail/A 24782-2024 tillsynsbegäran mail.docx", "A 24782-2024")</f>
        <v/>
      </c>
      <c r="Z145">
        <f>HYPERLINK("https://klasma.github.io/Logging_2281/fåglar/A 24782-2024 prioriterade fågelarter.docx", "A 24782-2024")</f>
        <v/>
      </c>
    </row>
    <row r="146" ht="15" customHeight="1">
      <c r="A146" t="inlineStr">
        <is>
          <t>A 31515-2024</t>
        </is>
      </c>
      <c r="B146" s="1" t="n">
        <v>45505</v>
      </c>
      <c r="C146" s="1" t="n">
        <v>45841</v>
      </c>
      <c r="D146" t="inlineStr">
        <is>
          <t>VÄSTERNORRLANDS LÄN</t>
        </is>
      </c>
      <c r="E146" t="inlineStr">
        <is>
          <t>SUNDSVALL</t>
        </is>
      </c>
      <c r="F146" t="inlineStr">
        <is>
          <t>SCA</t>
        </is>
      </c>
      <c r="G146" t="n">
        <v>2.7</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HYPERLINK("https://klasma.github.io/Logging_2281/artfynd/A 31515-2024 artfynd.xlsx", "A 31515-2024")</f>
        <v/>
      </c>
      <c r="T146">
        <f>HYPERLINK("https://klasma.github.io/Logging_2281/kartor/A 31515-2024 karta.png", "A 31515-2024")</f>
        <v/>
      </c>
      <c r="V146">
        <f>HYPERLINK("https://klasma.github.io/Logging_2281/klagomål/A 31515-2024 FSC-klagomål.docx", "A 31515-2024")</f>
        <v/>
      </c>
      <c r="W146">
        <f>HYPERLINK("https://klasma.github.io/Logging_2281/klagomålsmail/A 31515-2024 FSC-klagomål mail.docx", "A 31515-2024")</f>
        <v/>
      </c>
      <c r="X146">
        <f>HYPERLINK("https://klasma.github.io/Logging_2281/tillsyn/A 31515-2024 tillsynsbegäran.docx", "A 31515-2024")</f>
        <v/>
      </c>
      <c r="Y146">
        <f>HYPERLINK("https://klasma.github.io/Logging_2281/tillsynsmail/A 31515-2024 tillsynsbegäran mail.docx", "A 31515-2024")</f>
        <v/>
      </c>
    </row>
    <row r="147" ht="15" customHeight="1">
      <c r="A147" t="inlineStr">
        <is>
          <t>A 55550-2024</t>
        </is>
      </c>
      <c r="B147" s="1" t="n">
        <v>45622</v>
      </c>
      <c r="C147" s="1" t="n">
        <v>45841</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12894-2025</t>
        </is>
      </c>
      <c r="B148" s="1" t="n">
        <v>45733</v>
      </c>
      <c r="C148" s="1" t="n">
        <v>45841</v>
      </c>
      <c r="D148" t="inlineStr">
        <is>
          <t>VÄSTERNORRLANDS LÄN</t>
        </is>
      </c>
      <c r="E148" t="inlineStr">
        <is>
          <t>SUNDSVALL</t>
        </is>
      </c>
      <c r="G148" t="n">
        <v>8.199999999999999</v>
      </c>
      <c r="H148" t="n">
        <v>1</v>
      </c>
      <c r="I148" t="n">
        <v>0</v>
      </c>
      <c r="J148" t="n">
        <v>2</v>
      </c>
      <c r="K148" t="n">
        <v>1</v>
      </c>
      <c r="L148" t="n">
        <v>0</v>
      </c>
      <c r="M148" t="n">
        <v>0</v>
      </c>
      <c r="N148" t="n">
        <v>0</v>
      </c>
      <c r="O148" t="n">
        <v>3</v>
      </c>
      <c r="P148" t="n">
        <v>1</v>
      </c>
      <c r="Q148" t="n">
        <v>3</v>
      </c>
      <c r="R148" s="2" t="inlineStr">
        <is>
          <t>Knärot
Lunglav
Ullticka</t>
        </is>
      </c>
      <c r="S148">
        <f>HYPERLINK("https://klasma.github.io/Logging_222281/artfynd/A 12894-2025 artfynd.xlsx", "A 12894-2025")</f>
        <v/>
      </c>
      <c r="T148">
        <f>HYPERLINK("https://klasma.github.io/Logging_222281/kartor/A 12894-2025 karta.png", "A 12894-2025")</f>
        <v/>
      </c>
      <c r="U148">
        <f>HYPERLINK("https://klasma.github.io/Logging_222281/knärot/A 12894-2025 karta knärot.png", "A 12894-2025")</f>
        <v/>
      </c>
      <c r="V148">
        <f>HYPERLINK("https://klasma.github.io/Logging_222281/klagomål/A 12894-2025 FSC-klagomål.docx", "A 12894-2025")</f>
        <v/>
      </c>
      <c r="W148">
        <f>HYPERLINK("https://klasma.github.io/Logging_222281/klagomålsmail/A 12894-2025 FSC-klagomål mail.docx", "A 12894-2025")</f>
        <v/>
      </c>
      <c r="X148">
        <f>HYPERLINK("https://klasma.github.io/Logging_222281/tillsyn/A 12894-2025 tillsynsbegäran.docx", "A 12894-2025")</f>
        <v/>
      </c>
      <c r="Y148">
        <f>HYPERLINK("https://klasma.github.io/Logging_222281/tillsynsmail/A 12894-2025 tillsynsbegäran mail.docx", "A 12894-2025")</f>
        <v/>
      </c>
    </row>
    <row r="149" ht="15" customHeight="1">
      <c r="A149" t="inlineStr">
        <is>
          <t>A 14545-2025</t>
        </is>
      </c>
      <c r="B149" s="1" t="n">
        <v>45741</v>
      </c>
      <c r="C149" s="1" t="n">
        <v>45841</v>
      </c>
      <c r="D149" t="inlineStr">
        <is>
          <t>VÄSTERNORRLANDS LÄN</t>
        </is>
      </c>
      <c r="E149" t="inlineStr">
        <is>
          <t>SUNDSVALL</t>
        </is>
      </c>
      <c r="F149" t="inlineStr">
        <is>
          <t>SCA</t>
        </is>
      </c>
      <c r="G149" t="n">
        <v>6.2</v>
      </c>
      <c r="H149" t="n">
        <v>2</v>
      </c>
      <c r="I149" t="n">
        <v>0</v>
      </c>
      <c r="J149" t="n">
        <v>1</v>
      </c>
      <c r="K149" t="n">
        <v>1</v>
      </c>
      <c r="L149" t="n">
        <v>0</v>
      </c>
      <c r="M149" t="n">
        <v>0</v>
      </c>
      <c r="N149" t="n">
        <v>0</v>
      </c>
      <c r="O149" t="n">
        <v>2</v>
      </c>
      <c r="P149" t="n">
        <v>1</v>
      </c>
      <c r="Q149" t="n">
        <v>3</v>
      </c>
      <c r="R149" s="2" t="inlineStr">
        <is>
          <t>Knärot
Garnlav
Revlummer</t>
        </is>
      </c>
      <c r="S149">
        <f>HYPERLINK("https://klasma.github.io/Logging_222281/artfynd/A 14545-2025 artfynd.xlsx", "A 14545-2025")</f>
        <v/>
      </c>
      <c r="T149">
        <f>HYPERLINK("https://klasma.github.io/Logging_222281/kartor/A 14545-2025 karta.png", "A 14545-2025")</f>
        <v/>
      </c>
      <c r="U149">
        <f>HYPERLINK("https://klasma.github.io/Logging_222281/knärot/A 14545-2025 karta knärot.png", "A 14545-2025")</f>
        <v/>
      </c>
      <c r="V149">
        <f>HYPERLINK("https://klasma.github.io/Logging_222281/klagomål/A 14545-2025 FSC-klagomål.docx", "A 14545-2025")</f>
        <v/>
      </c>
      <c r="W149">
        <f>HYPERLINK("https://klasma.github.io/Logging_222281/klagomålsmail/A 14545-2025 FSC-klagomål mail.docx", "A 14545-2025")</f>
        <v/>
      </c>
      <c r="X149">
        <f>HYPERLINK("https://klasma.github.io/Logging_222281/tillsyn/A 14545-2025 tillsynsbegäran.docx", "A 14545-2025")</f>
        <v/>
      </c>
      <c r="Y149">
        <f>HYPERLINK("https://klasma.github.io/Logging_222281/tillsynsmail/A 14545-2025 tillsynsbegäran mail.docx", "A 14545-2025")</f>
        <v/>
      </c>
    </row>
    <row r="150" ht="15" customHeight="1">
      <c r="A150" t="inlineStr">
        <is>
          <t>A 20077-2025</t>
        </is>
      </c>
      <c r="B150" s="1" t="n">
        <v>45772</v>
      </c>
      <c r="C150" s="1" t="n">
        <v>45841</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HYPERLINK("https://klasma.github.io/Logging_222281/artfynd/A 20077-2025 artfynd.xlsx", "A 20077-2025")</f>
        <v/>
      </c>
      <c r="T150">
        <f>HYPERLINK("https://klasma.github.io/Logging_222281/kartor/A 20077-2025 karta.png", "A 20077-2025")</f>
        <v/>
      </c>
      <c r="V150">
        <f>HYPERLINK("https://klasma.github.io/Logging_222281/klagomål/A 20077-2025 FSC-klagomål.docx", "A 20077-2025")</f>
        <v/>
      </c>
      <c r="W150">
        <f>HYPERLINK("https://klasma.github.io/Logging_222281/klagomålsmail/A 20077-2025 FSC-klagomål mail.docx", "A 20077-2025")</f>
        <v/>
      </c>
      <c r="X150">
        <f>HYPERLINK("https://klasma.github.io/Logging_222281/tillsyn/A 20077-2025 tillsynsbegäran.docx", "A 20077-2025")</f>
        <v/>
      </c>
      <c r="Y150">
        <f>HYPERLINK("https://klasma.github.io/Logging_222281/tillsynsmail/A 20077-2025 tillsynsbegäran mail.docx", "A 20077-2025")</f>
        <v/>
      </c>
    </row>
    <row r="151" ht="15" customHeight="1">
      <c r="A151" t="inlineStr">
        <is>
          <t>A 21036-2025</t>
        </is>
      </c>
      <c r="B151" s="1" t="n">
        <v>45777</v>
      </c>
      <c r="C151" s="1" t="n">
        <v>45841</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HYPERLINK("https://klasma.github.io/Logging_222281/artfynd/A 21036-2025 artfynd.xlsx", "A 21036-2025")</f>
        <v/>
      </c>
      <c r="T151">
        <f>HYPERLINK("https://klasma.github.io/Logging_222281/kartor/A 21036-2025 karta.png", "A 21036-2025")</f>
        <v/>
      </c>
      <c r="V151">
        <f>HYPERLINK("https://klasma.github.io/Logging_222281/klagomål/A 21036-2025 FSC-klagomål.docx", "A 21036-2025")</f>
        <v/>
      </c>
      <c r="W151">
        <f>HYPERLINK("https://klasma.github.io/Logging_222281/klagomålsmail/A 21036-2025 FSC-klagomål mail.docx", "A 21036-2025")</f>
        <v/>
      </c>
      <c r="X151">
        <f>HYPERLINK("https://klasma.github.io/Logging_222281/tillsyn/A 21036-2025 tillsynsbegäran.docx", "A 21036-2025")</f>
        <v/>
      </c>
      <c r="Y151">
        <f>HYPERLINK("https://klasma.github.io/Logging_222281/tillsynsmail/A 21036-2025 tillsynsbegäran mail.docx", "A 21036-2025")</f>
        <v/>
      </c>
    </row>
    <row r="152" ht="15" customHeight="1">
      <c r="A152" t="inlineStr">
        <is>
          <t>A 24057-2025</t>
        </is>
      </c>
      <c r="B152" s="1" t="n">
        <v>45796</v>
      </c>
      <c r="C152" s="1" t="n">
        <v>45841</v>
      </c>
      <c r="D152" t="inlineStr">
        <is>
          <t>VÄSTERNORRLANDS LÄN</t>
        </is>
      </c>
      <c r="E152" t="inlineStr">
        <is>
          <t>SUNDSVALL</t>
        </is>
      </c>
      <c r="F152" t="inlineStr">
        <is>
          <t>Naturvårdsverket</t>
        </is>
      </c>
      <c r="G152" t="n">
        <v>11.7</v>
      </c>
      <c r="H152" t="n">
        <v>1</v>
      </c>
      <c r="I152" t="n">
        <v>1</v>
      </c>
      <c r="J152" t="n">
        <v>1</v>
      </c>
      <c r="K152" t="n">
        <v>0</v>
      </c>
      <c r="L152" t="n">
        <v>0</v>
      </c>
      <c r="M152" t="n">
        <v>0</v>
      </c>
      <c r="N152" t="n">
        <v>0</v>
      </c>
      <c r="O152" t="n">
        <v>1</v>
      </c>
      <c r="P152" t="n">
        <v>0</v>
      </c>
      <c r="Q152" t="n">
        <v>3</v>
      </c>
      <c r="R152" s="2" t="inlineStr">
        <is>
          <t>Lunglav
Stuplav
Huggorm</t>
        </is>
      </c>
      <c r="S152">
        <f>HYPERLINK("https://klasma.github.io/Logging_222281/artfynd/A 24057-2025 artfynd.xlsx", "A 24057-2025")</f>
        <v/>
      </c>
      <c r="T152">
        <f>HYPERLINK("https://klasma.github.io/Logging_222281/kartor/A 24057-2025 karta.png", "A 24057-2025")</f>
        <v/>
      </c>
      <c r="V152">
        <f>HYPERLINK("https://klasma.github.io/Logging_222281/klagomål/A 24057-2025 FSC-klagomål.docx", "A 24057-2025")</f>
        <v/>
      </c>
      <c r="W152">
        <f>HYPERLINK("https://klasma.github.io/Logging_222281/klagomålsmail/A 24057-2025 FSC-klagomål mail.docx", "A 24057-2025")</f>
        <v/>
      </c>
      <c r="X152">
        <f>HYPERLINK("https://klasma.github.io/Logging_222281/tillsyn/A 24057-2025 tillsynsbegäran.docx", "A 24057-2025")</f>
        <v/>
      </c>
      <c r="Y152">
        <f>HYPERLINK("https://klasma.github.io/Logging_222281/tillsynsmail/A 24057-2025 tillsynsbegäran mail.docx", "A 24057-2025")</f>
        <v/>
      </c>
    </row>
    <row r="153" ht="15" customHeight="1">
      <c r="A153" t="inlineStr">
        <is>
          <t>A 24392-2025</t>
        </is>
      </c>
      <c r="B153" s="1" t="n">
        <v>45797</v>
      </c>
      <c r="C153" s="1" t="n">
        <v>45841</v>
      </c>
      <c r="D153" t="inlineStr">
        <is>
          <t>VÄSTERNORRLANDS LÄN</t>
        </is>
      </c>
      <c r="E153" t="inlineStr">
        <is>
          <t>SUNDSVALL</t>
        </is>
      </c>
      <c r="F153" t="inlineStr">
        <is>
          <t>SCA</t>
        </is>
      </c>
      <c r="G153" t="n">
        <v>8.800000000000001</v>
      </c>
      <c r="H153" t="n">
        <v>3</v>
      </c>
      <c r="I153" t="n">
        <v>0</v>
      </c>
      <c r="J153" t="n">
        <v>2</v>
      </c>
      <c r="K153" t="n">
        <v>0</v>
      </c>
      <c r="L153" t="n">
        <v>0</v>
      </c>
      <c r="M153" t="n">
        <v>0</v>
      </c>
      <c r="N153" t="n">
        <v>0</v>
      </c>
      <c r="O153" t="n">
        <v>2</v>
      </c>
      <c r="P153" t="n">
        <v>0</v>
      </c>
      <c r="Q153" t="n">
        <v>3</v>
      </c>
      <c r="R153" s="2" t="inlineStr">
        <is>
          <t>Spillkråka
Tretåig hackspett
Tjäder</t>
        </is>
      </c>
      <c r="S153">
        <f>HYPERLINK("https://klasma.github.io/Logging_222281/artfynd/A 24392-2025 artfynd.xlsx", "A 24392-2025")</f>
        <v/>
      </c>
      <c r="T153">
        <f>HYPERLINK("https://klasma.github.io/Logging_222281/kartor/A 24392-2025 karta.png", "A 24392-2025")</f>
        <v/>
      </c>
      <c r="V153">
        <f>HYPERLINK("https://klasma.github.io/Logging_222281/klagomål/A 24392-2025 FSC-klagomål.docx", "A 24392-2025")</f>
        <v/>
      </c>
      <c r="W153">
        <f>HYPERLINK("https://klasma.github.io/Logging_222281/klagomålsmail/A 24392-2025 FSC-klagomål mail.docx", "A 24392-2025")</f>
        <v/>
      </c>
      <c r="X153">
        <f>HYPERLINK("https://klasma.github.io/Logging_222281/tillsyn/A 24392-2025 tillsynsbegäran.docx", "A 24392-2025")</f>
        <v/>
      </c>
      <c r="Y153">
        <f>HYPERLINK("https://klasma.github.io/Logging_222281/tillsynsmail/A 24392-2025 tillsynsbegäran mail.docx", "A 24392-2025")</f>
        <v/>
      </c>
      <c r="Z153">
        <f>HYPERLINK("https://klasma.github.io/Logging_222281/fåglar/A 24392-2025 prioriterade fågelarter.docx", "A 24392-2025")</f>
        <v/>
      </c>
    </row>
    <row r="154" ht="15" customHeight="1">
      <c r="A154" t="inlineStr">
        <is>
          <t>A 30684-2025</t>
        </is>
      </c>
      <c r="B154" s="1" t="n">
        <v>45831</v>
      </c>
      <c r="C154" s="1" t="n">
        <v>45841</v>
      </c>
      <c r="D154" t="inlineStr">
        <is>
          <t>VÄSTERNORRLANDS LÄN</t>
        </is>
      </c>
      <c r="E154" t="inlineStr">
        <is>
          <t>SUNDSVALL</t>
        </is>
      </c>
      <c r="F154" t="inlineStr">
        <is>
          <t>SCA</t>
        </is>
      </c>
      <c r="G154" t="n">
        <v>3</v>
      </c>
      <c r="H154" t="n">
        <v>0</v>
      </c>
      <c r="I154" t="n">
        <v>2</v>
      </c>
      <c r="J154" t="n">
        <v>1</v>
      </c>
      <c r="K154" t="n">
        <v>0</v>
      </c>
      <c r="L154" t="n">
        <v>0</v>
      </c>
      <c r="M154" t="n">
        <v>0</v>
      </c>
      <c r="N154" t="n">
        <v>0</v>
      </c>
      <c r="O154" t="n">
        <v>1</v>
      </c>
      <c r="P154" t="n">
        <v>0</v>
      </c>
      <c r="Q154" t="n">
        <v>3</v>
      </c>
      <c r="R154" s="2" t="inlineStr">
        <is>
          <t>Ullticka
Stuplav
Vedticka</t>
        </is>
      </c>
      <c r="S154">
        <f>HYPERLINK("https://klasma.github.io/Logging_222281/artfynd/A 30684-2025 artfynd.xlsx", "A 30684-2025")</f>
        <v/>
      </c>
      <c r="T154">
        <f>HYPERLINK("https://klasma.github.io/Logging_222281/kartor/A 30684-2025 karta.png", "A 30684-2025")</f>
        <v/>
      </c>
      <c r="U154">
        <f>HYPERLINK("https://klasma.github.io/Logging_222281/knärot/A 30684-2025 karta knärot.png", "A 30684-2025")</f>
        <v/>
      </c>
      <c r="V154">
        <f>HYPERLINK("https://klasma.github.io/Logging_222281/klagomål/A 30684-2025 FSC-klagomål.docx", "A 30684-2025")</f>
        <v/>
      </c>
      <c r="W154">
        <f>HYPERLINK("https://klasma.github.io/Logging_222281/klagomålsmail/A 30684-2025 FSC-klagomål mail.docx", "A 30684-2025")</f>
        <v/>
      </c>
      <c r="X154">
        <f>HYPERLINK("https://klasma.github.io/Logging_222281/tillsyn/A 30684-2025 tillsynsbegäran.docx", "A 30684-2025")</f>
        <v/>
      </c>
      <c r="Y154">
        <f>HYPERLINK("https://klasma.github.io/Logging_222281/tillsynsmail/A 30684-2025 tillsynsbegäran mail.docx", "A 30684-2025")</f>
        <v/>
      </c>
    </row>
    <row r="155" ht="15" customHeight="1">
      <c r="A155" t="inlineStr">
        <is>
          <t>A 47808-2019</t>
        </is>
      </c>
      <c r="B155" s="1" t="n">
        <v>43724</v>
      </c>
      <c r="C155" s="1" t="n">
        <v>45841</v>
      </c>
      <c r="D155" t="inlineStr">
        <is>
          <t>VÄSTERNORRLANDS LÄN</t>
        </is>
      </c>
      <c r="E155" t="inlineStr">
        <is>
          <t>SUNDSVALL</t>
        </is>
      </c>
      <c r="F155" t="inlineStr">
        <is>
          <t>SCA</t>
        </is>
      </c>
      <c r="G155" t="n">
        <v>3.6</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47808-2019 artfynd.xlsx", "A 47808-2019")</f>
        <v/>
      </c>
      <c r="T155">
        <f>HYPERLINK("https://klasma.github.io/Logging_2281/kartor/A 47808-2019 karta.png", "A 47808-2019")</f>
        <v/>
      </c>
      <c r="V155">
        <f>HYPERLINK("https://klasma.github.io/Logging_2281/klagomål/A 47808-2019 FSC-klagomål.docx", "A 47808-2019")</f>
        <v/>
      </c>
      <c r="W155">
        <f>HYPERLINK("https://klasma.github.io/Logging_2281/klagomålsmail/A 47808-2019 FSC-klagomål mail.docx", "A 47808-2019")</f>
        <v/>
      </c>
      <c r="X155">
        <f>HYPERLINK("https://klasma.github.io/Logging_2281/tillsyn/A 47808-2019 tillsynsbegäran.docx", "A 47808-2019")</f>
        <v/>
      </c>
      <c r="Y155">
        <f>HYPERLINK("https://klasma.github.io/Logging_2281/tillsynsmail/A 47808-2019 tillsynsbegäran mail.docx", "A 47808-2019")</f>
        <v/>
      </c>
    </row>
    <row r="156" ht="15" customHeight="1">
      <c r="A156" t="inlineStr">
        <is>
          <t>A 7637-2021</t>
        </is>
      </c>
      <c r="B156" s="1" t="n">
        <v>44242</v>
      </c>
      <c r="C156" s="1" t="n">
        <v>45841</v>
      </c>
      <c r="D156" t="inlineStr">
        <is>
          <t>VÄSTERNORRLANDS LÄN</t>
        </is>
      </c>
      <c r="E156" t="inlineStr">
        <is>
          <t>SUNDSVALL</t>
        </is>
      </c>
      <c r="G156" t="n">
        <v>3.9</v>
      </c>
      <c r="H156" t="n">
        <v>2</v>
      </c>
      <c r="I156" t="n">
        <v>0</v>
      </c>
      <c r="J156" t="n">
        <v>1</v>
      </c>
      <c r="K156" t="n">
        <v>0</v>
      </c>
      <c r="L156" t="n">
        <v>0</v>
      </c>
      <c r="M156" t="n">
        <v>0</v>
      </c>
      <c r="N156" t="n">
        <v>0</v>
      </c>
      <c r="O156" t="n">
        <v>1</v>
      </c>
      <c r="P156" t="n">
        <v>0</v>
      </c>
      <c r="Q156" t="n">
        <v>2</v>
      </c>
      <c r="R156" s="2" t="inlineStr">
        <is>
          <t>Spillkråka
Gröngöling</t>
        </is>
      </c>
      <c r="S156">
        <f>HYPERLINK("https://klasma.github.io/Logging_2281/artfynd/A 7637-2021 artfynd.xlsx", "A 7637-2021")</f>
        <v/>
      </c>
      <c r="T156">
        <f>HYPERLINK("https://klasma.github.io/Logging_2281/kartor/A 7637-2021 karta.png", "A 7637-2021")</f>
        <v/>
      </c>
      <c r="V156">
        <f>HYPERLINK("https://klasma.github.io/Logging_2281/klagomål/A 7637-2021 FSC-klagomål.docx", "A 7637-2021")</f>
        <v/>
      </c>
      <c r="W156">
        <f>HYPERLINK("https://klasma.github.io/Logging_2281/klagomålsmail/A 7637-2021 FSC-klagomål mail.docx", "A 7637-2021")</f>
        <v/>
      </c>
      <c r="X156">
        <f>HYPERLINK("https://klasma.github.io/Logging_2281/tillsyn/A 7637-2021 tillsynsbegäran.docx", "A 7637-2021")</f>
        <v/>
      </c>
      <c r="Y156">
        <f>HYPERLINK("https://klasma.github.io/Logging_2281/tillsynsmail/A 7637-2021 tillsynsbegäran mail.docx", "A 7637-2021")</f>
        <v/>
      </c>
      <c r="Z156">
        <f>HYPERLINK("https://klasma.github.io/Logging_2281/fåglar/A 7637-2021 prioriterade fågelarter.docx", "A 7637-2021")</f>
        <v/>
      </c>
    </row>
    <row r="157" ht="15" customHeight="1">
      <c r="A157" t="inlineStr">
        <is>
          <t>A 39929-2021</t>
        </is>
      </c>
      <c r="B157" s="1" t="n">
        <v>44417</v>
      </c>
      <c r="C157" s="1" t="n">
        <v>45841</v>
      </c>
      <c r="D157" t="inlineStr">
        <is>
          <t>VÄSTERNORRLANDS LÄN</t>
        </is>
      </c>
      <c r="E157" t="inlineStr">
        <is>
          <t>SUNDSVALL</t>
        </is>
      </c>
      <c r="F157" t="inlineStr">
        <is>
          <t>SCA</t>
        </is>
      </c>
      <c r="G157" t="n">
        <v>3.3</v>
      </c>
      <c r="H157" t="n">
        <v>2</v>
      </c>
      <c r="I157" t="n">
        <v>0</v>
      </c>
      <c r="J157" t="n">
        <v>1</v>
      </c>
      <c r="K157" t="n">
        <v>0</v>
      </c>
      <c r="L157" t="n">
        <v>0</v>
      </c>
      <c r="M157" t="n">
        <v>0</v>
      </c>
      <c r="N157" t="n">
        <v>0</v>
      </c>
      <c r="O157" t="n">
        <v>1</v>
      </c>
      <c r="P157" t="n">
        <v>0</v>
      </c>
      <c r="Q157" t="n">
        <v>2</v>
      </c>
      <c r="R157" s="2" t="inlineStr">
        <is>
          <t>Tretåig hackspett
Nattviol</t>
        </is>
      </c>
      <c r="S157">
        <f>HYPERLINK("https://klasma.github.io/Logging_2281/artfynd/A 39929-2021 artfynd.xlsx", "A 39929-2021")</f>
        <v/>
      </c>
      <c r="T157">
        <f>HYPERLINK("https://klasma.github.io/Logging_2281/kartor/A 39929-2021 karta.png", "A 39929-2021")</f>
        <v/>
      </c>
      <c r="V157">
        <f>HYPERLINK("https://klasma.github.io/Logging_2281/klagomål/A 39929-2021 FSC-klagomål.docx", "A 39929-2021")</f>
        <v/>
      </c>
      <c r="W157">
        <f>HYPERLINK("https://klasma.github.io/Logging_2281/klagomålsmail/A 39929-2021 FSC-klagomål mail.docx", "A 39929-2021")</f>
        <v/>
      </c>
      <c r="X157">
        <f>HYPERLINK("https://klasma.github.io/Logging_2281/tillsyn/A 39929-2021 tillsynsbegäran.docx", "A 39929-2021")</f>
        <v/>
      </c>
      <c r="Y157">
        <f>HYPERLINK("https://klasma.github.io/Logging_2281/tillsynsmail/A 39929-2021 tillsynsbegäran mail.docx", "A 39929-2021")</f>
        <v/>
      </c>
      <c r="Z157">
        <f>HYPERLINK("https://klasma.github.io/Logging_2281/fåglar/A 39929-2021 prioriterade fågelarter.docx", "A 39929-2021")</f>
        <v/>
      </c>
    </row>
    <row r="158" ht="15" customHeight="1">
      <c r="A158" t="inlineStr">
        <is>
          <t>A 43196-2021</t>
        </is>
      </c>
      <c r="B158" s="1" t="n">
        <v>44431</v>
      </c>
      <c r="C158" s="1" t="n">
        <v>45841</v>
      </c>
      <c r="D158" t="inlineStr">
        <is>
          <t>VÄSTERNORRLANDS LÄN</t>
        </is>
      </c>
      <c r="E158" t="inlineStr">
        <is>
          <t>SUNDSVALL</t>
        </is>
      </c>
      <c r="G158" t="n">
        <v>1.9</v>
      </c>
      <c r="H158" t="n">
        <v>1</v>
      </c>
      <c r="I158" t="n">
        <v>0</v>
      </c>
      <c r="J158" t="n">
        <v>1</v>
      </c>
      <c r="K158" t="n">
        <v>0</v>
      </c>
      <c r="L158" t="n">
        <v>0</v>
      </c>
      <c r="M158" t="n">
        <v>0</v>
      </c>
      <c r="N158" t="n">
        <v>0</v>
      </c>
      <c r="O158" t="n">
        <v>1</v>
      </c>
      <c r="P158" t="n">
        <v>0</v>
      </c>
      <c r="Q158" t="n">
        <v>2</v>
      </c>
      <c r="R158" s="2" t="inlineStr">
        <is>
          <t>Garnlav
Revlummer</t>
        </is>
      </c>
      <c r="S158">
        <f>HYPERLINK("https://klasma.github.io/Logging_2281/artfynd/A 43196-2021 artfynd.xlsx", "A 43196-2021")</f>
        <v/>
      </c>
      <c r="T158">
        <f>HYPERLINK("https://klasma.github.io/Logging_2281/kartor/A 43196-2021 karta.png", "A 43196-2021")</f>
        <v/>
      </c>
      <c r="V158">
        <f>HYPERLINK("https://klasma.github.io/Logging_2281/klagomål/A 43196-2021 FSC-klagomål.docx", "A 43196-2021")</f>
        <v/>
      </c>
      <c r="W158">
        <f>HYPERLINK("https://klasma.github.io/Logging_2281/klagomålsmail/A 43196-2021 FSC-klagomål mail.docx", "A 43196-2021")</f>
        <v/>
      </c>
      <c r="X158">
        <f>HYPERLINK("https://klasma.github.io/Logging_2281/tillsyn/A 43196-2021 tillsynsbegäran.docx", "A 43196-2021")</f>
        <v/>
      </c>
      <c r="Y158">
        <f>HYPERLINK("https://klasma.github.io/Logging_2281/tillsynsmail/A 43196-2021 tillsynsbegäran mail.docx", "A 43196-2021")</f>
        <v/>
      </c>
    </row>
    <row r="159" ht="15" customHeight="1">
      <c r="A159" t="inlineStr">
        <is>
          <t>A 64919-2021</t>
        </is>
      </c>
      <c r="B159" s="1" t="n">
        <v>44512</v>
      </c>
      <c r="C159" s="1" t="n">
        <v>45841</v>
      </c>
      <c r="D159" t="inlineStr">
        <is>
          <t>VÄSTERNORRLANDS LÄN</t>
        </is>
      </c>
      <c r="E159" t="inlineStr">
        <is>
          <t>SUNDSVALL</t>
        </is>
      </c>
      <c r="F159" t="inlineStr">
        <is>
          <t>Kommuner</t>
        </is>
      </c>
      <c r="G159" t="n">
        <v>4.1</v>
      </c>
      <c r="H159" t="n">
        <v>1</v>
      </c>
      <c r="I159" t="n">
        <v>1</v>
      </c>
      <c r="J159" t="n">
        <v>1</v>
      </c>
      <c r="K159" t="n">
        <v>0</v>
      </c>
      <c r="L159" t="n">
        <v>0</v>
      </c>
      <c r="M159" t="n">
        <v>0</v>
      </c>
      <c r="N159" t="n">
        <v>0</v>
      </c>
      <c r="O159" t="n">
        <v>1</v>
      </c>
      <c r="P159" t="n">
        <v>0</v>
      </c>
      <c r="Q159" t="n">
        <v>2</v>
      </c>
      <c r="R159" s="2" t="inlineStr">
        <is>
          <t>Mindre hackspett
Scharlakansskål</t>
        </is>
      </c>
      <c r="S159">
        <f>HYPERLINK("https://klasma.github.io/Logging_2281/artfynd/A 64919-2021 artfynd.xlsx", "A 64919-2021")</f>
        <v/>
      </c>
      <c r="T159">
        <f>HYPERLINK("https://klasma.github.io/Logging_2281/kartor/A 64919-2021 karta.png", "A 64919-2021")</f>
        <v/>
      </c>
      <c r="V159">
        <f>HYPERLINK("https://klasma.github.io/Logging_2281/klagomål/A 64919-2021 FSC-klagomål.docx", "A 64919-2021")</f>
        <v/>
      </c>
      <c r="W159">
        <f>HYPERLINK("https://klasma.github.io/Logging_2281/klagomålsmail/A 64919-2021 FSC-klagomål mail.docx", "A 64919-2021")</f>
        <v/>
      </c>
      <c r="X159">
        <f>HYPERLINK("https://klasma.github.io/Logging_2281/tillsyn/A 64919-2021 tillsynsbegäran.docx", "A 64919-2021")</f>
        <v/>
      </c>
      <c r="Y159">
        <f>HYPERLINK("https://klasma.github.io/Logging_2281/tillsynsmail/A 64919-2021 tillsynsbegäran mail.docx", "A 64919-2021")</f>
        <v/>
      </c>
      <c r="Z159">
        <f>HYPERLINK("https://klasma.github.io/Logging_2281/fåglar/A 64919-2021 prioriterade fågelarter.docx", "A 64919-2021")</f>
        <v/>
      </c>
    </row>
    <row r="160" ht="15" customHeight="1">
      <c r="A160" t="inlineStr">
        <is>
          <t>A 5115-2022</t>
        </is>
      </c>
      <c r="B160" s="1" t="n">
        <v>44593</v>
      </c>
      <c r="C160" s="1" t="n">
        <v>45841</v>
      </c>
      <c r="D160" t="inlineStr">
        <is>
          <t>VÄSTERNORRLANDS LÄN</t>
        </is>
      </c>
      <c r="E160" t="inlineStr">
        <is>
          <t>SUNDSVALL</t>
        </is>
      </c>
      <c r="F160" t="inlineStr">
        <is>
          <t>SCA</t>
        </is>
      </c>
      <c r="G160" t="n">
        <v>13.6</v>
      </c>
      <c r="H160" t="n">
        <v>0</v>
      </c>
      <c r="I160" t="n">
        <v>1</v>
      </c>
      <c r="J160" t="n">
        <v>1</v>
      </c>
      <c r="K160" t="n">
        <v>0</v>
      </c>
      <c r="L160" t="n">
        <v>0</v>
      </c>
      <c r="M160" t="n">
        <v>0</v>
      </c>
      <c r="N160" t="n">
        <v>0</v>
      </c>
      <c r="O160" t="n">
        <v>1</v>
      </c>
      <c r="P160" t="n">
        <v>0</v>
      </c>
      <c r="Q160" t="n">
        <v>2</v>
      </c>
      <c r="R160" s="2" t="inlineStr">
        <is>
          <t>Lunglav
Norrlandslav</t>
        </is>
      </c>
      <c r="S160">
        <f>HYPERLINK("https://klasma.github.io/Logging_2281/artfynd/A 5115-2022 artfynd.xlsx", "A 5115-2022")</f>
        <v/>
      </c>
      <c r="T160">
        <f>HYPERLINK("https://klasma.github.io/Logging_2281/kartor/A 5115-2022 karta.png", "A 5115-2022")</f>
        <v/>
      </c>
      <c r="V160">
        <f>HYPERLINK("https://klasma.github.io/Logging_2281/klagomål/A 5115-2022 FSC-klagomål.docx", "A 5115-2022")</f>
        <v/>
      </c>
      <c r="W160">
        <f>HYPERLINK("https://klasma.github.io/Logging_2281/klagomålsmail/A 5115-2022 FSC-klagomål mail.docx", "A 5115-2022")</f>
        <v/>
      </c>
      <c r="X160">
        <f>HYPERLINK("https://klasma.github.io/Logging_2281/tillsyn/A 5115-2022 tillsynsbegäran.docx", "A 5115-2022")</f>
        <v/>
      </c>
      <c r="Y160">
        <f>HYPERLINK("https://klasma.github.io/Logging_2281/tillsynsmail/A 5115-2022 tillsynsbegäran mail.docx", "A 5115-2022")</f>
        <v/>
      </c>
    </row>
    <row r="161" ht="15" customHeight="1">
      <c r="A161" t="inlineStr">
        <is>
          <t>A 22567-2022</t>
        </is>
      </c>
      <c r="B161" s="1" t="n">
        <v>44713</v>
      </c>
      <c r="C161" s="1" t="n">
        <v>45841</v>
      </c>
      <c r="D161" t="inlineStr">
        <is>
          <t>VÄSTERNORRLANDS LÄN</t>
        </is>
      </c>
      <c r="E161" t="inlineStr">
        <is>
          <t>SUNDSVALL</t>
        </is>
      </c>
      <c r="F161" t="inlineStr">
        <is>
          <t>SCA</t>
        </is>
      </c>
      <c r="G161" t="n">
        <v>4.5</v>
      </c>
      <c r="H161" t="n">
        <v>0</v>
      </c>
      <c r="I161" t="n">
        <v>0</v>
      </c>
      <c r="J161" t="n">
        <v>2</v>
      </c>
      <c r="K161" t="n">
        <v>0</v>
      </c>
      <c r="L161" t="n">
        <v>0</v>
      </c>
      <c r="M161" t="n">
        <v>0</v>
      </c>
      <c r="N161" t="n">
        <v>0</v>
      </c>
      <c r="O161" t="n">
        <v>2</v>
      </c>
      <c r="P161" t="n">
        <v>0</v>
      </c>
      <c r="Q161" t="n">
        <v>2</v>
      </c>
      <c r="R161" s="2" t="inlineStr">
        <is>
          <t>Garnlav
Granticka</t>
        </is>
      </c>
      <c r="S161">
        <f>HYPERLINK("https://klasma.github.io/Logging_2281/artfynd/A 22567-2022 artfynd.xlsx", "A 22567-2022")</f>
        <v/>
      </c>
      <c r="T161">
        <f>HYPERLINK("https://klasma.github.io/Logging_2281/kartor/A 22567-2022 karta.png", "A 22567-2022")</f>
        <v/>
      </c>
      <c r="V161">
        <f>HYPERLINK("https://klasma.github.io/Logging_2281/klagomål/A 22567-2022 FSC-klagomål.docx", "A 22567-2022")</f>
        <v/>
      </c>
      <c r="W161">
        <f>HYPERLINK("https://klasma.github.io/Logging_2281/klagomålsmail/A 22567-2022 FSC-klagomål mail.docx", "A 22567-2022")</f>
        <v/>
      </c>
      <c r="X161">
        <f>HYPERLINK("https://klasma.github.io/Logging_2281/tillsyn/A 22567-2022 tillsynsbegäran.docx", "A 22567-2022")</f>
        <v/>
      </c>
      <c r="Y161">
        <f>HYPERLINK("https://klasma.github.io/Logging_2281/tillsynsmail/A 22567-2022 tillsynsbegäran mail.docx", "A 22567-2022")</f>
        <v/>
      </c>
    </row>
    <row r="162" ht="15" customHeight="1">
      <c r="A162" t="inlineStr">
        <is>
          <t>A 32766-2022</t>
        </is>
      </c>
      <c r="B162" s="1" t="n">
        <v>44783</v>
      </c>
      <c r="C162" s="1" t="n">
        <v>45841</v>
      </c>
      <c r="D162" t="inlineStr">
        <is>
          <t>VÄSTERNORRLANDS LÄN</t>
        </is>
      </c>
      <c r="E162" t="inlineStr">
        <is>
          <t>SUNDSVALL</t>
        </is>
      </c>
      <c r="F162" t="inlineStr">
        <is>
          <t>SCA</t>
        </is>
      </c>
      <c r="G162" t="n">
        <v>6.3</v>
      </c>
      <c r="H162" t="n">
        <v>0</v>
      </c>
      <c r="I162" t="n">
        <v>1</v>
      </c>
      <c r="J162" t="n">
        <v>1</v>
      </c>
      <c r="K162" t="n">
        <v>0</v>
      </c>
      <c r="L162" t="n">
        <v>0</v>
      </c>
      <c r="M162" t="n">
        <v>0</v>
      </c>
      <c r="N162" t="n">
        <v>0</v>
      </c>
      <c r="O162" t="n">
        <v>1</v>
      </c>
      <c r="P162" t="n">
        <v>0</v>
      </c>
      <c r="Q162" t="n">
        <v>2</v>
      </c>
      <c r="R162" s="2" t="inlineStr">
        <is>
          <t>Lunglav
Stor aspticka</t>
        </is>
      </c>
      <c r="S162">
        <f>HYPERLINK("https://klasma.github.io/Logging_2281/artfynd/A 32766-2022 artfynd.xlsx", "A 32766-2022")</f>
        <v/>
      </c>
      <c r="T162">
        <f>HYPERLINK("https://klasma.github.io/Logging_2281/kartor/A 32766-2022 karta.png", "A 32766-2022")</f>
        <v/>
      </c>
      <c r="V162">
        <f>HYPERLINK("https://klasma.github.io/Logging_2281/klagomål/A 32766-2022 FSC-klagomål.docx", "A 32766-2022")</f>
        <v/>
      </c>
      <c r="W162">
        <f>HYPERLINK("https://klasma.github.io/Logging_2281/klagomålsmail/A 32766-2022 FSC-klagomål mail.docx", "A 32766-2022")</f>
        <v/>
      </c>
      <c r="X162">
        <f>HYPERLINK("https://klasma.github.io/Logging_2281/tillsyn/A 32766-2022 tillsynsbegäran.docx", "A 32766-2022")</f>
        <v/>
      </c>
      <c r="Y162">
        <f>HYPERLINK("https://klasma.github.io/Logging_2281/tillsynsmail/A 32766-2022 tillsynsbegäran mail.docx", "A 32766-2022")</f>
        <v/>
      </c>
    </row>
    <row r="163" ht="15" customHeight="1">
      <c r="A163" t="inlineStr">
        <is>
          <t>A 35307-2022</t>
        </is>
      </c>
      <c r="B163" s="1" t="n">
        <v>44798</v>
      </c>
      <c r="C163" s="1" t="n">
        <v>45841</v>
      </c>
      <c r="D163" t="inlineStr">
        <is>
          <t>VÄSTERNORRLANDS LÄN</t>
        </is>
      </c>
      <c r="E163" t="inlineStr">
        <is>
          <t>SUNDSVALL</t>
        </is>
      </c>
      <c r="F163" t="inlineStr">
        <is>
          <t>Holmen skog AB</t>
        </is>
      </c>
      <c r="G163" t="n">
        <v>13.4</v>
      </c>
      <c r="H163" t="n">
        <v>0</v>
      </c>
      <c r="I163" t="n">
        <v>1</v>
      </c>
      <c r="J163" t="n">
        <v>1</v>
      </c>
      <c r="K163" t="n">
        <v>0</v>
      </c>
      <c r="L163" t="n">
        <v>0</v>
      </c>
      <c r="M163" t="n">
        <v>0</v>
      </c>
      <c r="N163" t="n">
        <v>0</v>
      </c>
      <c r="O163" t="n">
        <v>1</v>
      </c>
      <c r="P163" t="n">
        <v>0</v>
      </c>
      <c r="Q163" t="n">
        <v>2</v>
      </c>
      <c r="R163" s="2" t="inlineStr">
        <is>
          <t>Månlåsbräken
Ögonpyrola</t>
        </is>
      </c>
      <c r="S163">
        <f>HYPERLINK("https://klasma.github.io/Logging_2281/artfynd/A 35307-2022 artfynd.xlsx", "A 35307-2022")</f>
        <v/>
      </c>
      <c r="T163">
        <f>HYPERLINK("https://klasma.github.io/Logging_2281/kartor/A 35307-2022 karta.png", "A 35307-2022")</f>
        <v/>
      </c>
      <c r="V163">
        <f>HYPERLINK("https://klasma.github.io/Logging_2281/klagomål/A 35307-2022 FSC-klagomål.docx", "A 35307-2022")</f>
        <v/>
      </c>
      <c r="W163">
        <f>HYPERLINK("https://klasma.github.io/Logging_2281/klagomålsmail/A 35307-2022 FSC-klagomål mail.docx", "A 35307-2022")</f>
        <v/>
      </c>
      <c r="X163">
        <f>HYPERLINK("https://klasma.github.io/Logging_2281/tillsyn/A 35307-2022 tillsynsbegäran.docx", "A 35307-2022")</f>
        <v/>
      </c>
      <c r="Y163">
        <f>HYPERLINK("https://klasma.github.io/Logging_2281/tillsynsmail/A 35307-2022 tillsynsbegäran mail.docx", "A 35307-2022")</f>
        <v/>
      </c>
    </row>
    <row r="164" ht="15" customHeight="1">
      <c r="A164" t="inlineStr">
        <is>
          <t>A 41814-2022</t>
        </is>
      </c>
      <c r="B164" s="1" t="n">
        <v>44827</v>
      </c>
      <c r="C164" s="1" t="n">
        <v>45841</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46214-2022</t>
        </is>
      </c>
      <c r="B165" s="1" t="n">
        <v>44845</v>
      </c>
      <c r="C165" s="1" t="n">
        <v>45841</v>
      </c>
      <c r="D165" t="inlineStr">
        <is>
          <t>VÄSTERNORRLANDS LÄN</t>
        </is>
      </c>
      <c r="E165" t="inlineStr">
        <is>
          <t>SUNDSVALL</t>
        </is>
      </c>
      <c r="G165" t="n">
        <v>46.2</v>
      </c>
      <c r="H165" t="n">
        <v>2</v>
      </c>
      <c r="I165" t="n">
        <v>0</v>
      </c>
      <c r="J165" t="n">
        <v>0</v>
      </c>
      <c r="K165" t="n">
        <v>0</v>
      </c>
      <c r="L165" t="n">
        <v>0</v>
      </c>
      <c r="M165" t="n">
        <v>0</v>
      </c>
      <c r="N165" t="n">
        <v>0</v>
      </c>
      <c r="O165" t="n">
        <v>0</v>
      </c>
      <c r="P165" t="n">
        <v>0</v>
      </c>
      <c r="Q165" t="n">
        <v>2</v>
      </c>
      <c r="R165" s="2" t="inlineStr">
        <is>
          <t>Orre
Tjäder</t>
        </is>
      </c>
      <c r="S165">
        <f>HYPERLINK("https://klasma.github.io/Logging_2281/artfynd/A 46214-2022 artfynd.xlsx", "A 46214-2022")</f>
        <v/>
      </c>
      <c r="T165">
        <f>HYPERLINK("https://klasma.github.io/Logging_2281/kartor/A 46214-2022 karta.png", "A 46214-2022")</f>
        <v/>
      </c>
      <c r="V165">
        <f>HYPERLINK("https://klasma.github.io/Logging_2281/klagomål/A 46214-2022 FSC-klagomål.docx", "A 46214-2022")</f>
        <v/>
      </c>
      <c r="W165">
        <f>HYPERLINK("https://klasma.github.io/Logging_2281/klagomålsmail/A 46214-2022 FSC-klagomål mail.docx", "A 46214-2022")</f>
        <v/>
      </c>
      <c r="X165">
        <f>HYPERLINK("https://klasma.github.io/Logging_2281/tillsyn/A 46214-2022 tillsynsbegäran.docx", "A 46214-2022")</f>
        <v/>
      </c>
      <c r="Y165">
        <f>HYPERLINK("https://klasma.github.io/Logging_2281/tillsynsmail/A 46214-2022 tillsynsbegäran mail.docx", "A 46214-2022")</f>
        <v/>
      </c>
      <c r="Z165">
        <f>HYPERLINK("https://klasma.github.io/Logging_2281/fåglar/A 46214-2022 prioriterade fågelarter.docx", "A 46214-2022")</f>
        <v/>
      </c>
    </row>
    <row r="166" ht="15" customHeight="1">
      <c r="A166" t="inlineStr">
        <is>
          <t>A 52350-2022</t>
        </is>
      </c>
      <c r="B166" s="1" t="n">
        <v>44873</v>
      </c>
      <c r="C166" s="1" t="n">
        <v>45841</v>
      </c>
      <c r="D166" t="inlineStr">
        <is>
          <t>VÄSTERNORRLANDS LÄN</t>
        </is>
      </c>
      <c r="E166" t="inlineStr">
        <is>
          <t>SUNDSVALL</t>
        </is>
      </c>
      <c r="F166" t="inlineStr">
        <is>
          <t>SCA</t>
        </is>
      </c>
      <c r="G166" t="n">
        <v>4.4</v>
      </c>
      <c r="H166" t="n">
        <v>0</v>
      </c>
      <c r="I166" t="n">
        <v>0</v>
      </c>
      <c r="J166" t="n">
        <v>2</v>
      </c>
      <c r="K166" t="n">
        <v>0</v>
      </c>
      <c r="L166" t="n">
        <v>0</v>
      </c>
      <c r="M166" t="n">
        <v>0</v>
      </c>
      <c r="N166" t="n">
        <v>0</v>
      </c>
      <c r="O166" t="n">
        <v>2</v>
      </c>
      <c r="P166" t="n">
        <v>0</v>
      </c>
      <c r="Q166" t="n">
        <v>2</v>
      </c>
      <c r="R166" s="2" t="inlineStr">
        <is>
          <t>Lunglav
Ullticka</t>
        </is>
      </c>
      <c r="S166">
        <f>HYPERLINK("https://klasma.github.io/Logging_2281/artfynd/A 52350-2022 artfynd.xlsx", "A 52350-2022")</f>
        <v/>
      </c>
      <c r="T166">
        <f>HYPERLINK("https://klasma.github.io/Logging_2281/kartor/A 52350-2022 karta.png", "A 52350-2022")</f>
        <v/>
      </c>
      <c r="V166">
        <f>HYPERLINK("https://klasma.github.io/Logging_2281/klagomål/A 52350-2022 FSC-klagomål.docx", "A 52350-2022")</f>
        <v/>
      </c>
      <c r="W166">
        <f>HYPERLINK("https://klasma.github.io/Logging_2281/klagomålsmail/A 52350-2022 FSC-klagomål mail.docx", "A 52350-2022")</f>
        <v/>
      </c>
      <c r="X166">
        <f>HYPERLINK("https://klasma.github.io/Logging_2281/tillsyn/A 52350-2022 tillsynsbegäran.docx", "A 52350-2022")</f>
        <v/>
      </c>
      <c r="Y166">
        <f>HYPERLINK("https://klasma.github.io/Logging_2281/tillsynsmail/A 52350-2022 tillsynsbegäran mail.docx", "A 52350-2022")</f>
        <v/>
      </c>
    </row>
    <row r="167" ht="15" customHeight="1">
      <c r="A167" t="inlineStr">
        <is>
          <t>A 52741-2022</t>
        </is>
      </c>
      <c r="B167" s="1" t="n">
        <v>44874</v>
      </c>
      <c r="C167" s="1" t="n">
        <v>45841</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53942-2022</t>
        </is>
      </c>
      <c r="B168" s="1" t="n">
        <v>44880</v>
      </c>
      <c r="C168" s="1" t="n">
        <v>45841</v>
      </c>
      <c r="D168" t="inlineStr">
        <is>
          <t>VÄSTERNORRLANDS LÄN</t>
        </is>
      </c>
      <c r="E168" t="inlineStr">
        <is>
          <t>SUNDSVALL</t>
        </is>
      </c>
      <c r="F168" t="inlineStr">
        <is>
          <t>SCA</t>
        </is>
      </c>
      <c r="G168" t="n">
        <v>3.5</v>
      </c>
      <c r="H168" t="n">
        <v>0</v>
      </c>
      <c r="I168" t="n">
        <v>1</v>
      </c>
      <c r="J168" t="n">
        <v>1</v>
      </c>
      <c r="K168" t="n">
        <v>0</v>
      </c>
      <c r="L168" t="n">
        <v>0</v>
      </c>
      <c r="M168" t="n">
        <v>0</v>
      </c>
      <c r="N168" t="n">
        <v>0</v>
      </c>
      <c r="O168" t="n">
        <v>1</v>
      </c>
      <c r="P168" t="n">
        <v>0</v>
      </c>
      <c r="Q168" t="n">
        <v>2</v>
      </c>
      <c r="R168" s="2" t="inlineStr">
        <is>
          <t>Lunglav
Vedticka</t>
        </is>
      </c>
      <c r="S168">
        <f>HYPERLINK("https://klasma.github.io/Logging_2281/artfynd/A 53942-2022 artfynd.xlsx", "A 53942-2022")</f>
        <v/>
      </c>
      <c r="T168">
        <f>HYPERLINK("https://klasma.github.io/Logging_2281/kartor/A 53942-2022 karta.png", "A 53942-2022")</f>
        <v/>
      </c>
      <c r="V168">
        <f>HYPERLINK("https://klasma.github.io/Logging_2281/klagomål/A 53942-2022 FSC-klagomål.docx", "A 53942-2022")</f>
        <v/>
      </c>
      <c r="W168">
        <f>HYPERLINK("https://klasma.github.io/Logging_2281/klagomålsmail/A 53942-2022 FSC-klagomål mail.docx", "A 53942-2022")</f>
        <v/>
      </c>
      <c r="X168">
        <f>HYPERLINK("https://klasma.github.io/Logging_2281/tillsyn/A 53942-2022 tillsynsbegäran.docx", "A 53942-2022")</f>
        <v/>
      </c>
      <c r="Y168">
        <f>HYPERLINK("https://klasma.github.io/Logging_2281/tillsynsmail/A 53942-2022 tillsynsbegäran mail.docx", "A 53942-2022")</f>
        <v/>
      </c>
    </row>
    <row r="169" ht="15" customHeight="1">
      <c r="A169" t="inlineStr">
        <is>
          <t>A 58191-2022</t>
        </is>
      </c>
      <c r="B169" s="1" t="n">
        <v>44900</v>
      </c>
      <c r="C169" s="1" t="n">
        <v>45841</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18998-2023</t>
        </is>
      </c>
      <c r="B170" s="1" t="n">
        <v>45044</v>
      </c>
      <c r="C170" s="1" t="n">
        <v>45841</v>
      </c>
      <c r="D170" t="inlineStr">
        <is>
          <t>VÄSTERNORRLANDS LÄN</t>
        </is>
      </c>
      <c r="E170" t="inlineStr">
        <is>
          <t>SUNDSVALL</t>
        </is>
      </c>
      <c r="F170" t="inlineStr">
        <is>
          <t>SCA</t>
        </is>
      </c>
      <c r="G170" t="n">
        <v>17.7</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18998-2023 artfynd.xlsx", "A 18998-2023")</f>
        <v/>
      </c>
      <c r="T170">
        <f>HYPERLINK("https://klasma.github.io/Logging_2281/kartor/A 18998-2023 karta.png", "A 18998-2023")</f>
        <v/>
      </c>
      <c r="U170">
        <f>HYPERLINK("https://klasma.github.io/Logging_2281/knärot/A 18998-2023 karta knärot.png", "A 18998-2023")</f>
        <v/>
      </c>
      <c r="V170">
        <f>HYPERLINK("https://klasma.github.io/Logging_2281/klagomål/A 18998-2023 FSC-klagomål.docx", "A 18998-2023")</f>
        <v/>
      </c>
      <c r="W170">
        <f>HYPERLINK("https://klasma.github.io/Logging_2281/klagomålsmail/A 18998-2023 FSC-klagomål mail.docx", "A 18998-2023")</f>
        <v/>
      </c>
      <c r="X170">
        <f>HYPERLINK("https://klasma.github.io/Logging_2281/tillsyn/A 18998-2023 tillsynsbegäran.docx", "A 18998-2023")</f>
        <v/>
      </c>
      <c r="Y170">
        <f>HYPERLINK("https://klasma.github.io/Logging_2281/tillsynsmail/A 18998-2023 tillsynsbegäran mail.docx", "A 18998-2023")</f>
        <v/>
      </c>
    </row>
    <row r="171" ht="15" customHeight="1">
      <c r="A171" t="inlineStr">
        <is>
          <t>A 18991-2023</t>
        </is>
      </c>
      <c r="B171" s="1" t="n">
        <v>45044</v>
      </c>
      <c r="C171" s="1" t="n">
        <v>45841</v>
      </c>
      <c r="D171" t="inlineStr">
        <is>
          <t>VÄSTERNORRLANDS LÄN</t>
        </is>
      </c>
      <c r="E171" t="inlineStr">
        <is>
          <t>SUNDSVALL</t>
        </is>
      </c>
      <c r="F171" t="inlineStr">
        <is>
          <t>SCA</t>
        </is>
      </c>
      <c r="G171" t="n">
        <v>10</v>
      </c>
      <c r="H171" t="n">
        <v>0</v>
      </c>
      <c r="I171" t="n">
        <v>1</v>
      </c>
      <c r="J171" t="n">
        <v>1</v>
      </c>
      <c r="K171" t="n">
        <v>0</v>
      </c>
      <c r="L171" t="n">
        <v>0</v>
      </c>
      <c r="M171" t="n">
        <v>0</v>
      </c>
      <c r="N171" t="n">
        <v>0</v>
      </c>
      <c r="O171" t="n">
        <v>1</v>
      </c>
      <c r="P171" t="n">
        <v>0</v>
      </c>
      <c r="Q171" t="n">
        <v>2</v>
      </c>
      <c r="R171" s="2" t="inlineStr">
        <is>
          <t>Ullticka
Vedticka</t>
        </is>
      </c>
      <c r="S171">
        <f>HYPERLINK("https://klasma.github.io/Logging_2281/artfynd/A 18991-2023 artfynd.xlsx", "A 18991-2023")</f>
        <v/>
      </c>
      <c r="T171">
        <f>HYPERLINK("https://klasma.github.io/Logging_2281/kartor/A 18991-2023 karta.png", "A 18991-2023")</f>
        <v/>
      </c>
      <c r="V171">
        <f>HYPERLINK("https://klasma.github.io/Logging_2281/klagomål/A 18991-2023 FSC-klagomål.docx", "A 18991-2023")</f>
        <v/>
      </c>
      <c r="W171">
        <f>HYPERLINK("https://klasma.github.io/Logging_2281/klagomålsmail/A 18991-2023 FSC-klagomål mail.docx", "A 18991-2023")</f>
        <v/>
      </c>
      <c r="X171">
        <f>HYPERLINK("https://klasma.github.io/Logging_2281/tillsyn/A 18991-2023 tillsynsbegäran.docx", "A 18991-2023")</f>
        <v/>
      </c>
      <c r="Y171">
        <f>HYPERLINK("https://klasma.github.io/Logging_2281/tillsynsmail/A 18991-2023 tillsynsbegäran mail.docx", "A 18991-2023")</f>
        <v/>
      </c>
    </row>
    <row r="172" ht="15" customHeight="1">
      <c r="A172" t="inlineStr">
        <is>
          <t>A 20596-2023</t>
        </is>
      </c>
      <c r="B172" s="1" t="n">
        <v>45058</v>
      </c>
      <c r="C172" s="1" t="n">
        <v>45841</v>
      </c>
      <c r="D172" t="inlineStr">
        <is>
          <t>VÄSTERNORRLANDS LÄN</t>
        </is>
      </c>
      <c r="E172" t="inlineStr">
        <is>
          <t>SUNDSVALL</t>
        </is>
      </c>
      <c r="F172" t="inlineStr">
        <is>
          <t>SCA</t>
        </is>
      </c>
      <c r="G172" t="n">
        <v>4.3</v>
      </c>
      <c r="H172" t="n">
        <v>0</v>
      </c>
      <c r="I172" t="n">
        <v>0</v>
      </c>
      <c r="J172" t="n">
        <v>2</v>
      </c>
      <c r="K172" t="n">
        <v>0</v>
      </c>
      <c r="L172" t="n">
        <v>0</v>
      </c>
      <c r="M172" t="n">
        <v>0</v>
      </c>
      <c r="N172" t="n">
        <v>0</v>
      </c>
      <c r="O172" t="n">
        <v>2</v>
      </c>
      <c r="P172" t="n">
        <v>0</v>
      </c>
      <c r="Q172" t="n">
        <v>2</v>
      </c>
      <c r="R172" s="2" t="inlineStr">
        <is>
          <t>Ullticka
Vedflamlav</t>
        </is>
      </c>
      <c r="S172">
        <f>HYPERLINK("https://klasma.github.io/Logging_2281/artfynd/A 20596-2023 artfynd.xlsx", "A 20596-2023")</f>
        <v/>
      </c>
      <c r="T172">
        <f>HYPERLINK("https://klasma.github.io/Logging_2281/kartor/A 20596-2023 karta.png", "A 20596-2023")</f>
        <v/>
      </c>
      <c r="V172">
        <f>HYPERLINK("https://klasma.github.io/Logging_2281/klagomål/A 20596-2023 FSC-klagomål.docx", "A 20596-2023")</f>
        <v/>
      </c>
      <c r="W172">
        <f>HYPERLINK("https://klasma.github.io/Logging_2281/klagomålsmail/A 20596-2023 FSC-klagomål mail.docx", "A 20596-2023")</f>
        <v/>
      </c>
      <c r="X172">
        <f>HYPERLINK("https://klasma.github.io/Logging_2281/tillsyn/A 20596-2023 tillsynsbegäran.docx", "A 20596-2023")</f>
        <v/>
      </c>
      <c r="Y172">
        <f>HYPERLINK("https://klasma.github.io/Logging_2281/tillsynsmail/A 20596-2023 tillsynsbegäran mail.docx", "A 20596-2023")</f>
        <v/>
      </c>
    </row>
    <row r="173" ht="15" customHeight="1">
      <c r="A173" t="inlineStr">
        <is>
          <t>A 20888-2023</t>
        </is>
      </c>
      <c r="B173" s="1" t="n">
        <v>45058</v>
      </c>
      <c r="C173" s="1" t="n">
        <v>45841</v>
      </c>
      <c r="D173" t="inlineStr">
        <is>
          <t>VÄSTERNORRLANDS LÄN</t>
        </is>
      </c>
      <c r="E173" t="inlineStr">
        <is>
          <t>SUNDSVALL</t>
        </is>
      </c>
      <c r="F173" t="inlineStr">
        <is>
          <t>SCA</t>
        </is>
      </c>
      <c r="G173" t="n">
        <v>3.3</v>
      </c>
      <c r="H173" t="n">
        <v>0</v>
      </c>
      <c r="I173" t="n">
        <v>1</v>
      </c>
      <c r="J173" t="n">
        <v>1</v>
      </c>
      <c r="K173" t="n">
        <v>0</v>
      </c>
      <c r="L173" t="n">
        <v>0</v>
      </c>
      <c r="M173" t="n">
        <v>0</v>
      </c>
      <c r="N173" t="n">
        <v>0</v>
      </c>
      <c r="O173" t="n">
        <v>1</v>
      </c>
      <c r="P173" t="n">
        <v>0</v>
      </c>
      <c r="Q173" t="n">
        <v>2</v>
      </c>
      <c r="R173" s="2" t="inlineStr">
        <is>
          <t>Småflikig brosklav
Skinnlav</t>
        </is>
      </c>
      <c r="S173">
        <f>HYPERLINK("https://klasma.github.io/Logging_2281/artfynd/A 20888-2023 artfynd.xlsx", "A 20888-2023")</f>
        <v/>
      </c>
      <c r="T173">
        <f>HYPERLINK("https://klasma.github.io/Logging_2281/kartor/A 20888-2023 karta.png", "A 20888-2023")</f>
        <v/>
      </c>
      <c r="V173">
        <f>HYPERLINK("https://klasma.github.io/Logging_2281/klagomål/A 20888-2023 FSC-klagomål.docx", "A 20888-2023")</f>
        <v/>
      </c>
      <c r="W173">
        <f>HYPERLINK("https://klasma.github.io/Logging_2281/klagomålsmail/A 20888-2023 FSC-klagomål mail.docx", "A 20888-2023")</f>
        <v/>
      </c>
      <c r="X173">
        <f>HYPERLINK("https://klasma.github.io/Logging_2281/tillsyn/A 20888-2023 tillsynsbegäran.docx", "A 20888-2023")</f>
        <v/>
      </c>
      <c r="Y173">
        <f>HYPERLINK("https://klasma.github.io/Logging_2281/tillsynsmail/A 20888-2023 tillsynsbegäran mail.docx", "A 20888-2023")</f>
        <v/>
      </c>
    </row>
    <row r="174" ht="15" customHeight="1">
      <c r="A174" t="inlineStr">
        <is>
          <t>A 27385-2023</t>
        </is>
      </c>
      <c r="B174" s="1" t="n">
        <v>45096</v>
      </c>
      <c r="C174" s="1" t="n">
        <v>45841</v>
      </c>
      <c r="D174" t="inlineStr">
        <is>
          <t>VÄSTERNORRLANDS LÄN</t>
        </is>
      </c>
      <c r="E174" t="inlineStr">
        <is>
          <t>SUNDSVALL</t>
        </is>
      </c>
      <c r="F174" t="inlineStr">
        <is>
          <t>SCA</t>
        </is>
      </c>
      <c r="G174" t="n">
        <v>11</v>
      </c>
      <c r="H174" t="n">
        <v>1</v>
      </c>
      <c r="I174" t="n">
        <v>0</v>
      </c>
      <c r="J174" t="n">
        <v>1</v>
      </c>
      <c r="K174" t="n">
        <v>0</v>
      </c>
      <c r="L174" t="n">
        <v>0</v>
      </c>
      <c r="M174" t="n">
        <v>0</v>
      </c>
      <c r="N174" t="n">
        <v>0</v>
      </c>
      <c r="O174" t="n">
        <v>1</v>
      </c>
      <c r="P174" t="n">
        <v>0</v>
      </c>
      <c r="Q174" t="n">
        <v>2</v>
      </c>
      <c r="R174" s="2" t="inlineStr">
        <is>
          <t>Lunglav
Revlummer</t>
        </is>
      </c>
      <c r="S174">
        <f>HYPERLINK("https://klasma.github.io/Logging_2281/artfynd/A 27385-2023 artfynd.xlsx", "A 27385-2023")</f>
        <v/>
      </c>
      <c r="T174">
        <f>HYPERLINK("https://klasma.github.io/Logging_2281/kartor/A 27385-2023 karta.png", "A 27385-2023")</f>
        <v/>
      </c>
      <c r="V174">
        <f>HYPERLINK("https://klasma.github.io/Logging_2281/klagomål/A 27385-2023 FSC-klagomål.docx", "A 27385-2023")</f>
        <v/>
      </c>
      <c r="W174">
        <f>HYPERLINK("https://klasma.github.io/Logging_2281/klagomålsmail/A 27385-2023 FSC-klagomål mail.docx", "A 27385-2023")</f>
        <v/>
      </c>
      <c r="X174">
        <f>HYPERLINK("https://klasma.github.io/Logging_2281/tillsyn/A 27385-2023 tillsynsbegäran.docx", "A 27385-2023")</f>
        <v/>
      </c>
      <c r="Y174">
        <f>HYPERLINK("https://klasma.github.io/Logging_2281/tillsynsmail/A 27385-2023 tillsynsbegäran mail.docx", "A 27385-2023")</f>
        <v/>
      </c>
    </row>
    <row r="175" ht="15" customHeight="1">
      <c r="A175" t="inlineStr">
        <is>
          <t>A 27380-2023</t>
        </is>
      </c>
      <c r="B175" s="1" t="n">
        <v>45096</v>
      </c>
      <c r="C175" s="1" t="n">
        <v>45841</v>
      </c>
      <c r="D175" t="inlineStr">
        <is>
          <t>VÄSTERNORRLANDS LÄN</t>
        </is>
      </c>
      <c r="E175" t="inlineStr">
        <is>
          <t>SUNDSVALL</t>
        </is>
      </c>
      <c r="F175" t="inlineStr">
        <is>
          <t>Naturvårdsverket</t>
        </is>
      </c>
      <c r="G175" t="n">
        <v>6.2</v>
      </c>
      <c r="H175" t="n">
        <v>0</v>
      </c>
      <c r="I175" t="n">
        <v>0</v>
      </c>
      <c r="J175" t="n">
        <v>2</v>
      </c>
      <c r="K175" t="n">
        <v>0</v>
      </c>
      <c r="L175" t="n">
        <v>0</v>
      </c>
      <c r="M175" t="n">
        <v>0</v>
      </c>
      <c r="N175" t="n">
        <v>0</v>
      </c>
      <c r="O175" t="n">
        <v>2</v>
      </c>
      <c r="P175" t="n">
        <v>0</v>
      </c>
      <c r="Q175" t="n">
        <v>2</v>
      </c>
      <c r="R175" s="2" t="inlineStr">
        <is>
          <t>Granticka
Gränsticka</t>
        </is>
      </c>
      <c r="S175">
        <f>HYPERLINK("https://klasma.github.io/Logging_2281/artfynd/A 27380-2023 artfynd.xlsx", "A 27380-2023")</f>
        <v/>
      </c>
      <c r="T175">
        <f>HYPERLINK("https://klasma.github.io/Logging_2281/kartor/A 27380-2023 karta.png", "A 27380-2023")</f>
        <v/>
      </c>
      <c r="V175">
        <f>HYPERLINK("https://klasma.github.io/Logging_2281/klagomål/A 27380-2023 FSC-klagomål.docx", "A 27380-2023")</f>
        <v/>
      </c>
      <c r="W175">
        <f>HYPERLINK("https://klasma.github.io/Logging_2281/klagomålsmail/A 27380-2023 FSC-klagomål mail.docx", "A 27380-2023")</f>
        <v/>
      </c>
      <c r="X175">
        <f>HYPERLINK("https://klasma.github.io/Logging_2281/tillsyn/A 27380-2023 tillsynsbegäran.docx", "A 27380-2023")</f>
        <v/>
      </c>
      <c r="Y175">
        <f>HYPERLINK("https://klasma.github.io/Logging_2281/tillsynsmail/A 27380-2023 tillsynsbegäran mail.docx", "A 27380-2023")</f>
        <v/>
      </c>
    </row>
    <row r="176" ht="15" customHeight="1">
      <c r="A176" t="inlineStr">
        <is>
          <t>A 28010-2023</t>
        </is>
      </c>
      <c r="B176" s="1" t="n">
        <v>45098</v>
      </c>
      <c r="C176" s="1" t="n">
        <v>45841</v>
      </c>
      <c r="D176" t="inlineStr">
        <is>
          <t>VÄSTERNORRLANDS LÄN</t>
        </is>
      </c>
      <c r="E176" t="inlineStr">
        <is>
          <t>SUNDSVALL</t>
        </is>
      </c>
      <c r="F176" t="inlineStr">
        <is>
          <t>SCA</t>
        </is>
      </c>
      <c r="G176" t="n">
        <v>8.4</v>
      </c>
      <c r="H176" t="n">
        <v>1</v>
      </c>
      <c r="I176" t="n">
        <v>0</v>
      </c>
      <c r="J176" t="n">
        <v>1</v>
      </c>
      <c r="K176" t="n">
        <v>0</v>
      </c>
      <c r="L176" t="n">
        <v>0</v>
      </c>
      <c r="M176" t="n">
        <v>0</v>
      </c>
      <c r="N176" t="n">
        <v>0</v>
      </c>
      <c r="O176" t="n">
        <v>1</v>
      </c>
      <c r="P176" t="n">
        <v>0</v>
      </c>
      <c r="Q176" t="n">
        <v>2</v>
      </c>
      <c r="R176" s="2" t="inlineStr">
        <is>
          <t>Lunglav
Revlummer</t>
        </is>
      </c>
      <c r="S176">
        <f>HYPERLINK("https://klasma.github.io/Logging_2281/artfynd/A 28010-2023 artfynd.xlsx", "A 28010-2023")</f>
        <v/>
      </c>
      <c r="T176">
        <f>HYPERLINK("https://klasma.github.io/Logging_2281/kartor/A 28010-2023 karta.png", "A 28010-2023")</f>
        <v/>
      </c>
      <c r="V176">
        <f>HYPERLINK("https://klasma.github.io/Logging_2281/klagomål/A 28010-2023 FSC-klagomål.docx", "A 28010-2023")</f>
        <v/>
      </c>
      <c r="W176">
        <f>HYPERLINK("https://klasma.github.io/Logging_2281/klagomålsmail/A 28010-2023 FSC-klagomål mail.docx", "A 28010-2023")</f>
        <v/>
      </c>
      <c r="X176">
        <f>HYPERLINK("https://klasma.github.io/Logging_2281/tillsyn/A 28010-2023 tillsynsbegäran.docx", "A 28010-2023")</f>
        <v/>
      </c>
      <c r="Y176">
        <f>HYPERLINK("https://klasma.github.io/Logging_2281/tillsynsmail/A 28010-2023 tillsynsbegäran mail.docx", "A 28010-2023")</f>
        <v/>
      </c>
    </row>
    <row r="177" ht="15" customHeight="1">
      <c r="A177" t="inlineStr">
        <is>
          <t>A 37481-2023</t>
        </is>
      </c>
      <c r="B177" s="1" t="n">
        <v>45157</v>
      </c>
      <c r="C177" s="1" t="n">
        <v>45841</v>
      </c>
      <c r="D177" t="inlineStr">
        <is>
          <t>VÄSTERNORRLANDS LÄN</t>
        </is>
      </c>
      <c r="E177" t="inlineStr">
        <is>
          <t>SUNDSVALL</t>
        </is>
      </c>
      <c r="F177" t="inlineStr">
        <is>
          <t>SCA</t>
        </is>
      </c>
      <c r="G177" t="n">
        <v>6.9</v>
      </c>
      <c r="H177" t="n">
        <v>0</v>
      </c>
      <c r="I177" t="n">
        <v>0</v>
      </c>
      <c r="J177" t="n">
        <v>2</v>
      </c>
      <c r="K177" t="n">
        <v>0</v>
      </c>
      <c r="L177" t="n">
        <v>0</v>
      </c>
      <c r="M177" t="n">
        <v>0</v>
      </c>
      <c r="N177" t="n">
        <v>0</v>
      </c>
      <c r="O177" t="n">
        <v>2</v>
      </c>
      <c r="P177" t="n">
        <v>0</v>
      </c>
      <c r="Q177" t="n">
        <v>2</v>
      </c>
      <c r="R177" s="2" t="inlineStr">
        <is>
          <t>Garnlav
Kandelabersvamp</t>
        </is>
      </c>
      <c r="S177">
        <f>HYPERLINK("https://klasma.github.io/Logging_2281/artfynd/A 37481-2023 artfynd.xlsx", "A 37481-2023")</f>
        <v/>
      </c>
      <c r="T177">
        <f>HYPERLINK("https://klasma.github.io/Logging_2281/kartor/A 37481-2023 karta.png", "A 37481-2023")</f>
        <v/>
      </c>
      <c r="V177">
        <f>HYPERLINK("https://klasma.github.io/Logging_2281/klagomål/A 37481-2023 FSC-klagomål.docx", "A 37481-2023")</f>
        <v/>
      </c>
      <c r="W177">
        <f>HYPERLINK("https://klasma.github.io/Logging_2281/klagomålsmail/A 37481-2023 FSC-klagomål mail.docx", "A 37481-2023")</f>
        <v/>
      </c>
      <c r="X177">
        <f>HYPERLINK("https://klasma.github.io/Logging_2281/tillsyn/A 37481-2023 tillsynsbegäran.docx", "A 37481-2023")</f>
        <v/>
      </c>
      <c r="Y177">
        <f>HYPERLINK("https://klasma.github.io/Logging_2281/tillsynsmail/A 37481-2023 tillsynsbegäran mail.docx", "A 37481-2023")</f>
        <v/>
      </c>
    </row>
    <row r="178" ht="15" customHeight="1">
      <c r="A178" t="inlineStr">
        <is>
          <t>A 49320-2023</t>
        </is>
      </c>
      <c r="B178" s="1" t="n">
        <v>45210</v>
      </c>
      <c r="C178" s="1" t="n">
        <v>45841</v>
      </c>
      <c r="D178" t="inlineStr">
        <is>
          <t>VÄSTERNORRLANDS LÄN</t>
        </is>
      </c>
      <c r="E178" t="inlineStr">
        <is>
          <t>SUNDSVALL</t>
        </is>
      </c>
      <c r="F178" t="inlineStr">
        <is>
          <t>SCA</t>
        </is>
      </c>
      <c r="G178" t="n">
        <v>1.3</v>
      </c>
      <c r="H178" t="n">
        <v>0</v>
      </c>
      <c r="I178" t="n">
        <v>0</v>
      </c>
      <c r="J178" t="n">
        <v>2</v>
      </c>
      <c r="K178" t="n">
        <v>0</v>
      </c>
      <c r="L178" t="n">
        <v>0</v>
      </c>
      <c r="M178" t="n">
        <v>0</v>
      </c>
      <c r="N178" t="n">
        <v>0</v>
      </c>
      <c r="O178" t="n">
        <v>2</v>
      </c>
      <c r="P178" t="n">
        <v>0</v>
      </c>
      <c r="Q178" t="n">
        <v>2</v>
      </c>
      <c r="R178" s="2" t="inlineStr">
        <is>
          <t>Garnlav
Rosenticka</t>
        </is>
      </c>
      <c r="S178">
        <f>HYPERLINK("https://klasma.github.io/Logging_2281/artfynd/A 49320-2023 artfynd.xlsx", "A 49320-2023")</f>
        <v/>
      </c>
      <c r="T178">
        <f>HYPERLINK("https://klasma.github.io/Logging_2281/kartor/A 49320-2023 karta.png", "A 49320-2023")</f>
        <v/>
      </c>
      <c r="V178">
        <f>HYPERLINK("https://klasma.github.io/Logging_2281/klagomål/A 49320-2023 FSC-klagomål.docx", "A 49320-2023")</f>
        <v/>
      </c>
      <c r="W178">
        <f>HYPERLINK("https://klasma.github.io/Logging_2281/klagomålsmail/A 49320-2023 FSC-klagomål mail.docx", "A 49320-2023")</f>
        <v/>
      </c>
      <c r="X178">
        <f>HYPERLINK("https://klasma.github.io/Logging_2281/tillsyn/A 49320-2023 tillsynsbegäran.docx", "A 49320-2023")</f>
        <v/>
      </c>
      <c r="Y178">
        <f>HYPERLINK("https://klasma.github.io/Logging_2281/tillsynsmail/A 49320-2023 tillsynsbegäran mail.docx", "A 49320-2023")</f>
        <v/>
      </c>
    </row>
    <row r="179" ht="15" customHeight="1">
      <c r="A179" t="inlineStr">
        <is>
          <t>A 57781-2023</t>
        </is>
      </c>
      <c r="B179" s="1" t="n">
        <v>45246</v>
      </c>
      <c r="C179" s="1" t="n">
        <v>45841</v>
      </c>
      <c r="D179" t="inlineStr">
        <is>
          <t>VÄSTERNORRLANDS LÄN</t>
        </is>
      </c>
      <c r="E179" t="inlineStr">
        <is>
          <t>SUNDSVALL</t>
        </is>
      </c>
      <c r="F179" t="inlineStr">
        <is>
          <t>SCA</t>
        </is>
      </c>
      <c r="G179" t="n">
        <v>4.9</v>
      </c>
      <c r="H179" t="n">
        <v>0</v>
      </c>
      <c r="I179" t="n">
        <v>1</v>
      </c>
      <c r="J179" t="n">
        <v>1</v>
      </c>
      <c r="K179" t="n">
        <v>0</v>
      </c>
      <c r="L179" t="n">
        <v>0</v>
      </c>
      <c r="M179" t="n">
        <v>0</v>
      </c>
      <c r="N179" t="n">
        <v>0</v>
      </c>
      <c r="O179" t="n">
        <v>1</v>
      </c>
      <c r="P179" t="n">
        <v>0</v>
      </c>
      <c r="Q179" t="n">
        <v>2</v>
      </c>
      <c r="R179" s="2" t="inlineStr">
        <is>
          <t>Tallticka
Bollvitmossa</t>
        </is>
      </c>
      <c r="S179">
        <f>HYPERLINK("https://klasma.github.io/Logging_2281/artfynd/A 57781-2023 artfynd.xlsx", "A 57781-2023")</f>
        <v/>
      </c>
      <c r="T179">
        <f>HYPERLINK("https://klasma.github.io/Logging_2281/kartor/A 57781-2023 karta.png", "A 57781-2023")</f>
        <v/>
      </c>
      <c r="V179">
        <f>HYPERLINK("https://klasma.github.io/Logging_2281/klagomål/A 57781-2023 FSC-klagomål.docx", "A 57781-2023")</f>
        <v/>
      </c>
      <c r="W179">
        <f>HYPERLINK("https://klasma.github.io/Logging_2281/klagomålsmail/A 57781-2023 FSC-klagomål mail.docx", "A 57781-2023")</f>
        <v/>
      </c>
      <c r="X179">
        <f>HYPERLINK("https://klasma.github.io/Logging_2281/tillsyn/A 57781-2023 tillsynsbegäran.docx", "A 57781-2023")</f>
        <v/>
      </c>
      <c r="Y179">
        <f>HYPERLINK("https://klasma.github.io/Logging_2281/tillsynsmail/A 57781-2023 tillsynsbegäran mail.docx", "A 57781-2023")</f>
        <v/>
      </c>
    </row>
    <row r="180" ht="15" customHeight="1">
      <c r="A180" t="inlineStr">
        <is>
          <t>A 62532-2023</t>
        </is>
      </c>
      <c r="B180" s="1" t="n">
        <v>45268</v>
      </c>
      <c r="C180" s="1" t="n">
        <v>45841</v>
      </c>
      <c r="D180" t="inlineStr">
        <is>
          <t>VÄSTERNORRLANDS LÄN</t>
        </is>
      </c>
      <c r="E180" t="inlineStr">
        <is>
          <t>SUNDSVALL</t>
        </is>
      </c>
      <c r="G180" t="n">
        <v>0.7</v>
      </c>
      <c r="H180" t="n">
        <v>2</v>
      </c>
      <c r="I180" t="n">
        <v>0</v>
      </c>
      <c r="J180" t="n">
        <v>1</v>
      </c>
      <c r="K180" t="n">
        <v>0</v>
      </c>
      <c r="L180" t="n">
        <v>0</v>
      </c>
      <c r="M180" t="n">
        <v>0</v>
      </c>
      <c r="N180" t="n">
        <v>0</v>
      </c>
      <c r="O180" t="n">
        <v>1</v>
      </c>
      <c r="P180" t="n">
        <v>0</v>
      </c>
      <c r="Q180" t="n">
        <v>2</v>
      </c>
      <c r="R180" s="2" t="inlineStr">
        <is>
          <t>Spillkråka
Gråspett</t>
        </is>
      </c>
      <c r="S180">
        <f>HYPERLINK("https://klasma.github.io/Logging_2281/artfynd/A 62532-2023 artfynd.xlsx", "A 62532-2023")</f>
        <v/>
      </c>
      <c r="T180">
        <f>HYPERLINK("https://klasma.github.io/Logging_2281/kartor/A 62532-2023 karta.png", "A 62532-2023")</f>
        <v/>
      </c>
      <c r="V180">
        <f>HYPERLINK("https://klasma.github.io/Logging_2281/klagomål/A 62532-2023 FSC-klagomål.docx", "A 62532-2023")</f>
        <v/>
      </c>
      <c r="W180">
        <f>HYPERLINK("https://klasma.github.io/Logging_2281/klagomålsmail/A 62532-2023 FSC-klagomål mail.docx", "A 62532-2023")</f>
        <v/>
      </c>
      <c r="X180">
        <f>HYPERLINK("https://klasma.github.io/Logging_2281/tillsyn/A 62532-2023 tillsynsbegäran.docx", "A 62532-2023")</f>
        <v/>
      </c>
      <c r="Y180">
        <f>HYPERLINK("https://klasma.github.io/Logging_2281/tillsynsmail/A 62532-2023 tillsynsbegäran mail.docx", "A 62532-2023")</f>
        <v/>
      </c>
      <c r="Z180">
        <f>HYPERLINK("https://klasma.github.io/Logging_2281/fåglar/A 62532-2023 prioriterade fågelarter.docx", "A 62532-2023")</f>
        <v/>
      </c>
    </row>
    <row r="181" ht="15" customHeight="1">
      <c r="A181" t="inlineStr">
        <is>
          <t>A 13675-2024</t>
        </is>
      </c>
      <c r="B181" s="1" t="n">
        <v>45390</v>
      </c>
      <c r="C181" s="1" t="n">
        <v>45841</v>
      </c>
      <c r="D181" t="inlineStr">
        <is>
          <t>VÄSTERNORRLANDS LÄN</t>
        </is>
      </c>
      <c r="E181" t="inlineStr">
        <is>
          <t>SUNDSVALL</t>
        </is>
      </c>
      <c r="G181" t="n">
        <v>1.7</v>
      </c>
      <c r="H181" t="n">
        <v>0</v>
      </c>
      <c r="I181" t="n">
        <v>2</v>
      </c>
      <c r="J181" t="n">
        <v>0</v>
      </c>
      <c r="K181" t="n">
        <v>0</v>
      </c>
      <c r="L181" t="n">
        <v>0</v>
      </c>
      <c r="M181" t="n">
        <v>0</v>
      </c>
      <c r="N181" t="n">
        <v>0</v>
      </c>
      <c r="O181" t="n">
        <v>0</v>
      </c>
      <c r="P181" t="n">
        <v>0</v>
      </c>
      <c r="Q181" t="n">
        <v>2</v>
      </c>
      <c r="R181" s="2" t="inlineStr">
        <is>
          <t>Svart trolldruva
Tibast</t>
        </is>
      </c>
      <c r="S181">
        <f>HYPERLINK("https://klasma.github.io/Logging_2281/artfynd/A 13675-2024 artfynd.xlsx", "A 13675-2024")</f>
        <v/>
      </c>
      <c r="T181">
        <f>HYPERLINK("https://klasma.github.io/Logging_2281/kartor/A 13675-2024 karta.png", "A 13675-2024")</f>
        <v/>
      </c>
      <c r="V181">
        <f>HYPERLINK("https://klasma.github.io/Logging_2281/klagomål/A 13675-2024 FSC-klagomål.docx", "A 13675-2024")</f>
        <v/>
      </c>
      <c r="W181">
        <f>HYPERLINK("https://klasma.github.io/Logging_2281/klagomålsmail/A 13675-2024 FSC-klagomål mail.docx", "A 13675-2024")</f>
        <v/>
      </c>
      <c r="X181">
        <f>HYPERLINK("https://klasma.github.io/Logging_2281/tillsyn/A 13675-2024 tillsynsbegäran.docx", "A 13675-2024")</f>
        <v/>
      </c>
      <c r="Y181">
        <f>HYPERLINK("https://klasma.github.io/Logging_2281/tillsynsmail/A 13675-2024 tillsynsbegäran mail.docx", "A 13675-2024")</f>
        <v/>
      </c>
    </row>
    <row r="182" ht="15" customHeight="1">
      <c r="A182" t="inlineStr">
        <is>
          <t>A 14725-2024</t>
        </is>
      </c>
      <c r="B182" s="1" t="n">
        <v>45397</v>
      </c>
      <c r="C182" s="1" t="n">
        <v>45841</v>
      </c>
      <c r="D182" t="inlineStr">
        <is>
          <t>VÄSTERNORRLANDS LÄN</t>
        </is>
      </c>
      <c r="E182" t="inlineStr">
        <is>
          <t>SUNDSVALL</t>
        </is>
      </c>
      <c r="G182" t="n">
        <v>6.9</v>
      </c>
      <c r="H182" t="n">
        <v>1</v>
      </c>
      <c r="I182" t="n">
        <v>1</v>
      </c>
      <c r="J182" t="n">
        <v>0</v>
      </c>
      <c r="K182" t="n">
        <v>1</v>
      </c>
      <c r="L182" t="n">
        <v>0</v>
      </c>
      <c r="M182" t="n">
        <v>0</v>
      </c>
      <c r="N182" t="n">
        <v>0</v>
      </c>
      <c r="O182" t="n">
        <v>1</v>
      </c>
      <c r="P182" t="n">
        <v>1</v>
      </c>
      <c r="Q182" t="n">
        <v>2</v>
      </c>
      <c r="R182" s="2" t="inlineStr">
        <is>
          <t>Knärot
Blodticka</t>
        </is>
      </c>
      <c r="S182">
        <f>HYPERLINK("https://klasma.github.io/Logging_2281/artfynd/A 14725-2024 artfynd.xlsx", "A 14725-2024")</f>
        <v/>
      </c>
      <c r="T182">
        <f>HYPERLINK("https://klasma.github.io/Logging_2281/kartor/A 14725-2024 karta.png", "A 14725-2024")</f>
        <v/>
      </c>
      <c r="U182">
        <f>HYPERLINK("https://klasma.github.io/Logging_2281/knärot/A 14725-2024 karta knärot.png", "A 14725-2024")</f>
        <v/>
      </c>
      <c r="V182">
        <f>HYPERLINK("https://klasma.github.io/Logging_2281/klagomål/A 14725-2024 FSC-klagomål.docx", "A 14725-2024")</f>
        <v/>
      </c>
      <c r="W182">
        <f>HYPERLINK("https://klasma.github.io/Logging_2281/klagomålsmail/A 14725-2024 FSC-klagomål mail.docx", "A 14725-2024")</f>
        <v/>
      </c>
      <c r="X182">
        <f>HYPERLINK("https://klasma.github.io/Logging_2281/tillsyn/A 14725-2024 tillsynsbegäran.docx", "A 14725-2024")</f>
        <v/>
      </c>
      <c r="Y182">
        <f>HYPERLINK("https://klasma.github.io/Logging_2281/tillsynsmail/A 14725-2024 tillsynsbegäran mail.docx", "A 14725-2024")</f>
        <v/>
      </c>
    </row>
    <row r="183" ht="15" customHeight="1">
      <c r="A183" t="inlineStr">
        <is>
          <t>A 21609-2024</t>
        </is>
      </c>
      <c r="B183" s="1" t="n">
        <v>45442</v>
      </c>
      <c r="C183" s="1" t="n">
        <v>45841</v>
      </c>
      <c r="D183" t="inlineStr">
        <is>
          <t>VÄSTERNORRLANDS LÄN</t>
        </is>
      </c>
      <c r="E183" t="inlineStr">
        <is>
          <t>SUNDSVALL</t>
        </is>
      </c>
      <c r="F183" t="inlineStr">
        <is>
          <t>SCA</t>
        </is>
      </c>
      <c r="G183" t="n">
        <v>11.4</v>
      </c>
      <c r="H183" t="n">
        <v>2</v>
      </c>
      <c r="I183" t="n">
        <v>0</v>
      </c>
      <c r="J183" t="n">
        <v>0</v>
      </c>
      <c r="K183" t="n">
        <v>0</v>
      </c>
      <c r="L183" t="n">
        <v>0</v>
      </c>
      <c r="M183" t="n">
        <v>0</v>
      </c>
      <c r="N183" t="n">
        <v>0</v>
      </c>
      <c r="O183" t="n">
        <v>0</v>
      </c>
      <c r="P183" t="n">
        <v>0</v>
      </c>
      <c r="Q183" t="n">
        <v>2</v>
      </c>
      <c r="R183" s="2" t="inlineStr">
        <is>
          <t>Fläcknycklar
Nattviol</t>
        </is>
      </c>
      <c r="S183">
        <f>HYPERLINK("https://klasma.github.io/Logging_2281/artfynd/A 21609-2024 artfynd.xlsx", "A 21609-2024")</f>
        <v/>
      </c>
      <c r="T183">
        <f>HYPERLINK("https://klasma.github.io/Logging_2281/kartor/A 21609-2024 karta.png", "A 21609-2024")</f>
        <v/>
      </c>
      <c r="V183">
        <f>HYPERLINK("https://klasma.github.io/Logging_2281/klagomål/A 21609-2024 FSC-klagomål.docx", "A 21609-2024")</f>
        <v/>
      </c>
      <c r="W183">
        <f>HYPERLINK("https://klasma.github.io/Logging_2281/klagomålsmail/A 21609-2024 FSC-klagomål mail.docx", "A 21609-2024")</f>
        <v/>
      </c>
      <c r="X183">
        <f>HYPERLINK("https://klasma.github.io/Logging_2281/tillsyn/A 21609-2024 tillsynsbegäran.docx", "A 21609-2024")</f>
        <v/>
      </c>
      <c r="Y183">
        <f>HYPERLINK("https://klasma.github.io/Logging_2281/tillsynsmail/A 21609-2024 tillsynsbegäran mail.docx", "A 21609-2024")</f>
        <v/>
      </c>
    </row>
    <row r="184" ht="15" customHeight="1">
      <c r="A184" t="inlineStr">
        <is>
          <t>A 26178-2024</t>
        </is>
      </c>
      <c r="B184" s="1" t="n">
        <v>45468</v>
      </c>
      <c r="C184" s="1" t="n">
        <v>45841</v>
      </c>
      <c r="D184" t="inlineStr">
        <is>
          <t>VÄSTERNORRLANDS LÄN</t>
        </is>
      </c>
      <c r="E184" t="inlineStr">
        <is>
          <t>SUNDSVALL</t>
        </is>
      </c>
      <c r="G184" t="n">
        <v>11.7</v>
      </c>
      <c r="H184" t="n">
        <v>2</v>
      </c>
      <c r="I184" t="n">
        <v>0</v>
      </c>
      <c r="J184" t="n">
        <v>1</v>
      </c>
      <c r="K184" t="n">
        <v>0</v>
      </c>
      <c r="L184" t="n">
        <v>0</v>
      </c>
      <c r="M184" t="n">
        <v>0</v>
      </c>
      <c r="N184" t="n">
        <v>0</v>
      </c>
      <c r="O184" t="n">
        <v>1</v>
      </c>
      <c r="P184" t="n">
        <v>0</v>
      </c>
      <c r="Q184" t="n">
        <v>2</v>
      </c>
      <c r="R184" s="2" t="inlineStr">
        <is>
          <t>Pilgrimsfalk
Sparvuggla</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34766-2024</t>
        </is>
      </c>
      <c r="B185" s="1" t="n">
        <v>45526</v>
      </c>
      <c r="C185" s="1" t="n">
        <v>45841</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41090-2024</t>
        </is>
      </c>
      <c r="B186" s="1" t="n">
        <v>45559</v>
      </c>
      <c r="C186" s="1" t="n">
        <v>45841</v>
      </c>
      <c r="D186" t="inlineStr">
        <is>
          <t>VÄSTERNORRLANDS LÄN</t>
        </is>
      </c>
      <c r="E186" t="inlineStr">
        <is>
          <t>SUNDSVALL</t>
        </is>
      </c>
      <c r="F186" t="inlineStr">
        <is>
          <t>SCA</t>
        </is>
      </c>
      <c r="G186" t="n">
        <v>1.7</v>
      </c>
      <c r="H186" t="n">
        <v>0</v>
      </c>
      <c r="I186" t="n">
        <v>1</v>
      </c>
      <c r="J186" t="n">
        <v>1</v>
      </c>
      <c r="K186" t="n">
        <v>0</v>
      </c>
      <c r="L186" t="n">
        <v>0</v>
      </c>
      <c r="M186" t="n">
        <v>0</v>
      </c>
      <c r="N186" t="n">
        <v>0</v>
      </c>
      <c r="O186" t="n">
        <v>1</v>
      </c>
      <c r="P186" t="n">
        <v>0</v>
      </c>
      <c r="Q186" t="n">
        <v>2</v>
      </c>
      <c r="R186" s="2" t="inlineStr">
        <is>
          <t>Lunglav
Stuplav</t>
        </is>
      </c>
      <c r="S186">
        <f>HYPERLINK("https://klasma.github.io/Logging_2281/artfynd/A 41090-2024 artfynd.xlsx", "A 41090-2024")</f>
        <v/>
      </c>
      <c r="T186">
        <f>HYPERLINK("https://klasma.github.io/Logging_2281/kartor/A 41090-2024 karta.png", "A 41090-2024")</f>
        <v/>
      </c>
      <c r="V186">
        <f>HYPERLINK("https://klasma.github.io/Logging_2281/klagomål/A 41090-2024 FSC-klagomål.docx", "A 41090-2024")</f>
        <v/>
      </c>
      <c r="W186">
        <f>HYPERLINK("https://klasma.github.io/Logging_2281/klagomålsmail/A 41090-2024 FSC-klagomål mail.docx", "A 41090-2024")</f>
        <v/>
      </c>
      <c r="X186">
        <f>HYPERLINK("https://klasma.github.io/Logging_2281/tillsyn/A 41090-2024 tillsynsbegäran.docx", "A 41090-2024")</f>
        <v/>
      </c>
      <c r="Y186">
        <f>HYPERLINK("https://klasma.github.io/Logging_2281/tillsynsmail/A 41090-2024 tillsynsbegäran mail.docx", "A 41090-2024")</f>
        <v/>
      </c>
    </row>
    <row r="187" ht="15" customHeight="1">
      <c r="A187" t="inlineStr">
        <is>
          <t>A 59994-2024</t>
        </is>
      </c>
      <c r="B187" s="1" t="n">
        <v>45642</v>
      </c>
      <c r="C187" s="1" t="n">
        <v>45841</v>
      </c>
      <c r="D187" t="inlineStr">
        <is>
          <t>VÄSTERNORRLANDS LÄN</t>
        </is>
      </c>
      <c r="E187" t="inlineStr">
        <is>
          <t>SUNDSVALL</t>
        </is>
      </c>
      <c r="G187" t="n">
        <v>2.1</v>
      </c>
      <c r="H187" t="n">
        <v>0</v>
      </c>
      <c r="I187" t="n">
        <v>0</v>
      </c>
      <c r="J187" t="n">
        <v>2</v>
      </c>
      <c r="K187" t="n">
        <v>0</v>
      </c>
      <c r="L187" t="n">
        <v>0</v>
      </c>
      <c r="M187" t="n">
        <v>0</v>
      </c>
      <c r="N187" t="n">
        <v>0</v>
      </c>
      <c r="O187" t="n">
        <v>2</v>
      </c>
      <c r="P187" t="n">
        <v>0</v>
      </c>
      <c r="Q187" t="n">
        <v>2</v>
      </c>
      <c r="R187" s="2" t="inlineStr">
        <is>
          <t>Rosenticka
Ullticka</t>
        </is>
      </c>
      <c r="S187">
        <f>HYPERLINK("https://klasma.github.io/Logging_2281/artfynd/A 59994-2024 artfynd.xlsx", "A 59994-2024")</f>
        <v/>
      </c>
      <c r="T187">
        <f>HYPERLINK("https://klasma.github.io/Logging_2281/kartor/A 59994-2024 karta.png", "A 59994-2024")</f>
        <v/>
      </c>
      <c r="U187">
        <f>HYPERLINK("https://klasma.github.io/Logging_2281/knärot/A 59994-2024 karta knärot.png", "A 59994-2024")</f>
        <v/>
      </c>
      <c r="V187">
        <f>HYPERLINK("https://klasma.github.io/Logging_2281/klagomål/A 59994-2024 FSC-klagomål.docx", "A 59994-2024")</f>
        <v/>
      </c>
      <c r="W187">
        <f>HYPERLINK("https://klasma.github.io/Logging_2281/klagomålsmail/A 59994-2024 FSC-klagomål mail.docx", "A 59994-2024")</f>
        <v/>
      </c>
      <c r="X187">
        <f>HYPERLINK("https://klasma.github.io/Logging_2281/tillsyn/A 59994-2024 tillsynsbegäran.docx", "A 59994-2024")</f>
        <v/>
      </c>
      <c r="Y187">
        <f>HYPERLINK("https://klasma.github.io/Logging_2281/tillsynsmail/A 59994-2024 tillsynsbegäran mail.docx", "A 59994-2024")</f>
        <v/>
      </c>
    </row>
    <row r="188" ht="15" customHeight="1">
      <c r="A188" t="inlineStr">
        <is>
          <t>A 166-2025</t>
        </is>
      </c>
      <c r="B188" s="1" t="n">
        <v>45649</v>
      </c>
      <c r="C188" s="1" t="n">
        <v>45841</v>
      </c>
      <c r="D188" t="inlineStr">
        <is>
          <t>VÄSTERNORRLANDS LÄN</t>
        </is>
      </c>
      <c r="E188" t="inlineStr">
        <is>
          <t>SUNDSVALL</t>
        </is>
      </c>
      <c r="G188" t="n">
        <v>17.1</v>
      </c>
      <c r="H188" t="n">
        <v>1</v>
      </c>
      <c r="I188" t="n">
        <v>1</v>
      </c>
      <c r="J188" t="n">
        <v>0</v>
      </c>
      <c r="K188" t="n">
        <v>0</v>
      </c>
      <c r="L188" t="n">
        <v>0</v>
      </c>
      <c r="M188" t="n">
        <v>0</v>
      </c>
      <c r="N188" t="n">
        <v>0</v>
      </c>
      <c r="O188" t="n">
        <v>0</v>
      </c>
      <c r="P188" t="n">
        <v>0</v>
      </c>
      <c r="Q188" t="n">
        <v>2</v>
      </c>
      <c r="R188" s="2" t="inlineStr">
        <is>
          <t>Bårdlav
Revlummer</t>
        </is>
      </c>
      <c r="S188">
        <f>HYPERLINK("https://klasma.github.io/Logging_2281/artfynd/A 166-2025 artfynd.xlsx", "A 166-2025")</f>
        <v/>
      </c>
      <c r="T188">
        <f>HYPERLINK("https://klasma.github.io/Logging_2281/kartor/A 166-2025 karta.png", "A 166-2025")</f>
        <v/>
      </c>
      <c r="V188">
        <f>HYPERLINK("https://klasma.github.io/Logging_2281/klagomål/A 166-2025 FSC-klagomål.docx", "A 166-2025")</f>
        <v/>
      </c>
      <c r="W188">
        <f>HYPERLINK("https://klasma.github.io/Logging_2281/klagomålsmail/A 166-2025 FSC-klagomål mail.docx", "A 166-2025")</f>
        <v/>
      </c>
      <c r="X188">
        <f>HYPERLINK("https://klasma.github.io/Logging_2281/tillsyn/A 166-2025 tillsynsbegäran.docx", "A 166-2025")</f>
        <v/>
      </c>
      <c r="Y188">
        <f>HYPERLINK("https://klasma.github.io/Logging_2281/tillsynsmail/A 166-2025 tillsynsbegäran mail.docx", "A 166-2025")</f>
        <v/>
      </c>
    </row>
    <row r="189" ht="15" customHeight="1">
      <c r="A189" t="inlineStr">
        <is>
          <t>A 4896-2025</t>
        </is>
      </c>
      <c r="B189" s="1" t="n">
        <v>45688</v>
      </c>
      <c r="C189" s="1" t="n">
        <v>45841</v>
      </c>
      <c r="D189" t="inlineStr">
        <is>
          <t>VÄSTERNORRLANDS LÄN</t>
        </is>
      </c>
      <c r="E189" t="inlineStr">
        <is>
          <t>SUNDSVALL</t>
        </is>
      </c>
      <c r="F189" t="inlineStr">
        <is>
          <t>SCA</t>
        </is>
      </c>
      <c r="G189" t="n">
        <v>6.9</v>
      </c>
      <c r="H189" t="n">
        <v>1</v>
      </c>
      <c r="I189" t="n">
        <v>1</v>
      </c>
      <c r="J189" t="n">
        <v>0</v>
      </c>
      <c r="K189" t="n">
        <v>0</v>
      </c>
      <c r="L189" t="n">
        <v>0</v>
      </c>
      <c r="M189" t="n">
        <v>0</v>
      </c>
      <c r="N189" t="n">
        <v>0</v>
      </c>
      <c r="O189" t="n">
        <v>0</v>
      </c>
      <c r="P189" t="n">
        <v>0</v>
      </c>
      <c r="Q189" t="n">
        <v>2</v>
      </c>
      <c r="R189" s="2" t="inlineStr">
        <is>
          <t>Tibast
Blåsippa</t>
        </is>
      </c>
      <c r="S189">
        <f>HYPERLINK("https://klasma.github.io/Logging_2281/artfynd/A 4896-2025 artfynd.xlsx", "A 4896-2025")</f>
        <v/>
      </c>
      <c r="T189">
        <f>HYPERLINK("https://klasma.github.io/Logging_2281/kartor/A 4896-2025 karta.png", "A 4896-2025")</f>
        <v/>
      </c>
      <c r="U189">
        <f>HYPERLINK("https://klasma.github.io/Logging_2281/knärot/A 4896-2025 karta knärot.png", "A 4896-2025")</f>
        <v/>
      </c>
      <c r="V189">
        <f>HYPERLINK("https://klasma.github.io/Logging_2281/klagomål/A 4896-2025 FSC-klagomål.docx", "A 4896-2025")</f>
        <v/>
      </c>
      <c r="W189">
        <f>HYPERLINK("https://klasma.github.io/Logging_2281/klagomålsmail/A 4896-2025 FSC-klagomål mail.docx", "A 4896-2025")</f>
        <v/>
      </c>
      <c r="X189">
        <f>HYPERLINK("https://klasma.github.io/Logging_2281/tillsyn/A 4896-2025 tillsynsbegäran.docx", "A 4896-2025")</f>
        <v/>
      </c>
      <c r="Y189">
        <f>HYPERLINK("https://klasma.github.io/Logging_2281/tillsynsmail/A 4896-2025 tillsynsbegäran mail.docx", "A 4896-2025")</f>
        <v/>
      </c>
    </row>
    <row r="190" ht="15" customHeight="1">
      <c r="A190" t="inlineStr">
        <is>
          <t>A 4871-2025</t>
        </is>
      </c>
      <c r="B190" s="1" t="n">
        <v>45688</v>
      </c>
      <c r="C190" s="1" t="n">
        <v>45841</v>
      </c>
      <c r="D190" t="inlineStr">
        <is>
          <t>VÄSTERNORRLANDS LÄN</t>
        </is>
      </c>
      <c r="E190" t="inlineStr">
        <is>
          <t>SUNDSVALL</t>
        </is>
      </c>
      <c r="F190" t="inlineStr">
        <is>
          <t>SCA</t>
        </is>
      </c>
      <c r="G190" t="n">
        <v>11.5</v>
      </c>
      <c r="H190" t="n">
        <v>1</v>
      </c>
      <c r="I190" t="n">
        <v>0</v>
      </c>
      <c r="J190" t="n">
        <v>2</v>
      </c>
      <c r="K190" t="n">
        <v>0</v>
      </c>
      <c r="L190" t="n">
        <v>0</v>
      </c>
      <c r="M190" t="n">
        <v>0</v>
      </c>
      <c r="N190" t="n">
        <v>0</v>
      </c>
      <c r="O190" t="n">
        <v>2</v>
      </c>
      <c r="P190" t="n">
        <v>0</v>
      </c>
      <c r="Q190" t="n">
        <v>2</v>
      </c>
      <c r="R190" s="2" t="inlineStr">
        <is>
          <t>Spillkråka
Ullticka</t>
        </is>
      </c>
      <c r="S190">
        <f>HYPERLINK("https://klasma.github.io/Logging_2281/artfynd/A 4871-2025 artfynd.xlsx", "A 4871-2025")</f>
        <v/>
      </c>
      <c r="T190">
        <f>HYPERLINK("https://klasma.github.io/Logging_2281/kartor/A 4871-2025 karta.png", "A 4871-2025")</f>
        <v/>
      </c>
      <c r="U190">
        <f>HYPERLINK("https://klasma.github.io/Logging_2281/knärot/A 4871-2025 karta knärot.png", "A 4871-2025")</f>
        <v/>
      </c>
      <c r="V190">
        <f>HYPERLINK("https://klasma.github.io/Logging_2281/klagomål/A 4871-2025 FSC-klagomål.docx", "A 4871-2025")</f>
        <v/>
      </c>
      <c r="W190">
        <f>HYPERLINK("https://klasma.github.io/Logging_2281/klagomålsmail/A 4871-2025 FSC-klagomål mail.docx", "A 4871-2025")</f>
        <v/>
      </c>
      <c r="X190">
        <f>HYPERLINK("https://klasma.github.io/Logging_2281/tillsyn/A 4871-2025 tillsynsbegäran.docx", "A 4871-2025")</f>
        <v/>
      </c>
      <c r="Y190">
        <f>HYPERLINK("https://klasma.github.io/Logging_2281/tillsynsmail/A 4871-2025 tillsynsbegäran mail.docx", "A 4871-2025")</f>
        <v/>
      </c>
      <c r="Z190">
        <f>HYPERLINK("https://klasma.github.io/Logging_2281/fåglar/A 4871-2025 prioriterade fågelarter.docx", "A 4871-2025")</f>
        <v/>
      </c>
    </row>
    <row r="191" ht="15" customHeight="1">
      <c r="A191" t="inlineStr">
        <is>
          <t>A 4900-2025</t>
        </is>
      </c>
      <c r="B191" s="1" t="n">
        <v>45688</v>
      </c>
      <c r="C191" s="1" t="n">
        <v>45841</v>
      </c>
      <c r="D191" t="inlineStr">
        <is>
          <t>VÄSTERNORRLANDS LÄN</t>
        </is>
      </c>
      <c r="E191" t="inlineStr">
        <is>
          <t>SUNDSVALL</t>
        </is>
      </c>
      <c r="F191" t="inlineStr">
        <is>
          <t>SCA</t>
        </is>
      </c>
      <c r="G191" t="n">
        <v>10.4</v>
      </c>
      <c r="H191" t="n">
        <v>1</v>
      </c>
      <c r="I191" t="n">
        <v>0</v>
      </c>
      <c r="J191" t="n">
        <v>1</v>
      </c>
      <c r="K191" t="n">
        <v>1</v>
      </c>
      <c r="L191" t="n">
        <v>0</v>
      </c>
      <c r="M191" t="n">
        <v>0</v>
      </c>
      <c r="N191" t="n">
        <v>0</v>
      </c>
      <c r="O191" t="n">
        <v>2</v>
      </c>
      <c r="P191" t="n">
        <v>1</v>
      </c>
      <c r="Q191" t="n">
        <v>2</v>
      </c>
      <c r="R191" s="2" t="inlineStr">
        <is>
          <t>Knärot
Ullticka</t>
        </is>
      </c>
      <c r="S191">
        <f>HYPERLINK("https://klasma.github.io/Logging_2281/artfynd/A 4900-2025 artfynd.xlsx", "A 4900-2025")</f>
        <v/>
      </c>
      <c r="T191">
        <f>HYPERLINK("https://klasma.github.io/Logging_2281/kartor/A 4900-2025 karta.png", "A 4900-2025")</f>
        <v/>
      </c>
      <c r="U191">
        <f>HYPERLINK("https://klasma.github.io/Logging_2281/knärot/A 4900-2025 karta knärot.png", "A 4900-2025")</f>
        <v/>
      </c>
      <c r="V191">
        <f>HYPERLINK("https://klasma.github.io/Logging_2281/klagomål/A 4900-2025 FSC-klagomål.docx", "A 4900-2025")</f>
        <v/>
      </c>
      <c r="W191">
        <f>HYPERLINK("https://klasma.github.io/Logging_2281/klagomålsmail/A 4900-2025 FSC-klagomål mail.docx", "A 4900-2025")</f>
        <v/>
      </c>
      <c r="X191">
        <f>HYPERLINK("https://klasma.github.io/Logging_2281/tillsyn/A 4900-2025 tillsynsbegäran.docx", "A 4900-2025")</f>
        <v/>
      </c>
      <c r="Y191">
        <f>HYPERLINK("https://klasma.github.io/Logging_2281/tillsynsmail/A 4900-2025 tillsynsbegäran mail.docx", "A 4900-2025")</f>
        <v/>
      </c>
    </row>
    <row r="192" ht="15" customHeight="1">
      <c r="A192" t="inlineStr">
        <is>
          <t>A 6672-2025</t>
        </is>
      </c>
      <c r="B192" s="1" t="n">
        <v>45700</v>
      </c>
      <c r="C192" s="1" t="n">
        <v>45841</v>
      </c>
      <c r="D192" t="inlineStr">
        <is>
          <t>VÄSTERNORRLANDS LÄN</t>
        </is>
      </c>
      <c r="E192" t="inlineStr">
        <is>
          <t>SUNDSVALL</t>
        </is>
      </c>
      <c r="G192" t="n">
        <v>2.8</v>
      </c>
      <c r="H192" t="n">
        <v>0</v>
      </c>
      <c r="I192" t="n">
        <v>1</v>
      </c>
      <c r="J192" t="n">
        <v>1</v>
      </c>
      <c r="K192" t="n">
        <v>0</v>
      </c>
      <c r="L192" t="n">
        <v>0</v>
      </c>
      <c r="M192" t="n">
        <v>0</v>
      </c>
      <c r="N192" t="n">
        <v>0</v>
      </c>
      <c r="O192" t="n">
        <v>1</v>
      </c>
      <c r="P192" t="n">
        <v>0</v>
      </c>
      <c r="Q192" t="n">
        <v>2</v>
      </c>
      <c r="R192" s="2" t="inlineStr">
        <is>
          <t>Tallticka
Björksplintborre</t>
        </is>
      </c>
      <c r="S192">
        <f>HYPERLINK("https://klasma.github.io/Logging_2281/artfynd/A 6672-2025 artfynd.xlsx", "A 6672-2025")</f>
        <v/>
      </c>
      <c r="T192">
        <f>HYPERLINK("https://klasma.github.io/Logging_2281/kartor/A 6672-2025 karta.png", "A 6672-2025")</f>
        <v/>
      </c>
      <c r="V192">
        <f>HYPERLINK("https://klasma.github.io/Logging_2281/klagomål/A 6672-2025 FSC-klagomål.docx", "A 6672-2025")</f>
        <v/>
      </c>
      <c r="W192">
        <f>HYPERLINK("https://klasma.github.io/Logging_2281/klagomålsmail/A 6672-2025 FSC-klagomål mail.docx", "A 6672-2025")</f>
        <v/>
      </c>
      <c r="X192">
        <f>HYPERLINK("https://klasma.github.io/Logging_2281/tillsyn/A 6672-2025 tillsynsbegäran.docx", "A 6672-2025")</f>
        <v/>
      </c>
      <c r="Y192">
        <f>HYPERLINK("https://klasma.github.io/Logging_2281/tillsynsmail/A 6672-2025 tillsynsbegäran mail.docx", "A 6672-2025")</f>
        <v/>
      </c>
    </row>
    <row r="193" ht="15" customHeight="1">
      <c r="A193" t="inlineStr">
        <is>
          <t>A 13154-2025</t>
        </is>
      </c>
      <c r="B193" s="1" t="n">
        <v>45735</v>
      </c>
      <c r="C193" s="1" t="n">
        <v>45841</v>
      </c>
      <c r="D193" t="inlineStr">
        <is>
          <t>VÄSTERNORRLANDS LÄN</t>
        </is>
      </c>
      <c r="E193" t="inlineStr">
        <is>
          <t>SUNDSVALL</t>
        </is>
      </c>
      <c r="G193" t="n">
        <v>2.6</v>
      </c>
      <c r="H193" t="n">
        <v>0</v>
      </c>
      <c r="I193" t="n">
        <v>1</v>
      </c>
      <c r="J193" t="n">
        <v>1</v>
      </c>
      <c r="K193" t="n">
        <v>0</v>
      </c>
      <c r="L193" t="n">
        <v>0</v>
      </c>
      <c r="M193" t="n">
        <v>0</v>
      </c>
      <c r="N193" t="n">
        <v>0</v>
      </c>
      <c r="O193" t="n">
        <v>1</v>
      </c>
      <c r="P193" t="n">
        <v>0</v>
      </c>
      <c r="Q193" t="n">
        <v>2</v>
      </c>
      <c r="R193" s="2" t="inlineStr">
        <is>
          <t>Tallticka
Björksplintborre</t>
        </is>
      </c>
      <c r="S193">
        <f>HYPERLINK("https://klasma.github.io/Logging_222281/artfynd/A 13154-2025 artfynd.xlsx", "A 13154-2025")</f>
        <v/>
      </c>
      <c r="T193">
        <f>HYPERLINK("https://klasma.github.io/Logging_222281/kartor/A 13154-2025 karta.png", "A 13154-2025")</f>
        <v/>
      </c>
      <c r="V193">
        <f>HYPERLINK("https://klasma.github.io/Logging_222281/klagomål/A 13154-2025 FSC-klagomål.docx", "A 13154-2025")</f>
        <v/>
      </c>
      <c r="W193">
        <f>HYPERLINK("https://klasma.github.io/Logging_222281/klagomålsmail/A 13154-2025 FSC-klagomål mail.docx", "A 13154-2025")</f>
        <v/>
      </c>
      <c r="X193">
        <f>HYPERLINK("https://klasma.github.io/Logging_222281/tillsyn/A 13154-2025 tillsynsbegäran.docx", "A 13154-2025")</f>
        <v/>
      </c>
      <c r="Y193">
        <f>HYPERLINK("https://klasma.github.io/Logging_222281/tillsynsmail/A 13154-2025 tillsynsbegäran mail.docx", "A 13154-2025")</f>
        <v/>
      </c>
    </row>
    <row r="194" ht="15" customHeight="1">
      <c r="A194" t="inlineStr">
        <is>
          <t>A 13441-2025</t>
        </is>
      </c>
      <c r="B194" s="1" t="n">
        <v>45736</v>
      </c>
      <c r="C194" s="1" t="n">
        <v>45841</v>
      </c>
      <c r="D194" t="inlineStr">
        <is>
          <t>VÄSTERNORRLANDS LÄN</t>
        </is>
      </c>
      <c r="E194" t="inlineStr">
        <is>
          <t>SUNDSVALL</t>
        </is>
      </c>
      <c r="F194" t="inlineStr">
        <is>
          <t>SCA</t>
        </is>
      </c>
      <c r="G194" t="n">
        <v>0.8</v>
      </c>
      <c r="H194" t="n">
        <v>0</v>
      </c>
      <c r="I194" t="n">
        <v>1</v>
      </c>
      <c r="J194" t="n">
        <v>1</v>
      </c>
      <c r="K194" t="n">
        <v>0</v>
      </c>
      <c r="L194" t="n">
        <v>0</v>
      </c>
      <c r="M194" t="n">
        <v>0</v>
      </c>
      <c r="N194" t="n">
        <v>0</v>
      </c>
      <c r="O194" t="n">
        <v>1</v>
      </c>
      <c r="P194" t="n">
        <v>0</v>
      </c>
      <c r="Q194" t="n">
        <v>2</v>
      </c>
      <c r="R194" s="2" t="inlineStr">
        <is>
          <t>Vedtrappmossa
Vedticka</t>
        </is>
      </c>
      <c r="S194">
        <f>HYPERLINK("https://klasma.github.io/Logging_222281/artfynd/A 13441-2025 artfynd.xlsx", "A 13441-2025")</f>
        <v/>
      </c>
      <c r="T194">
        <f>HYPERLINK("https://klasma.github.io/Logging_222281/kartor/A 13441-2025 karta.png", "A 13441-2025")</f>
        <v/>
      </c>
      <c r="V194">
        <f>HYPERLINK("https://klasma.github.io/Logging_222281/klagomål/A 13441-2025 FSC-klagomål.docx", "A 13441-2025")</f>
        <v/>
      </c>
      <c r="W194">
        <f>HYPERLINK("https://klasma.github.io/Logging_222281/klagomålsmail/A 13441-2025 FSC-klagomål mail.docx", "A 13441-2025")</f>
        <v/>
      </c>
      <c r="X194">
        <f>HYPERLINK("https://klasma.github.io/Logging_222281/tillsyn/A 13441-2025 tillsynsbegäran.docx", "A 13441-2025")</f>
        <v/>
      </c>
      <c r="Y194">
        <f>HYPERLINK("https://klasma.github.io/Logging_222281/tillsynsmail/A 13441-2025 tillsynsbegäran mail.docx", "A 13441-2025")</f>
        <v/>
      </c>
    </row>
    <row r="195" ht="15" customHeight="1">
      <c r="A195" t="inlineStr">
        <is>
          <t>A 16043-2025</t>
        </is>
      </c>
      <c r="B195" s="1" t="n">
        <v>45749</v>
      </c>
      <c r="C195" s="1" t="n">
        <v>45841</v>
      </c>
      <c r="D195" t="inlineStr">
        <is>
          <t>VÄSTERNORRLANDS LÄN</t>
        </is>
      </c>
      <c r="E195" t="inlineStr">
        <is>
          <t>SUNDSVALL</t>
        </is>
      </c>
      <c r="G195" t="n">
        <v>10.5</v>
      </c>
      <c r="H195" t="n">
        <v>2</v>
      </c>
      <c r="I195" t="n">
        <v>0</v>
      </c>
      <c r="J195" t="n">
        <v>1</v>
      </c>
      <c r="K195" t="n">
        <v>0</v>
      </c>
      <c r="L195" t="n">
        <v>0</v>
      </c>
      <c r="M195" t="n">
        <v>0</v>
      </c>
      <c r="N195" t="n">
        <v>0</v>
      </c>
      <c r="O195" t="n">
        <v>1</v>
      </c>
      <c r="P195" t="n">
        <v>0</v>
      </c>
      <c r="Q195" t="n">
        <v>2</v>
      </c>
      <c r="R195" s="2" t="inlineStr">
        <is>
          <t>Pilgrimsfalk
Sparvuggla</t>
        </is>
      </c>
      <c r="S195">
        <f>HYPERLINK("https://klasma.github.io/Logging_222281/artfynd/A 16043-2025 artfynd.xlsx", "A 16043-2025")</f>
        <v/>
      </c>
      <c r="T195">
        <f>HYPERLINK("https://klasma.github.io/Logging_222281/kartor/A 16043-2025 karta.png", "A 16043-2025")</f>
        <v/>
      </c>
      <c r="V195">
        <f>HYPERLINK("https://klasma.github.io/Logging_222281/klagomål/A 16043-2025 FSC-klagomål.docx", "A 16043-2025")</f>
        <v/>
      </c>
      <c r="W195">
        <f>HYPERLINK("https://klasma.github.io/Logging_222281/klagomålsmail/A 16043-2025 FSC-klagomål mail.docx", "A 16043-2025")</f>
        <v/>
      </c>
      <c r="X195">
        <f>HYPERLINK("https://klasma.github.io/Logging_222281/tillsyn/A 16043-2025 tillsynsbegäran.docx", "A 16043-2025")</f>
        <v/>
      </c>
      <c r="Y195">
        <f>HYPERLINK("https://klasma.github.io/Logging_222281/tillsynsmail/A 16043-2025 tillsynsbegäran mail.docx", "A 16043-2025")</f>
        <v/>
      </c>
      <c r="Z195">
        <f>HYPERLINK("https://klasma.github.io/Logging_222281/fåglar/A 16043-2025 prioriterade fågelarter.docx", "A 16043-2025")</f>
        <v/>
      </c>
    </row>
    <row r="196" ht="15" customHeight="1">
      <c r="A196" t="inlineStr">
        <is>
          <t>A 21373-2025</t>
        </is>
      </c>
      <c r="B196" s="1" t="n">
        <v>45782</v>
      </c>
      <c r="C196" s="1" t="n">
        <v>45841</v>
      </c>
      <c r="D196" t="inlineStr">
        <is>
          <t>VÄSTERNORRLANDS LÄN</t>
        </is>
      </c>
      <c r="E196" t="inlineStr">
        <is>
          <t>SUNDSVALL</t>
        </is>
      </c>
      <c r="F196" t="inlineStr">
        <is>
          <t>Naturvårdsverket</t>
        </is>
      </c>
      <c r="G196" t="n">
        <v>3.1</v>
      </c>
      <c r="H196" t="n">
        <v>0</v>
      </c>
      <c r="I196" t="n">
        <v>0</v>
      </c>
      <c r="J196" t="n">
        <v>2</v>
      </c>
      <c r="K196" t="n">
        <v>0</v>
      </c>
      <c r="L196" t="n">
        <v>0</v>
      </c>
      <c r="M196" t="n">
        <v>0</v>
      </c>
      <c r="N196" t="n">
        <v>0</v>
      </c>
      <c r="O196" t="n">
        <v>2</v>
      </c>
      <c r="P196" t="n">
        <v>0</v>
      </c>
      <c r="Q196" t="n">
        <v>2</v>
      </c>
      <c r="R196" s="2" t="inlineStr">
        <is>
          <t>Kolflarnlav
Lunglav</t>
        </is>
      </c>
      <c r="S196">
        <f>HYPERLINK("https://klasma.github.io/Logging_222281/artfynd/A 21373-2025 artfynd.xlsx", "A 21373-2025")</f>
        <v/>
      </c>
      <c r="T196">
        <f>HYPERLINK("https://klasma.github.io/Logging_222281/kartor/A 21373-2025 karta.png", "A 21373-2025")</f>
        <v/>
      </c>
      <c r="V196">
        <f>HYPERLINK("https://klasma.github.io/Logging_222281/klagomål/A 21373-2025 FSC-klagomål.docx", "A 21373-2025")</f>
        <v/>
      </c>
      <c r="W196">
        <f>HYPERLINK("https://klasma.github.io/Logging_222281/klagomålsmail/A 21373-2025 FSC-klagomål mail.docx", "A 21373-2025")</f>
        <v/>
      </c>
      <c r="X196">
        <f>HYPERLINK("https://klasma.github.io/Logging_222281/tillsyn/A 21373-2025 tillsynsbegäran.docx", "A 21373-2025")</f>
        <v/>
      </c>
      <c r="Y196">
        <f>HYPERLINK("https://klasma.github.io/Logging_222281/tillsynsmail/A 21373-2025 tillsynsbegäran mail.docx", "A 21373-2025")</f>
        <v/>
      </c>
    </row>
    <row r="197" ht="15" customHeight="1">
      <c r="A197" t="inlineStr">
        <is>
          <t>A 21321-2025</t>
        </is>
      </c>
      <c r="B197" s="1" t="n">
        <v>45782</v>
      </c>
      <c r="C197" s="1" t="n">
        <v>45841</v>
      </c>
      <c r="D197" t="inlineStr">
        <is>
          <t>VÄSTERNORRLANDS LÄN</t>
        </is>
      </c>
      <c r="E197" t="inlineStr">
        <is>
          <t>SUNDSVALL</t>
        </is>
      </c>
      <c r="F197" t="inlineStr">
        <is>
          <t>Naturvårdsverket</t>
        </is>
      </c>
      <c r="G197" t="n">
        <v>1.4</v>
      </c>
      <c r="H197" t="n">
        <v>0</v>
      </c>
      <c r="I197" t="n">
        <v>0</v>
      </c>
      <c r="J197" t="n">
        <v>2</v>
      </c>
      <c r="K197" t="n">
        <v>0</v>
      </c>
      <c r="L197" t="n">
        <v>0</v>
      </c>
      <c r="M197" t="n">
        <v>0</v>
      </c>
      <c r="N197" t="n">
        <v>0</v>
      </c>
      <c r="O197" t="n">
        <v>2</v>
      </c>
      <c r="P197" t="n">
        <v>0</v>
      </c>
      <c r="Q197" t="n">
        <v>2</v>
      </c>
      <c r="R197" s="2" t="inlineStr">
        <is>
          <t>Tallticka
Vedskivlav</t>
        </is>
      </c>
      <c r="S197">
        <f>HYPERLINK("https://klasma.github.io/Logging_222281/artfynd/A 21321-2025 artfynd.xlsx", "A 21321-2025")</f>
        <v/>
      </c>
      <c r="T197">
        <f>HYPERLINK("https://klasma.github.io/Logging_222281/kartor/A 21321-2025 karta.png", "A 21321-2025")</f>
        <v/>
      </c>
      <c r="V197">
        <f>HYPERLINK("https://klasma.github.io/Logging_222281/klagomål/A 21321-2025 FSC-klagomål.docx", "A 21321-2025")</f>
        <v/>
      </c>
      <c r="W197">
        <f>HYPERLINK("https://klasma.github.io/Logging_222281/klagomålsmail/A 21321-2025 FSC-klagomål mail.docx", "A 21321-2025")</f>
        <v/>
      </c>
      <c r="X197">
        <f>HYPERLINK("https://klasma.github.io/Logging_222281/tillsyn/A 21321-2025 tillsynsbegäran.docx", "A 21321-2025")</f>
        <v/>
      </c>
      <c r="Y197">
        <f>HYPERLINK("https://klasma.github.io/Logging_222281/tillsynsmail/A 21321-2025 tillsynsbegäran mail.docx", "A 21321-2025")</f>
        <v/>
      </c>
    </row>
    <row r="198" ht="15" customHeight="1">
      <c r="A198" t="inlineStr">
        <is>
          <t>A 23364-2025</t>
        </is>
      </c>
      <c r="B198" s="1" t="n">
        <v>45791</v>
      </c>
      <c r="C198" s="1" t="n">
        <v>45841</v>
      </c>
      <c r="D198" t="inlineStr">
        <is>
          <t>VÄSTERNORRLANDS LÄN</t>
        </is>
      </c>
      <c r="E198" t="inlineStr">
        <is>
          <t>SUNDSVALL</t>
        </is>
      </c>
      <c r="F198" t="inlineStr">
        <is>
          <t>SCA</t>
        </is>
      </c>
      <c r="G198" t="n">
        <v>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HYPERLINK("https://klasma.github.io/Logging_222281/artfynd/A 23364-2025 artfynd.xlsx", "A 23364-2025")</f>
        <v/>
      </c>
      <c r="T198">
        <f>HYPERLINK("https://klasma.github.io/Logging_222281/kartor/A 23364-2025 karta.png", "A 23364-2025")</f>
        <v/>
      </c>
      <c r="V198">
        <f>HYPERLINK("https://klasma.github.io/Logging_222281/klagomål/A 23364-2025 FSC-klagomål.docx", "A 23364-2025")</f>
        <v/>
      </c>
      <c r="W198">
        <f>HYPERLINK("https://klasma.github.io/Logging_222281/klagomålsmail/A 23364-2025 FSC-klagomål mail.docx", "A 23364-2025")</f>
        <v/>
      </c>
      <c r="X198">
        <f>HYPERLINK("https://klasma.github.io/Logging_222281/tillsyn/A 23364-2025 tillsynsbegäran.docx", "A 23364-2025")</f>
        <v/>
      </c>
      <c r="Y198">
        <f>HYPERLINK("https://klasma.github.io/Logging_222281/tillsynsmail/A 23364-2025 tillsynsbegäran mail.docx", "A 23364-2025")</f>
        <v/>
      </c>
      <c r="Z198">
        <f>HYPERLINK("https://klasma.github.io/Logging_222281/fåglar/A 23364-2025 prioriterade fågelarter.docx", "A 23364-2025")</f>
        <v/>
      </c>
    </row>
    <row r="199" ht="15" customHeight="1">
      <c r="A199" t="inlineStr">
        <is>
          <t>A 25500-2025</t>
        </is>
      </c>
      <c r="B199" s="1" t="n">
        <v>45803</v>
      </c>
      <c r="C199" s="1" t="n">
        <v>45841</v>
      </c>
      <c r="D199" t="inlineStr">
        <is>
          <t>VÄSTERNORRLANDS LÄN</t>
        </is>
      </c>
      <c r="E199" t="inlineStr">
        <is>
          <t>SUNDSVALL</t>
        </is>
      </c>
      <c r="F199" t="inlineStr">
        <is>
          <t>SCA</t>
        </is>
      </c>
      <c r="G199" t="n">
        <v>1.6</v>
      </c>
      <c r="H199" t="n">
        <v>1</v>
      </c>
      <c r="I199" t="n">
        <v>0</v>
      </c>
      <c r="J199" t="n">
        <v>2</v>
      </c>
      <c r="K199" t="n">
        <v>0</v>
      </c>
      <c r="L199" t="n">
        <v>0</v>
      </c>
      <c r="M199" t="n">
        <v>0</v>
      </c>
      <c r="N199" t="n">
        <v>0</v>
      </c>
      <c r="O199" t="n">
        <v>2</v>
      </c>
      <c r="P199" t="n">
        <v>0</v>
      </c>
      <c r="Q199" t="n">
        <v>2</v>
      </c>
      <c r="R199" s="2" t="inlineStr">
        <is>
          <t>Garnlav
Tretåig hackspett</t>
        </is>
      </c>
      <c r="S199">
        <f>HYPERLINK("https://klasma.github.io/Logging_222281/artfynd/A 25500-2025 artfynd.xlsx", "A 25500-2025")</f>
        <v/>
      </c>
      <c r="T199">
        <f>HYPERLINK("https://klasma.github.io/Logging_222281/kartor/A 25500-2025 karta.png", "A 25500-2025")</f>
        <v/>
      </c>
      <c r="V199">
        <f>HYPERLINK("https://klasma.github.io/Logging_222281/klagomål/A 25500-2025 FSC-klagomål.docx", "A 25500-2025")</f>
        <v/>
      </c>
      <c r="W199">
        <f>HYPERLINK("https://klasma.github.io/Logging_222281/klagomålsmail/A 25500-2025 FSC-klagomål mail.docx", "A 25500-2025")</f>
        <v/>
      </c>
      <c r="X199">
        <f>HYPERLINK("https://klasma.github.io/Logging_222281/tillsyn/A 25500-2025 tillsynsbegäran.docx", "A 25500-2025")</f>
        <v/>
      </c>
      <c r="Y199">
        <f>HYPERLINK("https://klasma.github.io/Logging_222281/tillsynsmail/A 25500-2025 tillsynsbegäran mail.docx", "A 25500-2025")</f>
        <v/>
      </c>
      <c r="Z199">
        <f>HYPERLINK("https://klasma.github.io/Logging_222281/fåglar/A 25500-2025 prioriterade fågelarter.docx", "A 25500-2025")</f>
        <v/>
      </c>
    </row>
    <row r="200" ht="15" customHeight="1">
      <c r="A200" t="inlineStr">
        <is>
          <t>A 25870-2025</t>
        </is>
      </c>
      <c r="B200" s="1" t="n">
        <v>45804</v>
      </c>
      <c r="C200" s="1" t="n">
        <v>45841</v>
      </c>
      <c r="D200" t="inlineStr">
        <is>
          <t>VÄSTERNORRLANDS LÄN</t>
        </is>
      </c>
      <c r="E200" t="inlineStr">
        <is>
          <t>SUNDSVALL</t>
        </is>
      </c>
      <c r="F200" t="inlineStr">
        <is>
          <t>Naturvårdsverket</t>
        </is>
      </c>
      <c r="G200" t="n">
        <v>1.6</v>
      </c>
      <c r="H200" t="n">
        <v>1</v>
      </c>
      <c r="I200" t="n">
        <v>1</v>
      </c>
      <c r="J200" t="n">
        <v>1</v>
      </c>
      <c r="K200" t="n">
        <v>0</v>
      </c>
      <c r="L200" t="n">
        <v>0</v>
      </c>
      <c r="M200" t="n">
        <v>0</v>
      </c>
      <c r="N200" t="n">
        <v>0</v>
      </c>
      <c r="O200" t="n">
        <v>1</v>
      </c>
      <c r="P200" t="n">
        <v>0</v>
      </c>
      <c r="Q200" t="n">
        <v>2</v>
      </c>
      <c r="R200" s="2" t="inlineStr">
        <is>
          <t>Lunglav
Spindelblomster</t>
        </is>
      </c>
      <c r="S200">
        <f>HYPERLINK("https://klasma.github.io/Logging_222281/artfynd/A 25870-2025 artfynd.xlsx", "A 25870-2025")</f>
        <v/>
      </c>
      <c r="T200">
        <f>HYPERLINK("https://klasma.github.io/Logging_222281/kartor/A 25870-2025 karta.png", "A 25870-2025")</f>
        <v/>
      </c>
      <c r="V200">
        <f>HYPERLINK("https://klasma.github.io/Logging_222281/klagomål/A 25870-2025 FSC-klagomål.docx", "A 25870-2025")</f>
        <v/>
      </c>
      <c r="W200">
        <f>HYPERLINK("https://klasma.github.io/Logging_222281/klagomålsmail/A 25870-2025 FSC-klagomål mail.docx", "A 25870-2025")</f>
        <v/>
      </c>
      <c r="X200">
        <f>HYPERLINK("https://klasma.github.io/Logging_222281/tillsyn/A 25870-2025 tillsynsbegäran.docx", "A 25870-2025")</f>
        <v/>
      </c>
      <c r="Y200">
        <f>HYPERLINK("https://klasma.github.io/Logging_222281/tillsynsmail/A 25870-2025 tillsynsbegäran mail.docx", "A 25870-2025")</f>
        <v/>
      </c>
    </row>
    <row r="201" ht="15" customHeight="1">
      <c r="A201" t="inlineStr">
        <is>
          <t>A 26392-2025</t>
        </is>
      </c>
      <c r="B201" s="1" t="n">
        <v>45806</v>
      </c>
      <c r="C201" s="1" t="n">
        <v>45841</v>
      </c>
      <c r="D201" t="inlineStr">
        <is>
          <t>VÄSTERNORRLANDS LÄN</t>
        </is>
      </c>
      <c r="E201" t="inlineStr">
        <is>
          <t>SUNDSVALL</t>
        </is>
      </c>
      <c r="F201" t="inlineStr">
        <is>
          <t>Naturvårdsverket</t>
        </is>
      </c>
      <c r="G201" t="n">
        <v>7.5</v>
      </c>
      <c r="H201" t="n">
        <v>0</v>
      </c>
      <c r="I201" t="n">
        <v>0</v>
      </c>
      <c r="J201" t="n">
        <v>2</v>
      </c>
      <c r="K201" t="n">
        <v>0</v>
      </c>
      <c r="L201" t="n">
        <v>0</v>
      </c>
      <c r="M201" t="n">
        <v>0</v>
      </c>
      <c r="N201" t="n">
        <v>0</v>
      </c>
      <c r="O201" t="n">
        <v>2</v>
      </c>
      <c r="P201" t="n">
        <v>0</v>
      </c>
      <c r="Q201" t="n">
        <v>2</v>
      </c>
      <c r="R201" s="2" t="inlineStr">
        <is>
          <t>Doftskinn
Lunglav</t>
        </is>
      </c>
      <c r="S201">
        <f>HYPERLINK("https://klasma.github.io/Logging_222281/artfynd/A 26392-2025 artfynd.xlsx", "A 26392-2025")</f>
        <v/>
      </c>
      <c r="T201">
        <f>HYPERLINK("https://klasma.github.io/Logging_222281/kartor/A 26392-2025 karta.png", "A 26392-2025")</f>
        <v/>
      </c>
      <c r="V201">
        <f>HYPERLINK("https://klasma.github.io/Logging_222281/klagomål/A 26392-2025 FSC-klagomål.docx", "A 26392-2025")</f>
        <v/>
      </c>
      <c r="W201">
        <f>HYPERLINK("https://klasma.github.io/Logging_222281/klagomålsmail/A 26392-2025 FSC-klagomål mail.docx", "A 26392-2025")</f>
        <v/>
      </c>
      <c r="X201">
        <f>HYPERLINK("https://klasma.github.io/Logging_222281/tillsyn/A 26392-2025 tillsynsbegäran.docx", "A 26392-2025")</f>
        <v/>
      </c>
      <c r="Y201">
        <f>HYPERLINK("https://klasma.github.io/Logging_222281/tillsynsmail/A 26392-2025 tillsynsbegäran mail.docx", "A 26392-2025")</f>
        <v/>
      </c>
    </row>
    <row r="202" ht="15" customHeight="1">
      <c r="A202" t="inlineStr">
        <is>
          <t>A 26834-2025</t>
        </is>
      </c>
      <c r="B202" s="1" t="n">
        <v>45810</v>
      </c>
      <c r="C202" s="1" t="n">
        <v>45841</v>
      </c>
      <c r="D202" t="inlineStr">
        <is>
          <t>VÄSTERNORRLANDS LÄN</t>
        </is>
      </c>
      <c r="E202" t="inlineStr">
        <is>
          <t>SUNDSVALL</t>
        </is>
      </c>
      <c r="F202" t="inlineStr">
        <is>
          <t>SCA</t>
        </is>
      </c>
      <c r="G202" t="n">
        <v>1.9</v>
      </c>
      <c r="H202" t="n">
        <v>0</v>
      </c>
      <c r="I202" t="n">
        <v>0</v>
      </c>
      <c r="J202" t="n">
        <v>2</v>
      </c>
      <c r="K202" t="n">
        <v>0</v>
      </c>
      <c r="L202" t="n">
        <v>0</v>
      </c>
      <c r="M202" t="n">
        <v>0</v>
      </c>
      <c r="N202" t="n">
        <v>0</v>
      </c>
      <c r="O202" t="n">
        <v>2</v>
      </c>
      <c r="P202" t="n">
        <v>0</v>
      </c>
      <c r="Q202" t="n">
        <v>2</v>
      </c>
      <c r="R202" s="2" t="inlineStr">
        <is>
          <t>Garnlav
Kolflarnlav</t>
        </is>
      </c>
      <c r="S202">
        <f>HYPERLINK("https://klasma.github.io/Logging_222281/artfynd/A 26834-2025 artfynd.xlsx", "A 26834-2025")</f>
        <v/>
      </c>
      <c r="T202">
        <f>HYPERLINK("https://klasma.github.io/Logging_222281/kartor/A 26834-2025 karta.png", "A 26834-2025")</f>
        <v/>
      </c>
      <c r="V202">
        <f>HYPERLINK("https://klasma.github.io/Logging_222281/klagomål/A 26834-2025 FSC-klagomål.docx", "A 26834-2025")</f>
        <v/>
      </c>
      <c r="W202">
        <f>HYPERLINK("https://klasma.github.io/Logging_222281/klagomålsmail/A 26834-2025 FSC-klagomål mail.docx", "A 26834-2025")</f>
        <v/>
      </c>
      <c r="X202">
        <f>HYPERLINK("https://klasma.github.io/Logging_222281/tillsyn/A 26834-2025 tillsynsbegäran.docx", "A 26834-2025")</f>
        <v/>
      </c>
      <c r="Y202">
        <f>HYPERLINK("https://klasma.github.io/Logging_222281/tillsynsmail/A 26834-2025 tillsynsbegäran mail.docx", "A 26834-2025")</f>
        <v/>
      </c>
    </row>
    <row r="203" ht="15" customHeight="1">
      <c r="A203" t="inlineStr">
        <is>
          <t>A 26833-2025</t>
        </is>
      </c>
      <c r="B203" s="1" t="n">
        <v>45810</v>
      </c>
      <c r="C203" s="1" t="n">
        <v>45841</v>
      </c>
      <c r="D203" t="inlineStr">
        <is>
          <t>VÄSTERNORRLANDS LÄN</t>
        </is>
      </c>
      <c r="E203" t="inlineStr">
        <is>
          <t>SUNDSVALL</t>
        </is>
      </c>
      <c r="F203" t="inlineStr">
        <is>
          <t>SCA</t>
        </is>
      </c>
      <c r="G203" t="n">
        <v>6</v>
      </c>
      <c r="H203" t="n">
        <v>0</v>
      </c>
      <c r="I203" t="n">
        <v>0</v>
      </c>
      <c r="J203" t="n">
        <v>2</v>
      </c>
      <c r="K203" t="n">
        <v>0</v>
      </c>
      <c r="L203" t="n">
        <v>0</v>
      </c>
      <c r="M203" t="n">
        <v>0</v>
      </c>
      <c r="N203" t="n">
        <v>0</v>
      </c>
      <c r="O203" t="n">
        <v>2</v>
      </c>
      <c r="P203" t="n">
        <v>0</v>
      </c>
      <c r="Q203" t="n">
        <v>2</v>
      </c>
      <c r="R203" s="2" t="inlineStr">
        <is>
          <t>Kolflarnlav
Vedskivlav</t>
        </is>
      </c>
      <c r="S203">
        <f>HYPERLINK("https://klasma.github.io/Logging_222281/artfynd/A 26833-2025 artfynd.xlsx", "A 26833-2025")</f>
        <v/>
      </c>
      <c r="T203">
        <f>HYPERLINK("https://klasma.github.io/Logging_222281/kartor/A 26833-2025 karta.png", "A 26833-2025")</f>
        <v/>
      </c>
      <c r="V203">
        <f>HYPERLINK("https://klasma.github.io/Logging_222281/klagomål/A 26833-2025 FSC-klagomål.docx", "A 26833-2025")</f>
        <v/>
      </c>
      <c r="W203">
        <f>HYPERLINK("https://klasma.github.io/Logging_222281/klagomålsmail/A 26833-2025 FSC-klagomål mail.docx", "A 26833-2025")</f>
        <v/>
      </c>
      <c r="X203">
        <f>HYPERLINK("https://klasma.github.io/Logging_222281/tillsyn/A 26833-2025 tillsynsbegäran.docx", "A 26833-2025")</f>
        <v/>
      </c>
      <c r="Y203">
        <f>HYPERLINK("https://klasma.github.io/Logging_222281/tillsynsmail/A 26833-2025 tillsynsbegäran mail.docx", "A 26833-2025")</f>
        <v/>
      </c>
    </row>
    <row r="204" ht="15" customHeight="1">
      <c r="A204" t="inlineStr">
        <is>
          <t>A 27216-2019</t>
        </is>
      </c>
      <c r="B204" s="1" t="n">
        <v>43614</v>
      </c>
      <c r="C204" s="1" t="n">
        <v>45841</v>
      </c>
      <c r="D204" t="inlineStr">
        <is>
          <t>VÄSTERNORRLANDS LÄN</t>
        </is>
      </c>
      <c r="E204" t="inlineStr">
        <is>
          <t>SUNDSVALL</t>
        </is>
      </c>
      <c r="G204" t="n">
        <v>3.7</v>
      </c>
      <c r="H204" t="n">
        <v>1</v>
      </c>
      <c r="I204" t="n">
        <v>0</v>
      </c>
      <c r="J204" t="n">
        <v>0</v>
      </c>
      <c r="K204" t="n">
        <v>0</v>
      </c>
      <c r="L204" t="n">
        <v>0</v>
      </c>
      <c r="M204" t="n">
        <v>0</v>
      </c>
      <c r="N204" t="n">
        <v>0</v>
      </c>
      <c r="O204" t="n">
        <v>0</v>
      </c>
      <c r="P204" t="n">
        <v>0</v>
      </c>
      <c r="Q204" t="n">
        <v>1</v>
      </c>
      <c r="R204" s="2" t="inlineStr">
        <is>
          <t>Blåsippa</t>
        </is>
      </c>
      <c r="S204">
        <f>HYPERLINK("https://klasma.github.io/Logging_2281/artfynd/A 27216-2019 artfynd.xlsx", "A 27216-2019")</f>
        <v/>
      </c>
      <c r="T204">
        <f>HYPERLINK("https://klasma.github.io/Logging_2281/kartor/A 27216-2019 karta.png", "A 27216-2019")</f>
        <v/>
      </c>
      <c r="V204">
        <f>HYPERLINK("https://klasma.github.io/Logging_2281/klagomål/A 27216-2019 FSC-klagomål.docx", "A 27216-2019")</f>
        <v/>
      </c>
      <c r="W204">
        <f>HYPERLINK("https://klasma.github.io/Logging_2281/klagomålsmail/A 27216-2019 FSC-klagomål mail.docx", "A 27216-2019")</f>
        <v/>
      </c>
      <c r="X204">
        <f>HYPERLINK("https://klasma.github.io/Logging_2281/tillsyn/A 27216-2019 tillsynsbegäran.docx", "A 27216-2019")</f>
        <v/>
      </c>
      <c r="Y204">
        <f>HYPERLINK("https://klasma.github.io/Logging_2281/tillsynsmail/A 27216-2019 tillsynsbegäran mail.docx", "A 27216-2019")</f>
        <v/>
      </c>
    </row>
    <row r="205" ht="15" customHeight="1">
      <c r="A205" t="inlineStr">
        <is>
          <t>A 44609-2019</t>
        </is>
      </c>
      <c r="B205" s="1" t="n">
        <v>43711</v>
      </c>
      <c r="C205" s="1" t="n">
        <v>45841</v>
      </c>
      <c r="D205" t="inlineStr">
        <is>
          <t>VÄSTERNORRLANDS LÄN</t>
        </is>
      </c>
      <c r="E205" t="inlineStr">
        <is>
          <t>SUNDSVALL</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HYPERLINK("https://klasma.github.io/Logging_2281/artfynd/A 44609-2019 artfynd.xlsx", "A 44609-2019")</f>
        <v/>
      </c>
      <c r="T205">
        <f>HYPERLINK("https://klasma.github.io/Logging_2281/kartor/A 44609-2019 karta.png", "A 44609-2019")</f>
        <v/>
      </c>
      <c r="V205">
        <f>HYPERLINK("https://klasma.github.io/Logging_2281/klagomål/A 44609-2019 FSC-klagomål.docx", "A 44609-2019")</f>
        <v/>
      </c>
      <c r="W205">
        <f>HYPERLINK("https://klasma.github.io/Logging_2281/klagomålsmail/A 44609-2019 FSC-klagomål mail.docx", "A 44609-2019")</f>
        <v/>
      </c>
      <c r="X205">
        <f>HYPERLINK("https://klasma.github.io/Logging_2281/tillsyn/A 44609-2019 tillsynsbegäran.docx", "A 44609-2019")</f>
        <v/>
      </c>
      <c r="Y205">
        <f>HYPERLINK("https://klasma.github.io/Logging_2281/tillsynsmail/A 44609-2019 tillsynsbegäran mail.docx", "A 44609-2019")</f>
        <v/>
      </c>
    </row>
    <row r="206" ht="15" customHeight="1">
      <c r="A206" t="inlineStr">
        <is>
          <t>A 66374-2019</t>
        </is>
      </c>
      <c r="B206" s="1" t="n">
        <v>43808</v>
      </c>
      <c r="C206" s="1" t="n">
        <v>45841</v>
      </c>
      <c r="D206" t="inlineStr">
        <is>
          <t>VÄSTERNORRLANDS LÄN</t>
        </is>
      </c>
      <c r="E206" t="inlineStr">
        <is>
          <t>SUNDSVALL</t>
        </is>
      </c>
      <c r="G206" t="n">
        <v>0.6</v>
      </c>
      <c r="H206" t="n">
        <v>1</v>
      </c>
      <c r="I206" t="n">
        <v>0</v>
      </c>
      <c r="J206" t="n">
        <v>1</v>
      </c>
      <c r="K206" t="n">
        <v>0</v>
      </c>
      <c r="L206" t="n">
        <v>0</v>
      </c>
      <c r="M206" t="n">
        <v>0</v>
      </c>
      <c r="N206" t="n">
        <v>0</v>
      </c>
      <c r="O206" t="n">
        <v>1</v>
      </c>
      <c r="P206" t="n">
        <v>0</v>
      </c>
      <c r="Q206" t="n">
        <v>1</v>
      </c>
      <c r="R206" s="2" t="inlineStr">
        <is>
          <t>Fjällvråk</t>
        </is>
      </c>
      <c r="S206">
        <f>HYPERLINK("https://klasma.github.io/Logging_2281/artfynd/A 66374-2019 artfynd.xlsx", "A 66374-2019")</f>
        <v/>
      </c>
      <c r="T206">
        <f>HYPERLINK("https://klasma.github.io/Logging_2281/kartor/A 66374-2019 karta.png", "A 66374-2019")</f>
        <v/>
      </c>
      <c r="V206">
        <f>HYPERLINK("https://klasma.github.io/Logging_2281/klagomål/A 66374-2019 FSC-klagomål.docx", "A 66374-2019")</f>
        <v/>
      </c>
      <c r="W206">
        <f>HYPERLINK("https://klasma.github.io/Logging_2281/klagomålsmail/A 66374-2019 FSC-klagomål mail.docx", "A 66374-2019")</f>
        <v/>
      </c>
      <c r="X206">
        <f>HYPERLINK("https://klasma.github.io/Logging_2281/tillsyn/A 66374-2019 tillsynsbegäran.docx", "A 66374-2019")</f>
        <v/>
      </c>
      <c r="Y206">
        <f>HYPERLINK("https://klasma.github.io/Logging_2281/tillsynsmail/A 66374-2019 tillsynsbegäran mail.docx", "A 66374-2019")</f>
        <v/>
      </c>
      <c r="Z206">
        <f>HYPERLINK("https://klasma.github.io/Logging_2281/fåglar/A 66374-2019 prioriterade fågelarter.docx", "A 66374-2019")</f>
        <v/>
      </c>
    </row>
    <row r="207" ht="15" customHeight="1">
      <c r="A207" t="inlineStr">
        <is>
          <t>A 970-2020</t>
        </is>
      </c>
      <c r="B207" s="1" t="n">
        <v>43839</v>
      </c>
      <c r="C207" s="1" t="n">
        <v>45841</v>
      </c>
      <c r="D207" t="inlineStr">
        <is>
          <t>VÄSTERNORRLANDS LÄN</t>
        </is>
      </c>
      <c r="E207" t="inlineStr">
        <is>
          <t>SUNDSVALL</t>
        </is>
      </c>
      <c r="F207" t="inlineStr">
        <is>
          <t>Kommuner</t>
        </is>
      </c>
      <c r="G207" t="n">
        <v>0.8</v>
      </c>
      <c r="H207" t="n">
        <v>1</v>
      </c>
      <c r="I207" t="n">
        <v>0</v>
      </c>
      <c r="J207" t="n">
        <v>1</v>
      </c>
      <c r="K207" t="n">
        <v>0</v>
      </c>
      <c r="L207" t="n">
        <v>0</v>
      </c>
      <c r="M207" t="n">
        <v>0</v>
      </c>
      <c r="N207" t="n">
        <v>0</v>
      </c>
      <c r="O207" t="n">
        <v>1</v>
      </c>
      <c r="P207" t="n">
        <v>0</v>
      </c>
      <c r="Q207" t="n">
        <v>1</v>
      </c>
      <c r="R207" s="2" t="inlineStr">
        <is>
          <t>Rosenfink</t>
        </is>
      </c>
      <c r="S207">
        <f>HYPERLINK("https://klasma.github.io/Logging_2281/artfynd/A 970-2020 artfynd.xlsx", "A 970-2020")</f>
        <v/>
      </c>
      <c r="T207">
        <f>HYPERLINK("https://klasma.github.io/Logging_2281/kartor/A 970-2020 karta.png", "A 970-2020")</f>
        <v/>
      </c>
      <c r="V207">
        <f>HYPERLINK("https://klasma.github.io/Logging_2281/klagomål/A 970-2020 FSC-klagomål.docx", "A 970-2020")</f>
        <v/>
      </c>
      <c r="W207">
        <f>HYPERLINK("https://klasma.github.io/Logging_2281/klagomålsmail/A 970-2020 FSC-klagomål mail.docx", "A 970-2020")</f>
        <v/>
      </c>
      <c r="X207">
        <f>HYPERLINK("https://klasma.github.io/Logging_2281/tillsyn/A 970-2020 tillsynsbegäran.docx", "A 970-2020")</f>
        <v/>
      </c>
      <c r="Y207">
        <f>HYPERLINK("https://klasma.github.io/Logging_2281/tillsynsmail/A 970-2020 tillsynsbegäran mail.docx", "A 970-2020")</f>
        <v/>
      </c>
      <c r="Z207">
        <f>HYPERLINK("https://klasma.github.io/Logging_2281/fåglar/A 970-2020 prioriterade fågelarter.docx", "A 970-2020")</f>
        <v/>
      </c>
    </row>
    <row r="208" ht="15" customHeight="1">
      <c r="A208" t="inlineStr">
        <is>
          <t>A 7956-2020</t>
        </is>
      </c>
      <c r="B208" s="1" t="n">
        <v>43873</v>
      </c>
      <c r="C208" s="1" t="n">
        <v>45841</v>
      </c>
      <c r="D208" t="inlineStr">
        <is>
          <t>VÄSTERNORRLANDS LÄN</t>
        </is>
      </c>
      <c r="E208" t="inlineStr">
        <is>
          <t>SUNDSVALL</t>
        </is>
      </c>
      <c r="G208" t="n">
        <v>15.3</v>
      </c>
      <c r="H208" t="n">
        <v>0</v>
      </c>
      <c r="I208" t="n">
        <v>0</v>
      </c>
      <c r="J208" t="n">
        <v>1</v>
      </c>
      <c r="K208" t="n">
        <v>0</v>
      </c>
      <c r="L208" t="n">
        <v>0</v>
      </c>
      <c r="M208" t="n">
        <v>0</v>
      </c>
      <c r="N208" t="n">
        <v>0</v>
      </c>
      <c r="O208" t="n">
        <v>1</v>
      </c>
      <c r="P208" t="n">
        <v>0</v>
      </c>
      <c r="Q208" t="n">
        <v>1</v>
      </c>
      <c r="R208" s="2" t="inlineStr">
        <is>
          <t>Vedskivlav</t>
        </is>
      </c>
      <c r="S208">
        <f>HYPERLINK("https://klasma.github.io/Logging_2281/artfynd/A 7956-2020 artfynd.xlsx", "A 7956-2020")</f>
        <v/>
      </c>
      <c r="T208">
        <f>HYPERLINK("https://klasma.github.io/Logging_2281/kartor/A 7956-2020 karta.png", "A 7956-2020")</f>
        <v/>
      </c>
      <c r="V208">
        <f>HYPERLINK("https://klasma.github.io/Logging_2281/klagomål/A 7956-2020 FSC-klagomål.docx", "A 7956-2020")</f>
        <v/>
      </c>
      <c r="W208">
        <f>HYPERLINK("https://klasma.github.io/Logging_2281/klagomålsmail/A 7956-2020 FSC-klagomål mail.docx", "A 7956-2020")</f>
        <v/>
      </c>
      <c r="X208">
        <f>HYPERLINK("https://klasma.github.io/Logging_2281/tillsyn/A 7956-2020 tillsynsbegäran.docx", "A 7956-2020")</f>
        <v/>
      </c>
      <c r="Y208">
        <f>HYPERLINK("https://klasma.github.io/Logging_2281/tillsynsmail/A 7956-2020 tillsynsbegäran mail.docx", "A 7956-2020")</f>
        <v/>
      </c>
    </row>
    <row r="209" ht="15" customHeight="1">
      <c r="A209" t="inlineStr">
        <is>
          <t>A 13082-2020</t>
        </is>
      </c>
      <c r="B209" s="1" t="n">
        <v>43900</v>
      </c>
      <c r="C209" s="1" t="n">
        <v>45841</v>
      </c>
      <c r="D209" t="inlineStr">
        <is>
          <t>VÄSTERNORRLANDS LÄN</t>
        </is>
      </c>
      <c r="E209" t="inlineStr">
        <is>
          <t>SUNDSVALL</t>
        </is>
      </c>
      <c r="G209" t="n">
        <v>12.8</v>
      </c>
      <c r="H209" t="n">
        <v>1</v>
      </c>
      <c r="I209" t="n">
        <v>0</v>
      </c>
      <c r="J209" t="n">
        <v>0</v>
      </c>
      <c r="K209" t="n">
        <v>0</v>
      </c>
      <c r="L209" t="n">
        <v>0</v>
      </c>
      <c r="M209" t="n">
        <v>0</v>
      </c>
      <c r="N209" t="n">
        <v>0</v>
      </c>
      <c r="O209" t="n">
        <v>0</v>
      </c>
      <c r="P209" t="n">
        <v>0</v>
      </c>
      <c r="Q209" t="n">
        <v>1</v>
      </c>
      <c r="R209" s="2" t="inlineStr">
        <is>
          <t>Blåsippa</t>
        </is>
      </c>
      <c r="S209">
        <f>HYPERLINK("https://klasma.github.io/Logging_2281/artfynd/A 13082-2020 artfynd.xlsx", "A 13082-2020")</f>
        <v/>
      </c>
      <c r="T209">
        <f>HYPERLINK("https://klasma.github.io/Logging_2281/kartor/A 13082-2020 karta.png", "A 13082-2020")</f>
        <v/>
      </c>
      <c r="V209">
        <f>HYPERLINK("https://klasma.github.io/Logging_2281/klagomål/A 13082-2020 FSC-klagomål.docx", "A 13082-2020")</f>
        <v/>
      </c>
      <c r="W209">
        <f>HYPERLINK("https://klasma.github.io/Logging_2281/klagomålsmail/A 13082-2020 FSC-klagomål mail.docx", "A 13082-2020")</f>
        <v/>
      </c>
      <c r="X209">
        <f>HYPERLINK("https://klasma.github.io/Logging_2281/tillsyn/A 13082-2020 tillsynsbegäran.docx", "A 13082-2020")</f>
        <v/>
      </c>
      <c r="Y209">
        <f>HYPERLINK("https://klasma.github.io/Logging_2281/tillsynsmail/A 13082-2020 tillsynsbegäran mail.docx", "A 13082-2020")</f>
        <v/>
      </c>
    </row>
    <row r="210" ht="15" customHeight="1">
      <c r="A210" t="inlineStr">
        <is>
          <t>A 28764-2020</t>
        </is>
      </c>
      <c r="B210" s="1" t="n">
        <v>43999</v>
      </c>
      <c r="C210" s="1" t="n">
        <v>45841</v>
      </c>
      <c r="D210" t="inlineStr">
        <is>
          <t>VÄSTERNORRLANDS LÄN</t>
        </is>
      </c>
      <c r="E210" t="inlineStr">
        <is>
          <t>SUNDSVALL</t>
        </is>
      </c>
      <c r="F210" t="inlineStr">
        <is>
          <t>SCA</t>
        </is>
      </c>
      <c r="G210" t="n">
        <v>2.7</v>
      </c>
      <c r="H210" t="n">
        <v>1</v>
      </c>
      <c r="I210" t="n">
        <v>0</v>
      </c>
      <c r="J210" t="n">
        <v>1</v>
      </c>
      <c r="K210" t="n">
        <v>0</v>
      </c>
      <c r="L210" t="n">
        <v>0</v>
      </c>
      <c r="M210" t="n">
        <v>0</v>
      </c>
      <c r="N210" t="n">
        <v>0</v>
      </c>
      <c r="O210" t="n">
        <v>1</v>
      </c>
      <c r="P210" t="n">
        <v>0</v>
      </c>
      <c r="Q210" t="n">
        <v>1</v>
      </c>
      <c r="R210" s="2" t="inlineStr">
        <is>
          <t>Utter</t>
        </is>
      </c>
      <c r="S210">
        <f>HYPERLINK("https://klasma.github.io/Logging_2281/artfynd/A 28764-2020 artfynd.xlsx", "A 28764-2020")</f>
        <v/>
      </c>
      <c r="T210">
        <f>HYPERLINK("https://klasma.github.io/Logging_2281/kartor/A 28764-2020 karta.png", "A 28764-2020")</f>
        <v/>
      </c>
      <c r="V210">
        <f>HYPERLINK("https://klasma.github.io/Logging_2281/klagomål/A 28764-2020 FSC-klagomål.docx", "A 28764-2020")</f>
        <v/>
      </c>
      <c r="W210">
        <f>HYPERLINK("https://klasma.github.io/Logging_2281/klagomålsmail/A 28764-2020 FSC-klagomål mail.docx", "A 28764-2020")</f>
        <v/>
      </c>
      <c r="X210">
        <f>HYPERLINK("https://klasma.github.io/Logging_2281/tillsyn/A 28764-2020 tillsynsbegäran.docx", "A 28764-2020")</f>
        <v/>
      </c>
      <c r="Y210">
        <f>HYPERLINK("https://klasma.github.io/Logging_2281/tillsynsmail/A 28764-2020 tillsynsbegäran mail.docx", "A 28764-2020")</f>
        <v/>
      </c>
    </row>
    <row r="211" ht="15" customHeight="1">
      <c r="A211" t="inlineStr">
        <is>
          <t>A 50469-2020</t>
        </is>
      </c>
      <c r="B211" s="1" t="n">
        <v>44104</v>
      </c>
      <c r="C211" s="1" t="n">
        <v>45841</v>
      </c>
      <c r="D211" t="inlineStr">
        <is>
          <t>VÄSTERNORRLANDS LÄN</t>
        </is>
      </c>
      <c r="E211" t="inlineStr">
        <is>
          <t>SUNDSVALL</t>
        </is>
      </c>
      <c r="G211" t="n">
        <v>1.8</v>
      </c>
      <c r="H211" t="n">
        <v>1</v>
      </c>
      <c r="I211" t="n">
        <v>0</v>
      </c>
      <c r="J211" t="n">
        <v>1</v>
      </c>
      <c r="K211" t="n">
        <v>0</v>
      </c>
      <c r="L211" t="n">
        <v>0</v>
      </c>
      <c r="M211" t="n">
        <v>0</v>
      </c>
      <c r="N211" t="n">
        <v>0</v>
      </c>
      <c r="O211" t="n">
        <v>1</v>
      </c>
      <c r="P211" t="n">
        <v>0</v>
      </c>
      <c r="Q211" t="n">
        <v>1</v>
      </c>
      <c r="R211" s="2" t="inlineStr">
        <is>
          <t>Sötgräs</t>
        </is>
      </c>
      <c r="S211">
        <f>HYPERLINK("https://klasma.github.io/Logging_2281/artfynd/A 50469-2020 artfynd.xlsx", "A 50469-2020")</f>
        <v/>
      </c>
      <c r="T211">
        <f>HYPERLINK("https://klasma.github.io/Logging_2281/kartor/A 50469-2020 karta.png", "A 50469-2020")</f>
        <v/>
      </c>
      <c r="V211">
        <f>HYPERLINK("https://klasma.github.io/Logging_2281/klagomål/A 50469-2020 FSC-klagomål.docx", "A 50469-2020")</f>
        <v/>
      </c>
      <c r="W211">
        <f>HYPERLINK("https://klasma.github.io/Logging_2281/klagomålsmail/A 50469-2020 FSC-klagomål mail.docx", "A 50469-2020")</f>
        <v/>
      </c>
      <c r="X211">
        <f>HYPERLINK("https://klasma.github.io/Logging_2281/tillsyn/A 50469-2020 tillsynsbegäran.docx", "A 50469-2020")</f>
        <v/>
      </c>
      <c r="Y211">
        <f>HYPERLINK("https://klasma.github.io/Logging_2281/tillsynsmail/A 50469-2020 tillsynsbegäran mail.docx", "A 50469-2020")</f>
        <v/>
      </c>
    </row>
    <row r="212" ht="15" customHeight="1">
      <c r="A212" t="inlineStr">
        <is>
          <t>A 65632-2020</t>
        </is>
      </c>
      <c r="B212" s="1" t="n">
        <v>44173</v>
      </c>
      <c r="C212" s="1" t="n">
        <v>45841</v>
      </c>
      <c r="D212" t="inlineStr">
        <is>
          <t>VÄSTERNORRLANDS LÄN</t>
        </is>
      </c>
      <c r="E212" t="inlineStr">
        <is>
          <t>SUNDSVALL</t>
        </is>
      </c>
      <c r="F212" t="inlineStr">
        <is>
          <t>SCA</t>
        </is>
      </c>
      <c r="G212" t="n">
        <v>3.2</v>
      </c>
      <c r="H212" t="n">
        <v>0</v>
      </c>
      <c r="I212" t="n">
        <v>1</v>
      </c>
      <c r="J212" t="n">
        <v>0</v>
      </c>
      <c r="K212" t="n">
        <v>0</v>
      </c>
      <c r="L212" t="n">
        <v>0</v>
      </c>
      <c r="M212" t="n">
        <v>0</v>
      </c>
      <c r="N212" t="n">
        <v>0</v>
      </c>
      <c r="O212" t="n">
        <v>0</v>
      </c>
      <c r="P212" t="n">
        <v>0</v>
      </c>
      <c r="Q212" t="n">
        <v>1</v>
      </c>
      <c r="R212" s="2" t="inlineStr">
        <is>
          <t>Dropptaggsvamp</t>
        </is>
      </c>
      <c r="S212">
        <f>HYPERLINK("https://klasma.github.io/Logging_2281/artfynd/A 65632-2020 artfynd.xlsx", "A 65632-2020")</f>
        <v/>
      </c>
      <c r="T212">
        <f>HYPERLINK("https://klasma.github.io/Logging_2281/kartor/A 65632-2020 karta.png", "A 65632-2020")</f>
        <v/>
      </c>
      <c r="V212">
        <f>HYPERLINK("https://klasma.github.io/Logging_2281/klagomål/A 65632-2020 FSC-klagomål.docx", "A 65632-2020")</f>
        <v/>
      </c>
      <c r="W212">
        <f>HYPERLINK("https://klasma.github.io/Logging_2281/klagomålsmail/A 65632-2020 FSC-klagomål mail.docx", "A 65632-2020")</f>
        <v/>
      </c>
      <c r="X212">
        <f>HYPERLINK("https://klasma.github.io/Logging_2281/tillsyn/A 65632-2020 tillsynsbegäran.docx", "A 65632-2020")</f>
        <v/>
      </c>
      <c r="Y212">
        <f>HYPERLINK("https://klasma.github.io/Logging_2281/tillsynsmail/A 65632-2020 tillsynsbegäran mail.docx", "A 65632-2020")</f>
        <v/>
      </c>
    </row>
    <row r="213" ht="15" customHeight="1">
      <c r="A213" t="inlineStr">
        <is>
          <t>A 15775-2021</t>
        </is>
      </c>
      <c r="B213" s="1" t="n">
        <v>44286</v>
      </c>
      <c r="C213" s="1" t="n">
        <v>45841</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17333-2021</t>
        </is>
      </c>
      <c r="B214" s="1" t="n">
        <v>44298</v>
      </c>
      <c r="C214" s="1" t="n">
        <v>45841</v>
      </c>
      <c r="D214" t="inlineStr">
        <is>
          <t>VÄSTERNORRLANDS LÄN</t>
        </is>
      </c>
      <c r="E214" t="inlineStr">
        <is>
          <t>SUNDSVALL</t>
        </is>
      </c>
      <c r="G214" t="n">
        <v>6.7</v>
      </c>
      <c r="H214" t="n">
        <v>1</v>
      </c>
      <c r="I214" t="n">
        <v>0</v>
      </c>
      <c r="J214" t="n">
        <v>1</v>
      </c>
      <c r="K214" t="n">
        <v>0</v>
      </c>
      <c r="L214" t="n">
        <v>0</v>
      </c>
      <c r="M214" t="n">
        <v>0</v>
      </c>
      <c r="N214" t="n">
        <v>0</v>
      </c>
      <c r="O214" t="n">
        <v>1</v>
      </c>
      <c r="P214" t="n">
        <v>0</v>
      </c>
      <c r="Q214" t="n">
        <v>1</v>
      </c>
      <c r="R214" s="2" t="inlineStr">
        <is>
          <t>Mindre hackspett</t>
        </is>
      </c>
      <c r="S214">
        <f>HYPERLINK("https://klasma.github.io/Logging_2281/artfynd/A 17333-2021 artfynd.xlsx", "A 17333-2021")</f>
        <v/>
      </c>
      <c r="T214">
        <f>HYPERLINK("https://klasma.github.io/Logging_2281/kartor/A 17333-2021 karta.png", "A 17333-2021")</f>
        <v/>
      </c>
      <c r="V214">
        <f>HYPERLINK("https://klasma.github.io/Logging_2281/klagomål/A 17333-2021 FSC-klagomål.docx", "A 17333-2021")</f>
        <v/>
      </c>
      <c r="W214">
        <f>HYPERLINK("https://klasma.github.io/Logging_2281/klagomålsmail/A 17333-2021 FSC-klagomål mail.docx", "A 17333-2021")</f>
        <v/>
      </c>
      <c r="X214">
        <f>HYPERLINK("https://klasma.github.io/Logging_2281/tillsyn/A 17333-2021 tillsynsbegäran.docx", "A 17333-2021")</f>
        <v/>
      </c>
      <c r="Y214">
        <f>HYPERLINK("https://klasma.github.io/Logging_2281/tillsynsmail/A 17333-2021 tillsynsbegäran mail.docx", "A 17333-2021")</f>
        <v/>
      </c>
      <c r="Z214">
        <f>HYPERLINK("https://klasma.github.io/Logging_2281/fåglar/A 17333-2021 prioriterade fågelarter.docx", "A 17333-2021")</f>
        <v/>
      </c>
    </row>
    <row r="215" ht="15" customHeight="1">
      <c r="A215" t="inlineStr">
        <is>
          <t>A 17331-2021</t>
        </is>
      </c>
      <c r="B215" s="1" t="n">
        <v>44298</v>
      </c>
      <c r="C215" s="1" t="n">
        <v>45841</v>
      </c>
      <c r="D215" t="inlineStr">
        <is>
          <t>VÄSTERNORRLANDS LÄN</t>
        </is>
      </c>
      <c r="E215" t="inlineStr">
        <is>
          <t>SUNDSVALL</t>
        </is>
      </c>
      <c r="G215" t="n">
        <v>3.7</v>
      </c>
      <c r="H215" t="n">
        <v>0</v>
      </c>
      <c r="I215" t="n">
        <v>0</v>
      </c>
      <c r="J215" t="n">
        <v>1</v>
      </c>
      <c r="K215" t="n">
        <v>0</v>
      </c>
      <c r="L215" t="n">
        <v>0</v>
      </c>
      <c r="M215" t="n">
        <v>0</v>
      </c>
      <c r="N215" t="n">
        <v>0</v>
      </c>
      <c r="O215" t="n">
        <v>1</v>
      </c>
      <c r="P215" t="n">
        <v>0</v>
      </c>
      <c r="Q215" t="n">
        <v>1</v>
      </c>
      <c r="R215" s="2" t="inlineStr">
        <is>
          <t>Myskmåra</t>
        </is>
      </c>
      <c r="S215">
        <f>HYPERLINK("https://klasma.github.io/Logging_2281/artfynd/A 17331-2021 artfynd.xlsx", "A 17331-2021")</f>
        <v/>
      </c>
      <c r="T215">
        <f>HYPERLINK("https://klasma.github.io/Logging_2281/kartor/A 17331-2021 karta.png", "A 17331-2021")</f>
        <v/>
      </c>
      <c r="V215">
        <f>HYPERLINK("https://klasma.github.io/Logging_2281/klagomål/A 17331-2021 FSC-klagomål.docx", "A 17331-2021")</f>
        <v/>
      </c>
      <c r="W215">
        <f>HYPERLINK("https://klasma.github.io/Logging_2281/klagomålsmail/A 17331-2021 FSC-klagomål mail.docx", "A 17331-2021")</f>
        <v/>
      </c>
      <c r="X215">
        <f>HYPERLINK("https://klasma.github.io/Logging_2281/tillsyn/A 17331-2021 tillsynsbegäran.docx", "A 17331-2021")</f>
        <v/>
      </c>
      <c r="Y215">
        <f>HYPERLINK("https://klasma.github.io/Logging_2281/tillsynsmail/A 17331-2021 tillsynsbegäran mail.docx", "A 17331-2021")</f>
        <v/>
      </c>
    </row>
    <row r="216" ht="15" customHeight="1">
      <c r="A216" t="inlineStr">
        <is>
          <t>A 22395-2021</t>
        </is>
      </c>
      <c r="B216" s="1" t="n">
        <v>44326</v>
      </c>
      <c r="C216" s="1" t="n">
        <v>45841</v>
      </c>
      <c r="D216" t="inlineStr">
        <is>
          <t>VÄSTERNORRLANDS LÄN</t>
        </is>
      </c>
      <c r="E216" t="inlineStr">
        <is>
          <t>SUNDSVALL</t>
        </is>
      </c>
      <c r="G216" t="n">
        <v>8.6</v>
      </c>
      <c r="H216" t="n">
        <v>1</v>
      </c>
      <c r="I216" t="n">
        <v>0</v>
      </c>
      <c r="J216" t="n">
        <v>0</v>
      </c>
      <c r="K216" t="n">
        <v>0</v>
      </c>
      <c r="L216" t="n">
        <v>0</v>
      </c>
      <c r="M216" t="n">
        <v>0</v>
      </c>
      <c r="N216" t="n">
        <v>0</v>
      </c>
      <c r="O216" t="n">
        <v>0</v>
      </c>
      <c r="P216" t="n">
        <v>0</v>
      </c>
      <c r="Q216" t="n">
        <v>1</v>
      </c>
      <c r="R216" s="2" t="inlineStr">
        <is>
          <t>Gröngöling</t>
        </is>
      </c>
      <c r="S216">
        <f>HYPERLINK("https://klasma.github.io/Logging_2281/artfynd/A 22395-2021 artfynd.xlsx", "A 22395-2021")</f>
        <v/>
      </c>
      <c r="T216">
        <f>HYPERLINK("https://klasma.github.io/Logging_2281/kartor/A 22395-2021 karta.png", "A 22395-2021")</f>
        <v/>
      </c>
      <c r="V216">
        <f>HYPERLINK("https://klasma.github.io/Logging_2281/klagomål/A 22395-2021 FSC-klagomål.docx", "A 22395-2021")</f>
        <v/>
      </c>
      <c r="W216">
        <f>HYPERLINK("https://klasma.github.io/Logging_2281/klagomålsmail/A 22395-2021 FSC-klagomål mail.docx", "A 22395-2021")</f>
        <v/>
      </c>
      <c r="X216">
        <f>HYPERLINK("https://klasma.github.io/Logging_2281/tillsyn/A 22395-2021 tillsynsbegäran.docx", "A 22395-2021")</f>
        <v/>
      </c>
      <c r="Y216">
        <f>HYPERLINK("https://klasma.github.io/Logging_2281/tillsynsmail/A 22395-2021 tillsynsbegäran mail.docx", "A 22395-2021")</f>
        <v/>
      </c>
      <c r="Z216">
        <f>HYPERLINK("https://klasma.github.io/Logging_2281/fåglar/A 22395-2021 prioriterade fågelarter.docx", "A 22395-2021")</f>
        <v/>
      </c>
    </row>
    <row r="217" ht="15" customHeight="1">
      <c r="A217" t="inlineStr">
        <is>
          <t>A 22420-2021</t>
        </is>
      </c>
      <c r="B217" s="1" t="n">
        <v>44326</v>
      </c>
      <c r="C217" s="1" t="n">
        <v>45841</v>
      </c>
      <c r="D217" t="inlineStr">
        <is>
          <t>VÄSTERNORRLANDS LÄN</t>
        </is>
      </c>
      <c r="E217" t="inlineStr">
        <is>
          <t>SUNDSVALL</t>
        </is>
      </c>
      <c r="F217" t="inlineStr">
        <is>
          <t>Kyrkan</t>
        </is>
      </c>
      <c r="G217" t="n">
        <v>21.9</v>
      </c>
      <c r="H217" t="n">
        <v>1</v>
      </c>
      <c r="I217" t="n">
        <v>0</v>
      </c>
      <c r="J217" t="n">
        <v>1</v>
      </c>
      <c r="K217" t="n">
        <v>0</v>
      </c>
      <c r="L217" t="n">
        <v>0</v>
      </c>
      <c r="M217" t="n">
        <v>0</v>
      </c>
      <c r="N217" t="n">
        <v>0</v>
      </c>
      <c r="O217" t="n">
        <v>1</v>
      </c>
      <c r="P217" t="n">
        <v>0</v>
      </c>
      <c r="Q217" t="n">
        <v>1</v>
      </c>
      <c r="R217" s="2" t="inlineStr">
        <is>
          <t>Järpe</t>
        </is>
      </c>
      <c r="S217">
        <f>HYPERLINK("https://klasma.github.io/Logging_2281/artfynd/A 22420-2021 artfynd.xlsx", "A 22420-2021")</f>
        <v/>
      </c>
      <c r="T217">
        <f>HYPERLINK("https://klasma.github.io/Logging_2281/kartor/A 22420-2021 karta.png", "A 22420-2021")</f>
        <v/>
      </c>
      <c r="V217">
        <f>HYPERLINK("https://klasma.github.io/Logging_2281/klagomål/A 22420-2021 FSC-klagomål.docx", "A 22420-2021")</f>
        <v/>
      </c>
      <c r="W217">
        <f>HYPERLINK("https://klasma.github.io/Logging_2281/klagomålsmail/A 22420-2021 FSC-klagomål mail.docx", "A 22420-2021")</f>
        <v/>
      </c>
      <c r="X217">
        <f>HYPERLINK("https://klasma.github.io/Logging_2281/tillsyn/A 22420-2021 tillsynsbegäran.docx", "A 22420-2021")</f>
        <v/>
      </c>
      <c r="Y217">
        <f>HYPERLINK("https://klasma.github.io/Logging_2281/tillsynsmail/A 22420-2021 tillsynsbegäran mail.docx", "A 22420-2021")</f>
        <v/>
      </c>
      <c r="Z217">
        <f>HYPERLINK("https://klasma.github.io/Logging_2281/fåglar/A 22420-2021 prioriterade fågelarter.docx", "A 22420-2021")</f>
        <v/>
      </c>
    </row>
    <row r="218" ht="15" customHeight="1">
      <c r="A218" t="inlineStr">
        <is>
          <t>A 28332-2021</t>
        </is>
      </c>
      <c r="B218" s="1" t="n">
        <v>44356</v>
      </c>
      <c r="C218" s="1" t="n">
        <v>45841</v>
      </c>
      <c r="D218" t="inlineStr">
        <is>
          <t>VÄSTERNORRLANDS LÄN</t>
        </is>
      </c>
      <c r="E218" t="inlineStr">
        <is>
          <t>SUNDSVALL</t>
        </is>
      </c>
      <c r="G218" t="n">
        <v>11.8</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28332-2021 artfynd.xlsx", "A 28332-2021")</f>
        <v/>
      </c>
      <c r="T218">
        <f>HYPERLINK("https://klasma.github.io/Logging_2281/kartor/A 28332-2021 karta.png", "A 28332-2021")</f>
        <v/>
      </c>
      <c r="V218">
        <f>HYPERLINK("https://klasma.github.io/Logging_2281/klagomål/A 28332-2021 FSC-klagomål.docx", "A 28332-2021")</f>
        <v/>
      </c>
      <c r="W218">
        <f>HYPERLINK("https://klasma.github.io/Logging_2281/klagomålsmail/A 28332-2021 FSC-klagomål mail.docx", "A 28332-2021")</f>
        <v/>
      </c>
      <c r="X218">
        <f>HYPERLINK("https://klasma.github.io/Logging_2281/tillsyn/A 28332-2021 tillsynsbegäran.docx", "A 28332-2021")</f>
        <v/>
      </c>
      <c r="Y218">
        <f>HYPERLINK("https://klasma.github.io/Logging_2281/tillsynsmail/A 28332-2021 tillsynsbegäran mail.docx", "A 28332-2021")</f>
        <v/>
      </c>
    </row>
    <row r="219" ht="15" customHeight="1">
      <c r="A219" t="inlineStr">
        <is>
          <t>A 37057-2021</t>
        </is>
      </c>
      <c r="B219" s="1" t="n">
        <v>44394</v>
      </c>
      <c r="C219" s="1" t="n">
        <v>45841</v>
      </c>
      <c r="D219" t="inlineStr">
        <is>
          <t>VÄSTERNORRLANDS LÄN</t>
        </is>
      </c>
      <c r="E219" t="inlineStr">
        <is>
          <t>SUNDSVALL</t>
        </is>
      </c>
      <c r="F219" t="inlineStr">
        <is>
          <t>SCA</t>
        </is>
      </c>
      <c r="G219" t="n">
        <v>9.800000000000001</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37057-2021 artfynd.xlsx", "A 37057-2021")</f>
        <v/>
      </c>
      <c r="T219">
        <f>HYPERLINK("https://klasma.github.io/Logging_2281/kartor/A 37057-2021 karta.png", "A 37057-2021")</f>
        <v/>
      </c>
      <c r="V219">
        <f>HYPERLINK("https://klasma.github.io/Logging_2281/klagomål/A 37057-2021 FSC-klagomål.docx", "A 37057-2021")</f>
        <v/>
      </c>
      <c r="W219">
        <f>HYPERLINK("https://klasma.github.io/Logging_2281/klagomålsmail/A 37057-2021 FSC-klagomål mail.docx", "A 37057-2021")</f>
        <v/>
      </c>
      <c r="X219">
        <f>HYPERLINK("https://klasma.github.io/Logging_2281/tillsyn/A 37057-2021 tillsynsbegäran.docx", "A 37057-2021")</f>
        <v/>
      </c>
      <c r="Y219">
        <f>HYPERLINK("https://klasma.github.io/Logging_2281/tillsynsmail/A 37057-2021 tillsynsbegäran mail.docx", "A 37057-2021")</f>
        <v/>
      </c>
      <c r="Z219">
        <f>HYPERLINK("https://klasma.github.io/Logging_2281/fåglar/A 37057-2021 prioriterade fågelarter.docx", "A 37057-2021")</f>
        <v/>
      </c>
    </row>
    <row r="220" ht="15" customHeight="1">
      <c r="A220" t="inlineStr">
        <is>
          <t>A 37232-2021</t>
        </is>
      </c>
      <c r="B220" s="1" t="n">
        <v>44396</v>
      </c>
      <c r="C220" s="1" t="n">
        <v>45841</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37231-2021</t>
        </is>
      </c>
      <c r="B221" s="1" t="n">
        <v>44396</v>
      </c>
      <c r="C221" s="1" t="n">
        <v>45841</v>
      </c>
      <c r="D221" t="inlineStr">
        <is>
          <t>VÄSTERNORRLANDS LÄN</t>
        </is>
      </c>
      <c r="E221" t="inlineStr">
        <is>
          <t>SUNDSVALL</t>
        </is>
      </c>
      <c r="F221" t="inlineStr">
        <is>
          <t>SCA</t>
        </is>
      </c>
      <c r="G221" t="n">
        <v>7.3</v>
      </c>
      <c r="H221" t="n">
        <v>1</v>
      </c>
      <c r="I221" t="n">
        <v>0</v>
      </c>
      <c r="J221" t="n">
        <v>0</v>
      </c>
      <c r="K221" t="n">
        <v>0</v>
      </c>
      <c r="L221" t="n">
        <v>0</v>
      </c>
      <c r="M221" t="n">
        <v>0</v>
      </c>
      <c r="N221" t="n">
        <v>0</v>
      </c>
      <c r="O221" t="n">
        <v>0</v>
      </c>
      <c r="P221" t="n">
        <v>0</v>
      </c>
      <c r="Q221" t="n">
        <v>1</v>
      </c>
      <c r="R221" s="2" t="inlineStr">
        <is>
          <t>Orre</t>
        </is>
      </c>
      <c r="S221">
        <f>HYPERLINK("https://klasma.github.io/Logging_2281/artfynd/A 37231-2021 artfynd.xlsx", "A 37231-2021")</f>
        <v/>
      </c>
      <c r="T221">
        <f>HYPERLINK("https://klasma.github.io/Logging_2281/kartor/A 37231-2021 karta.png", "A 37231-2021")</f>
        <v/>
      </c>
      <c r="V221">
        <f>HYPERLINK("https://klasma.github.io/Logging_2281/klagomål/A 37231-2021 FSC-klagomål.docx", "A 37231-2021")</f>
        <v/>
      </c>
      <c r="W221">
        <f>HYPERLINK("https://klasma.github.io/Logging_2281/klagomålsmail/A 37231-2021 FSC-klagomål mail.docx", "A 37231-2021")</f>
        <v/>
      </c>
      <c r="X221">
        <f>HYPERLINK("https://klasma.github.io/Logging_2281/tillsyn/A 37231-2021 tillsynsbegäran.docx", "A 37231-2021")</f>
        <v/>
      </c>
      <c r="Y221">
        <f>HYPERLINK("https://klasma.github.io/Logging_2281/tillsynsmail/A 37231-2021 tillsynsbegäran mail.docx", "A 37231-2021")</f>
        <v/>
      </c>
      <c r="Z221">
        <f>HYPERLINK("https://klasma.github.io/Logging_2281/fåglar/A 37231-2021 prioriterade fågelarter.docx", "A 37231-2021")</f>
        <v/>
      </c>
    </row>
    <row r="222" ht="15" customHeight="1">
      <c r="A222" t="inlineStr">
        <is>
          <t>A 40123-2021</t>
        </is>
      </c>
      <c r="B222" s="1" t="n">
        <v>44418</v>
      </c>
      <c r="C222" s="1" t="n">
        <v>45841</v>
      </c>
      <c r="D222" t="inlineStr">
        <is>
          <t>VÄSTERNORRLANDS LÄN</t>
        </is>
      </c>
      <c r="E222" t="inlineStr">
        <is>
          <t>SUNDSVALL</t>
        </is>
      </c>
      <c r="G222" t="n">
        <v>12.2</v>
      </c>
      <c r="H222" t="n">
        <v>1</v>
      </c>
      <c r="I222" t="n">
        <v>0</v>
      </c>
      <c r="J222" t="n">
        <v>1</v>
      </c>
      <c r="K222" t="n">
        <v>0</v>
      </c>
      <c r="L222" t="n">
        <v>0</v>
      </c>
      <c r="M222" t="n">
        <v>0</v>
      </c>
      <c r="N222" t="n">
        <v>0</v>
      </c>
      <c r="O222" t="n">
        <v>1</v>
      </c>
      <c r="P222" t="n">
        <v>0</v>
      </c>
      <c r="Q222" t="n">
        <v>1</v>
      </c>
      <c r="R222" s="2" t="inlineStr">
        <is>
          <t>Skogsfru</t>
        </is>
      </c>
      <c r="S222">
        <f>HYPERLINK("https://klasma.github.io/Logging_2281/artfynd/A 40123-2021 artfynd.xlsx", "A 40123-2021")</f>
        <v/>
      </c>
      <c r="T222">
        <f>HYPERLINK("https://klasma.github.io/Logging_2281/kartor/A 40123-2021 karta.png", "A 40123-2021")</f>
        <v/>
      </c>
      <c r="V222">
        <f>HYPERLINK("https://klasma.github.io/Logging_2281/klagomål/A 40123-2021 FSC-klagomål.docx", "A 40123-2021")</f>
        <v/>
      </c>
      <c r="W222">
        <f>HYPERLINK("https://klasma.github.io/Logging_2281/klagomålsmail/A 40123-2021 FSC-klagomål mail.docx", "A 40123-2021")</f>
        <v/>
      </c>
      <c r="X222">
        <f>HYPERLINK("https://klasma.github.io/Logging_2281/tillsyn/A 40123-2021 tillsynsbegäran.docx", "A 40123-2021")</f>
        <v/>
      </c>
      <c r="Y222">
        <f>HYPERLINK("https://klasma.github.io/Logging_2281/tillsynsmail/A 40123-2021 tillsynsbegäran mail.docx", "A 40123-2021")</f>
        <v/>
      </c>
    </row>
    <row r="223" ht="15" customHeight="1">
      <c r="A223" t="inlineStr">
        <is>
          <t>A 56217-2021</t>
        </is>
      </c>
      <c r="B223" s="1" t="n">
        <v>44478</v>
      </c>
      <c r="C223" s="1" t="n">
        <v>45841</v>
      </c>
      <c r="D223" t="inlineStr">
        <is>
          <t>VÄSTERNORRLANDS LÄN</t>
        </is>
      </c>
      <c r="E223" t="inlineStr">
        <is>
          <t>SUNDSVALL</t>
        </is>
      </c>
      <c r="F223" t="inlineStr">
        <is>
          <t>SCA</t>
        </is>
      </c>
      <c r="G223" t="n">
        <v>4.5</v>
      </c>
      <c r="H223" t="n">
        <v>1</v>
      </c>
      <c r="I223" t="n">
        <v>0</v>
      </c>
      <c r="J223" t="n">
        <v>0</v>
      </c>
      <c r="K223" t="n">
        <v>0</v>
      </c>
      <c r="L223" t="n">
        <v>0</v>
      </c>
      <c r="M223" t="n">
        <v>0</v>
      </c>
      <c r="N223" t="n">
        <v>0</v>
      </c>
      <c r="O223" t="n">
        <v>0</v>
      </c>
      <c r="P223" t="n">
        <v>0</v>
      </c>
      <c r="Q223" t="n">
        <v>1</v>
      </c>
      <c r="R223" s="2" t="inlineStr">
        <is>
          <t>Tjäder</t>
        </is>
      </c>
      <c r="S223">
        <f>HYPERLINK("https://klasma.github.io/Logging_2281/artfynd/A 56217-2021 artfynd.xlsx", "A 56217-2021")</f>
        <v/>
      </c>
      <c r="T223">
        <f>HYPERLINK("https://klasma.github.io/Logging_2281/kartor/A 56217-2021 karta.png", "A 56217-2021")</f>
        <v/>
      </c>
      <c r="V223">
        <f>HYPERLINK("https://klasma.github.io/Logging_2281/klagomål/A 56217-2021 FSC-klagomål.docx", "A 56217-2021")</f>
        <v/>
      </c>
      <c r="W223">
        <f>HYPERLINK("https://klasma.github.io/Logging_2281/klagomålsmail/A 56217-2021 FSC-klagomål mail.docx", "A 56217-2021")</f>
        <v/>
      </c>
      <c r="X223">
        <f>HYPERLINK("https://klasma.github.io/Logging_2281/tillsyn/A 56217-2021 tillsynsbegäran.docx", "A 56217-2021")</f>
        <v/>
      </c>
      <c r="Y223">
        <f>HYPERLINK("https://klasma.github.io/Logging_2281/tillsynsmail/A 56217-2021 tillsynsbegäran mail.docx", "A 56217-2021")</f>
        <v/>
      </c>
      <c r="Z223">
        <f>HYPERLINK("https://klasma.github.io/Logging_2281/fåglar/A 56217-2021 prioriterade fågelarter.docx", "A 56217-2021")</f>
        <v/>
      </c>
    </row>
    <row r="224" ht="15" customHeight="1">
      <c r="A224" t="inlineStr">
        <is>
          <t>A 64922-2021</t>
        </is>
      </c>
      <c r="B224" s="1" t="n">
        <v>44512</v>
      </c>
      <c r="C224" s="1" t="n">
        <v>45841</v>
      </c>
      <c r="D224" t="inlineStr">
        <is>
          <t>VÄSTERNORRLANDS LÄN</t>
        </is>
      </c>
      <c r="E224" t="inlineStr">
        <is>
          <t>SUNDSVALL</t>
        </is>
      </c>
      <c r="F224" t="inlineStr">
        <is>
          <t>Kommuner</t>
        </is>
      </c>
      <c r="G224" t="n">
        <v>1.5</v>
      </c>
      <c r="H224" t="n">
        <v>1</v>
      </c>
      <c r="I224" t="n">
        <v>0</v>
      </c>
      <c r="J224" t="n">
        <v>0</v>
      </c>
      <c r="K224" t="n">
        <v>0</v>
      </c>
      <c r="L224" t="n">
        <v>0</v>
      </c>
      <c r="M224" t="n">
        <v>0</v>
      </c>
      <c r="N224" t="n">
        <v>0</v>
      </c>
      <c r="O224" t="n">
        <v>0</v>
      </c>
      <c r="P224" t="n">
        <v>0</v>
      </c>
      <c r="Q224" t="n">
        <v>1</v>
      </c>
      <c r="R224" s="2" t="inlineStr">
        <is>
          <t>Näktergal</t>
        </is>
      </c>
      <c r="S224">
        <f>HYPERLINK("https://klasma.github.io/Logging_2281/artfynd/A 64922-2021 artfynd.xlsx", "A 64922-2021")</f>
        <v/>
      </c>
      <c r="T224">
        <f>HYPERLINK("https://klasma.github.io/Logging_2281/kartor/A 64922-2021 karta.png", "A 64922-2021")</f>
        <v/>
      </c>
      <c r="V224">
        <f>HYPERLINK("https://klasma.github.io/Logging_2281/klagomål/A 64922-2021 FSC-klagomål.docx", "A 64922-2021")</f>
        <v/>
      </c>
      <c r="W224">
        <f>HYPERLINK("https://klasma.github.io/Logging_2281/klagomålsmail/A 64922-2021 FSC-klagomål mail.docx", "A 64922-2021")</f>
        <v/>
      </c>
      <c r="X224">
        <f>HYPERLINK("https://klasma.github.io/Logging_2281/tillsyn/A 64922-2021 tillsynsbegäran.docx", "A 64922-2021")</f>
        <v/>
      </c>
      <c r="Y224">
        <f>HYPERLINK("https://klasma.github.io/Logging_2281/tillsynsmail/A 64922-2021 tillsynsbegäran mail.docx", "A 64922-2021")</f>
        <v/>
      </c>
      <c r="Z224">
        <f>HYPERLINK("https://klasma.github.io/Logging_2281/fåglar/A 64922-2021 prioriterade fågelarter.docx", "A 64922-2021")</f>
        <v/>
      </c>
    </row>
    <row r="225" ht="15" customHeight="1">
      <c r="A225" t="inlineStr">
        <is>
          <t>A 3008-2022</t>
        </is>
      </c>
      <c r="B225" s="1" t="n">
        <v>44581</v>
      </c>
      <c r="C225" s="1" t="n">
        <v>45841</v>
      </c>
      <c r="D225" t="inlineStr">
        <is>
          <t>VÄSTERNORRLANDS LÄN</t>
        </is>
      </c>
      <c r="E225" t="inlineStr">
        <is>
          <t>SUNDSVALL</t>
        </is>
      </c>
      <c r="G225" t="n">
        <v>1</v>
      </c>
      <c r="H225" t="n">
        <v>0</v>
      </c>
      <c r="I225" t="n">
        <v>0</v>
      </c>
      <c r="J225" t="n">
        <v>1</v>
      </c>
      <c r="K225" t="n">
        <v>0</v>
      </c>
      <c r="L225" t="n">
        <v>0</v>
      </c>
      <c r="M225" t="n">
        <v>0</v>
      </c>
      <c r="N225" t="n">
        <v>0</v>
      </c>
      <c r="O225" t="n">
        <v>1</v>
      </c>
      <c r="P225" t="n">
        <v>0</v>
      </c>
      <c r="Q225" t="n">
        <v>1</v>
      </c>
      <c r="R225" s="2" t="inlineStr">
        <is>
          <t>Fjällhumla</t>
        </is>
      </c>
      <c r="S225">
        <f>HYPERLINK("https://klasma.github.io/Logging_2281/artfynd/A 3008-2022 artfynd.xlsx", "A 3008-2022")</f>
        <v/>
      </c>
      <c r="T225">
        <f>HYPERLINK("https://klasma.github.io/Logging_2281/kartor/A 3008-2022 karta.png", "A 3008-2022")</f>
        <v/>
      </c>
      <c r="V225">
        <f>HYPERLINK("https://klasma.github.io/Logging_2281/klagomål/A 3008-2022 FSC-klagomål.docx", "A 3008-2022")</f>
        <v/>
      </c>
      <c r="W225">
        <f>HYPERLINK("https://klasma.github.io/Logging_2281/klagomålsmail/A 3008-2022 FSC-klagomål mail.docx", "A 3008-2022")</f>
        <v/>
      </c>
      <c r="X225">
        <f>HYPERLINK("https://klasma.github.io/Logging_2281/tillsyn/A 3008-2022 tillsynsbegäran.docx", "A 3008-2022")</f>
        <v/>
      </c>
      <c r="Y225">
        <f>HYPERLINK("https://klasma.github.io/Logging_2281/tillsynsmail/A 3008-2022 tillsynsbegäran mail.docx", "A 3008-2022")</f>
        <v/>
      </c>
    </row>
    <row r="226" ht="15" customHeight="1">
      <c r="A226" t="inlineStr">
        <is>
          <t>A 9200-2022</t>
        </is>
      </c>
      <c r="B226" s="1" t="n">
        <v>44615</v>
      </c>
      <c r="C226" s="1" t="n">
        <v>45841</v>
      </c>
      <c r="D226" t="inlineStr">
        <is>
          <t>VÄSTERNORRLANDS LÄN</t>
        </is>
      </c>
      <c r="E226" t="inlineStr">
        <is>
          <t>SUNDSVALL</t>
        </is>
      </c>
      <c r="G226" t="n">
        <v>17.6</v>
      </c>
      <c r="H226" t="n">
        <v>0</v>
      </c>
      <c r="I226" t="n">
        <v>0</v>
      </c>
      <c r="J226" t="n">
        <v>1</v>
      </c>
      <c r="K226" t="n">
        <v>0</v>
      </c>
      <c r="L226" t="n">
        <v>0</v>
      </c>
      <c r="M226" t="n">
        <v>0</v>
      </c>
      <c r="N226" t="n">
        <v>0</v>
      </c>
      <c r="O226" t="n">
        <v>1</v>
      </c>
      <c r="P226" t="n">
        <v>0</v>
      </c>
      <c r="Q226" t="n">
        <v>1</v>
      </c>
      <c r="R226" s="2" t="inlineStr">
        <is>
          <t>Blå taggsvamp</t>
        </is>
      </c>
      <c r="S226">
        <f>HYPERLINK("https://klasma.github.io/Logging_2281/artfynd/A 9200-2022 artfynd.xlsx", "A 9200-2022")</f>
        <v/>
      </c>
      <c r="T226">
        <f>HYPERLINK("https://klasma.github.io/Logging_2281/kartor/A 9200-2022 karta.png", "A 9200-2022")</f>
        <v/>
      </c>
      <c r="V226">
        <f>HYPERLINK("https://klasma.github.io/Logging_2281/klagomål/A 9200-2022 FSC-klagomål.docx", "A 9200-2022")</f>
        <v/>
      </c>
      <c r="W226">
        <f>HYPERLINK("https://klasma.github.io/Logging_2281/klagomålsmail/A 9200-2022 FSC-klagomål mail.docx", "A 9200-2022")</f>
        <v/>
      </c>
      <c r="X226">
        <f>HYPERLINK("https://klasma.github.io/Logging_2281/tillsyn/A 9200-2022 tillsynsbegäran.docx", "A 9200-2022")</f>
        <v/>
      </c>
      <c r="Y226">
        <f>HYPERLINK("https://klasma.github.io/Logging_2281/tillsynsmail/A 9200-2022 tillsynsbegäran mail.docx", "A 9200-2022")</f>
        <v/>
      </c>
    </row>
    <row r="227" ht="15" customHeight="1">
      <c r="A227" t="inlineStr">
        <is>
          <t>A 14014-2022</t>
        </is>
      </c>
      <c r="B227" s="1" t="n">
        <v>44650</v>
      </c>
      <c r="C227" s="1" t="n">
        <v>45841</v>
      </c>
      <c r="D227" t="inlineStr">
        <is>
          <t>VÄSTERNORRLANDS LÄN</t>
        </is>
      </c>
      <c r="E227" t="inlineStr">
        <is>
          <t>SUNDSVALL</t>
        </is>
      </c>
      <c r="G227" t="n">
        <v>1.7</v>
      </c>
      <c r="H227" t="n">
        <v>0</v>
      </c>
      <c r="I227" t="n">
        <v>1</v>
      </c>
      <c r="J227" t="n">
        <v>0</v>
      </c>
      <c r="K227" t="n">
        <v>0</v>
      </c>
      <c r="L227" t="n">
        <v>0</v>
      </c>
      <c r="M227" t="n">
        <v>0</v>
      </c>
      <c r="N227" t="n">
        <v>0</v>
      </c>
      <c r="O227" t="n">
        <v>0</v>
      </c>
      <c r="P227" t="n">
        <v>0</v>
      </c>
      <c r="Q227" t="n">
        <v>1</v>
      </c>
      <c r="R227" s="2" t="inlineStr">
        <is>
          <t>Stor aspticka</t>
        </is>
      </c>
      <c r="S227">
        <f>HYPERLINK("https://klasma.github.io/Logging_2281/artfynd/A 14014-2022 artfynd.xlsx", "A 14014-2022")</f>
        <v/>
      </c>
      <c r="T227">
        <f>HYPERLINK("https://klasma.github.io/Logging_2281/kartor/A 14014-2022 karta.png", "A 14014-2022")</f>
        <v/>
      </c>
      <c r="V227">
        <f>HYPERLINK("https://klasma.github.io/Logging_2281/klagomål/A 14014-2022 FSC-klagomål.docx", "A 14014-2022")</f>
        <v/>
      </c>
      <c r="W227">
        <f>HYPERLINK("https://klasma.github.io/Logging_2281/klagomålsmail/A 14014-2022 FSC-klagomål mail.docx", "A 14014-2022")</f>
        <v/>
      </c>
      <c r="X227">
        <f>HYPERLINK("https://klasma.github.io/Logging_2281/tillsyn/A 14014-2022 tillsynsbegäran.docx", "A 14014-2022")</f>
        <v/>
      </c>
      <c r="Y227">
        <f>HYPERLINK("https://klasma.github.io/Logging_2281/tillsynsmail/A 14014-2022 tillsynsbegäran mail.docx", "A 14014-2022")</f>
        <v/>
      </c>
    </row>
    <row r="228" ht="15" customHeight="1">
      <c r="A228" t="inlineStr">
        <is>
          <t>A 14676-2022</t>
        </is>
      </c>
      <c r="B228" s="1" t="n">
        <v>44655</v>
      </c>
      <c r="C228" s="1" t="n">
        <v>45841</v>
      </c>
      <c r="D228" t="inlineStr">
        <is>
          <t>VÄSTERNORRLANDS LÄN</t>
        </is>
      </c>
      <c r="E228" t="inlineStr">
        <is>
          <t>SUNDSVALL</t>
        </is>
      </c>
      <c r="G228" t="n">
        <v>10.1</v>
      </c>
      <c r="H228" t="n">
        <v>0</v>
      </c>
      <c r="I228" t="n">
        <v>0</v>
      </c>
      <c r="J228" t="n">
        <v>1</v>
      </c>
      <c r="K228" t="n">
        <v>0</v>
      </c>
      <c r="L228" t="n">
        <v>0</v>
      </c>
      <c r="M228" t="n">
        <v>0</v>
      </c>
      <c r="N228" t="n">
        <v>0</v>
      </c>
      <c r="O228" t="n">
        <v>1</v>
      </c>
      <c r="P228" t="n">
        <v>0</v>
      </c>
      <c r="Q228" t="n">
        <v>1</v>
      </c>
      <c r="R228" s="2" t="inlineStr">
        <is>
          <t>Granticka</t>
        </is>
      </c>
      <c r="S228">
        <f>HYPERLINK("https://klasma.github.io/Logging_2281/artfynd/A 14676-2022 artfynd.xlsx", "A 14676-2022")</f>
        <v/>
      </c>
      <c r="T228">
        <f>HYPERLINK("https://klasma.github.io/Logging_2281/kartor/A 14676-2022 karta.png", "A 14676-2022")</f>
        <v/>
      </c>
      <c r="V228">
        <f>HYPERLINK("https://klasma.github.io/Logging_2281/klagomål/A 14676-2022 FSC-klagomål.docx", "A 14676-2022")</f>
        <v/>
      </c>
      <c r="W228">
        <f>HYPERLINK("https://klasma.github.io/Logging_2281/klagomålsmail/A 14676-2022 FSC-klagomål mail.docx", "A 14676-2022")</f>
        <v/>
      </c>
      <c r="X228">
        <f>HYPERLINK("https://klasma.github.io/Logging_2281/tillsyn/A 14676-2022 tillsynsbegäran.docx", "A 14676-2022")</f>
        <v/>
      </c>
      <c r="Y228">
        <f>HYPERLINK("https://klasma.github.io/Logging_2281/tillsynsmail/A 14676-2022 tillsynsbegäran mail.docx", "A 14676-2022")</f>
        <v/>
      </c>
    </row>
    <row r="229" ht="15" customHeight="1">
      <c r="A229" t="inlineStr">
        <is>
          <t>A 19305-2022</t>
        </is>
      </c>
      <c r="B229" s="1" t="n">
        <v>44692</v>
      </c>
      <c r="C229" s="1" t="n">
        <v>45841</v>
      </c>
      <c r="D229" t="inlineStr">
        <is>
          <t>VÄSTERNORRLANDS LÄN</t>
        </is>
      </c>
      <c r="E229" t="inlineStr">
        <is>
          <t>SUNDSVALL</t>
        </is>
      </c>
      <c r="G229" t="n">
        <v>4.1</v>
      </c>
      <c r="H229" t="n">
        <v>0</v>
      </c>
      <c r="I229" t="n">
        <v>0</v>
      </c>
      <c r="J229" t="n">
        <v>1</v>
      </c>
      <c r="K229" t="n">
        <v>0</v>
      </c>
      <c r="L229" t="n">
        <v>0</v>
      </c>
      <c r="M229" t="n">
        <v>0</v>
      </c>
      <c r="N229" t="n">
        <v>0</v>
      </c>
      <c r="O229" t="n">
        <v>1</v>
      </c>
      <c r="P229" t="n">
        <v>0</v>
      </c>
      <c r="Q229" t="n">
        <v>1</v>
      </c>
      <c r="R229" s="2" t="inlineStr">
        <is>
          <t>Månlåsbräken</t>
        </is>
      </c>
      <c r="S229">
        <f>HYPERLINK("https://klasma.github.io/Logging_2281/artfynd/A 19305-2022 artfynd.xlsx", "A 19305-2022")</f>
        <v/>
      </c>
      <c r="T229">
        <f>HYPERLINK("https://klasma.github.io/Logging_2281/kartor/A 19305-2022 karta.png", "A 19305-2022")</f>
        <v/>
      </c>
      <c r="V229">
        <f>HYPERLINK("https://klasma.github.io/Logging_2281/klagomål/A 19305-2022 FSC-klagomål.docx", "A 19305-2022")</f>
        <v/>
      </c>
      <c r="W229">
        <f>HYPERLINK("https://klasma.github.io/Logging_2281/klagomålsmail/A 19305-2022 FSC-klagomål mail.docx", "A 19305-2022")</f>
        <v/>
      </c>
      <c r="X229">
        <f>HYPERLINK("https://klasma.github.io/Logging_2281/tillsyn/A 19305-2022 tillsynsbegäran.docx", "A 19305-2022")</f>
        <v/>
      </c>
      <c r="Y229">
        <f>HYPERLINK("https://klasma.github.io/Logging_2281/tillsynsmail/A 19305-2022 tillsynsbegäran mail.docx", "A 19305-2022")</f>
        <v/>
      </c>
    </row>
    <row r="230" ht="15" customHeight="1">
      <c r="A230" t="inlineStr">
        <is>
          <t>A 22556-2022</t>
        </is>
      </c>
      <c r="B230" s="1" t="n">
        <v>44714</v>
      </c>
      <c r="C230" s="1" t="n">
        <v>45841</v>
      </c>
      <c r="D230" t="inlineStr">
        <is>
          <t>VÄSTERNORRLANDS LÄN</t>
        </is>
      </c>
      <c r="E230" t="inlineStr">
        <is>
          <t>SUNDSVALL</t>
        </is>
      </c>
      <c r="F230" t="inlineStr">
        <is>
          <t>SCA</t>
        </is>
      </c>
      <c r="G230" t="n">
        <v>1.9</v>
      </c>
      <c r="H230" t="n">
        <v>0</v>
      </c>
      <c r="I230" t="n">
        <v>0</v>
      </c>
      <c r="J230" t="n">
        <v>1</v>
      </c>
      <c r="K230" t="n">
        <v>0</v>
      </c>
      <c r="L230" t="n">
        <v>0</v>
      </c>
      <c r="M230" t="n">
        <v>0</v>
      </c>
      <c r="N230" t="n">
        <v>0</v>
      </c>
      <c r="O230" t="n">
        <v>1</v>
      </c>
      <c r="P230" t="n">
        <v>0</v>
      </c>
      <c r="Q230" t="n">
        <v>1</v>
      </c>
      <c r="R230" s="2" t="inlineStr">
        <is>
          <t>Garnlav</t>
        </is>
      </c>
      <c r="S230">
        <f>HYPERLINK("https://klasma.github.io/Logging_2281/artfynd/A 22556-2022 artfynd.xlsx", "A 22556-2022")</f>
        <v/>
      </c>
      <c r="T230">
        <f>HYPERLINK("https://klasma.github.io/Logging_2281/kartor/A 22556-2022 karta.png", "A 22556-2022")</f>
        <v/>
      </c>
      <c r="V230">
        <f>HYPERLINK("https://klasma.github.io/Logging_2281/klagomål/A 22556-2022 FSC-klagomål.docx", "A 22556-2022")</f>
        <v/>
      </c>
      <c r="W230">
        <f>HYPERLINK("https://klasma.github.io/Logging_2281/klagomålsmail/A 22556-2022 FSC-klagomål mail.docx", "A 22556-2022")</f>
        <v/>
      </c>
      <c r="X230">
        <f>HYPERLINK("https://klasma.github.io/Logging_2281/tillsyn/A 22556-2022 tillsynsbegäran.docx", "A 22556-2022")</f>
        <v/>
      </c>
      <c r="Y230">
        <f>HYPERLINK("https://klasma.github.io/Logging_2281/tillsynsmail/A 22556-2022 tillsynsbegäran mail.docx", "A 22556-2022")</f>
        <v/>
      </c>
    </row>
    <row r="231" ht="15" customHeight="1">
      <c r="A231" t="inlineStr">
        <is>
          <t>A 23711-2022</t>
        </is>
      </c>
      <c r="B231" s="1" t="n">
        <v>44722</v>
      </c>
      <c r="C231" s="1" t="n">
        <v>45841</v>
      </c>
      <c r="D231" t="inlineStr">
        <is>
          <t>VÄSTERNORRLANDS LÄN</t>
        </is>
      </c>
      <c r="E231" t="inlineStr">
        <is>
          <t>SUNDSVALL</t>
        </is>
      </c>
      <c r="F231" t="inlineStr">
        <is>
          <t>Holmen skog AB</t>
        </is>
      </c>
      <c r="G231" t="n">
        <v>2.8</v>
      </c>
      <c r="H231" t="n">
        <v>0</v>
      </c>
      <c r="I231" t="n">
        <v>0</v>
      </c>
      <c r="J231" t="n">
        <v>1</v>
      </c>
      <c r="K231" t="n">
        <v>0</v>
      </c>
      <c r="L231" t="n">
        <v>0</v>
      </c>
      <c r="M231" t="n">
        <v>0</v>
      </c>
      <c r="N231" t="n">
        <v>0</v>
      </c>
      <c r="O231" t="n">
        <v>1</v>
      </c>
      <c r="P231" t="n">
        <v>0</v>
      </c>
      <c r="Q231" t="n">
        <v>1</v>
      </c>
      <c r="R231" s="2" t="inlineStr">
        <is>
          <t>Garnlav</t>
        </is>
      </c>
      <c r="S231">
        <f>HYPERLINK("https://klasma.github.io/Logging_2281/artfynd/A 23711-2022 artfynd.xlsx", "A 23711-2022")</f>
        <v/>
      </c>
      <c r="T231">
        <f>HYPERLINK("https://klasma.github.io/Logging_2281/kartor/A 23711-2022 karta.png", "A 23711-2022")</f>
        <v/>
      </c>
      <c r="V231">
        <f>HYPERLINK("https://klasma.github.io/Logging_2281/klagomål/A 23711-2022 FSC-klagomål.docx", "A 23711-2022")</f>
        <v/>
      </c>
      <c r="W231">
        <f>HYPERLINK("https://klasma.github.io/Logging_2281/klagomålsmail/A 23711-2022 FSC-klagomål mail.docx", "A 23711-2022")</f>
        <v/>
      </c>
      <c r="X231">
        <f>HYPERLINK("https://klasma.github.io/Logging_2281/tillsyn/A 23711-2022 tillsynsbegäran.docx", "A 23711-2022")</f>
        <v/>
      </c>
      <c r="Y231">
        <f>HYPERLINK("https://klasma.github.io/Logging_2281/tillsynsmail/A 23711-2022 tillsynsbegäran mail.docx", "A 23711-2022")</f>
        <v/>
      </c>
    </row>
    <row r="232" ht="15" customHeight="1">
      <c r="A232" t="inlineStr">
        <is>
          <t>A 25250-2022</t>
        </is>
      </c>
      <c r="B232" s="1" t="n">
        <v>44729</v>
      </c>
      <c r="C232" s="1" t="n">
        <v>45841</v>
      </c>
      <c r="D232" t="inlineStr">
        <is>
          <t>VÄSTERNORRLANDS LÄN</t>
        </is>
      </c>
      <c r="E232" t="inlineStr">
        <is>
          <t>SUNDSVALL</t>
        </is>
      </c>
      <c r="F232" t="inlineStr">
        <is>
          <t>SCA</t>
        </is>
      </c>
      <c r="G232" t="n">
        <v>2.6</v>
      </c>
      <c r="H232" t="n">
        <v>0</v>
      </c>
      <c r="I232" t="n">
        <v>1</v>
      </c>
      <c r="J232" t="n">
        <v>0</v>
      </c>
      <c r="K232" t="n">
        <v>0</v>
      </c>
      <c r="L232" t="n">
        <v>0</v>
      </c>
      <c r="M232" t="n">
        <v>0</v>
      </c>
      <c r="N232" t="n">
        <v>0</v>
      </c>
      <c r="O232" t="n">
        <v>0</v>
      </c>
      <c r="P232" t="n">
        <v>0</v>
      </c>
      <c r="Q232" t="n">
        <v>1</v>
      </c>
      <c r="R232" s="2" t="inlineStr">
        <is>
          <t>Stor aspticka</t>
        </is>
      </c>
      <c r="S232">
        <f>HYPERLINK("https://klasma.github.io/Logging_2281/artfynd/A 25250-2022 artfynd.xlsx", "A 25250-2022")</f>
        <v/>
      </c>
      <c r="T232">
        <f>HYPERLINK("https://klasma.github.io/Logging_2281/kartor/A 25250-2022 karta.png", "A 25250-2022")</f>
        <v/>
      </c>
      <c r="V232">
        <f>HYPERLINK("https://klasma.github.io/Logging_2281/klagomål/A 25250-2022 FSC-klagomål.docx", "A 25250-2022")</f>
        <v/>
      </c>
      <c r="W232">
        <f>HYPERLINK("https://klasma.github.io/Logging_2281/klagomålsmail/A 25250-2022 FSC-klagomål mail.docx", "A 25250-2022")</f>
        <v/>
      </c>
      <c r="X232">
        <f>HYPERLINK("https://klasma.github.io/Logging_2281/tillsyn/A 25250-2022 tillsynsbegäran.docx", "A 25250-2022")</f>
        <v/>
      </c>
      <c r="Y232">
        <f>HYPERLINK("https://klasma.github.io/Logging_2281/tillsynsmail/A 25250-2022 tillsynsbegäran mail.docx", "A 25250-2022")</f>
        <v/>
      </c>
    </row>
    <row r="233" ht="15" customHeight="1">
      <c r="A233" t="inlineStr">
        <is>
          <t>A 28728-2022</t>
        </is>
      </c>
      <c r="B233" s="1" t="n">
        <v>44749</v>
      </c>
      <c r="C233" s="1" t="n">
        <v>45841</v>
      </c>
      <c r="D233" t="inlineStr">
        <is>
          <t>VÄSTERNORRLANDS LÄN</t>
        </is>
      </c>
      <c r="E233" t="inlineStr">
        <is>
          <t>SUNDSVALL</t>
        </is>
      </c>
      <c r="F233" t="inlineStr">
        <is>
          <t>SCA</t>
        </is>
      </c>
      <c r="G233" t="n">
        <v>3.4</v>
      </c>
      <c r="H233" t="n">
        <v>0</v>
      </c>
      <c r="I233" t="n">
        <v>0</v>
      </c>
      <c r="J233" t="n">
        <v>1</v>
      </c>
      <c r="K233" t="n">
        <v>0</v>
      </c>
      <c r="L233" t="n">
        <v>0</v>
      </c>
      <c r="M233" t="n">
        <v>0</v>
      </c>
      <c r="N233" t="n">
        <v>0</v>
      </c>
      <c r="O233" t="n">
        <v>1</v>
      </c>
      <c r="P233" t="n">
        <v>0</v>
      </c>
      <c r="Q233" t="n">
        <v>1</v>
      </c>
      <c r="R233" s="2" t="inlineStr">
        <is>
          <t>Garnlav</t>
        </is>
      </c>
      <c r="S233">
        <f>HYPERLINK("https://klasma.github.io/Logging_2281/artfynd/A 28728-2022 artfynd.xlsx", "A 28728-2022")</f>
        <v/>
      </c>
      <c r="T233">
        <f>HYPERLINK("https://klasma.github.io/Logging_2281/kartor/A 28728-2022 karta.png", "A 28728-2022")</f>
        <v/>
      </c>
      <c r="V233">
        <f>HYPERLINK("https://klasma.github.io/Logging_2281/klagomål/A 28728-2022 FSC-klagomål.docx", "A 28728-2022")</f>
        <v/>
      </c>
      <c r="W233">
        <f>HYPERLINK("https://klasma.github.io/Logging_2281/klagomålsmail/A 28728-2022 FSC-klagomål mail.docx", "A 28728-2022")</f>
        <v/>
      </c>
      <c r="X233">
        <f>HYPERLINK("https://klasma.github.io/Logging_2281/tillsyn/A 28728-2022 tillsynsbegäran.docx", "A 28728-2022")</f>
        <v/>
      </c>
      <c r="Y233">
        <f>HYPERLINK("https://klasma.github.io/Logging_2281/tillsynsmail/A 28728-2022 tillsynsbegäran mail.docx", "A 28728-2022")</f>
        <v/>
      </c>
    </row>
    <row r="234" ht="15" customHeight="1">
      <c r="A234" t="inlineStr">
        <is>
          <t>A 30933-2022</t>
        </is>
      </c>
      <c r="B234" s="1" t="n">
        <v>44768</v>
      </c>
      <c r="C234" s="1" t="n">
        <v>45841</v>
      </c>
      <c r="D234" t="inlineStr">
        <is>
          <t>VÄSTERNORRLANDS LÄN</t>
        </is>
      </c>
      <c r="E234" t="inlineStr">
        <is>
          <t>SUNDSVALL</t>
        </is>
      </c>
      <c r="F234" t="inlineStr">
        <is>
          <t>SCA</t>
        </is>
      </c>
      <c r="G234" t="n">
        <v>1.9</v>
      </c>
      <c r="H234" t="n">
        <v>1</v>
      </c>
      <c r="I234" t="n">
        <v>0</v>
      </c>
      <c r="J234" t="n">
        <v>1</v>
      </c>
      <c r="K234" t="n">
        <v>0</v>
      </c>
      <c r="L234" t="n">
        <v>0</v>
      </c>
      <c r="M234" t="n">
        <v>0</v>
      </c>
      <c r="N234" t="n">
        <v>0</v>
      </c>
      <c r="O234" t="n">
        <v>1</v>
      </c>
      <c r="P234" t="n">
        <v>0</v>
      </c>
      <c r="Q234" t="n">
        <v>1</v>
      </c>
      <c r="R234" s="2" t="inlineStr">
        <is>
          <t>Björktrast</t>
        </is>
      </c>
      <c r="S234">
        <f>HYPERLINK("https://klasma.github.io/Logging_2281/artfynd/A 30933-2022 artfynd.xlsx", "A 30933-2022")</f>
        <v/>
      </c>
      <c r="T234">
        <f>HYPERLINK("https://klasma.github.io/Logging_2281/kartor/A 30933-2022 karta.png", "A 30933-2022")</f>
        <v/>
      </c>
      <c r="V234">
        <f>HYPERLINK("https://klasma.github.io/Logging_2281/klagomål/A 30933-2022 FSC-klagomål.docx", "A 30933-2022")</f>
        <v/>
      </c>
      <c r="W234">
        <f>HYPERLINK("https://klasma.github.io/Logging_2281/klagomålsmail/A 30933-2022 FSC-klagomål mail.docx", "A 30933-2022")</f>
        <v/>
      </c>
      <c r="X234">
        <f>HYPERLINK("https://klasma.github.io/Logging_2281/tillsyn/A 30933-2022 tillsynsbegäran.docx", "A 30933-2022")</f>
        <v/>
      </c>
      <c r="Y234">
        <f>HYPERLINK("https://klasma.github.io/Logging_2281/tillsynsmail/A 30933-2022 tillsynsbegäran mail.docx", "A 30933-2022")</f>
        <v/>
      </c>
      <c r="Z234">
        <f>HYPERLINK("https://klasma.github.io/Logging_2281/fåglar/A 30933-2022 prioriterade fågelarter.docx", "A 30933-2022")</f>
        <v/>
      </c>
    </row>
    <row r="235" ht="15" customHeight="1">
      <c r="A235" t="inlineStr">
        <is>
          <t>A 47662-2022</t>
        </is>
      </c>
      <c r="B235" s="1" t="n">
        <v>44854</v>
      </c>
      <c r="C235" s="1" t="n">
        <v>45841</v>
      </c>
      <c r="D235" t="inlineStr">
        <is>
          <t>VÄSTERNORRLANDS LÄN</t>
        </is>
      </c>
      <c r="E235" t="inlineStr">
        <is>
          <t>SUNDSVALL</t>
        </is>
      </c>
      <c r="G235" t="n">
        <v>4.7</v>
      </c>
      <c r="H235" t="n">
        <v>1</v>
      </c>
      <c r="I235" t="n">
        <v>0</v>
      </c>
      <c r="J235" t="n">
        <v>0</v>
      </c>
      <c r="K235" t="n">
        <v>0</v>
      </c>
      <c r="L235" t="n">
        <v>0</v>
      </c>
      <c r="M235" t="n">
        <v>0</v>
      </c>
      <c r="N235" t="n">
        <v>0</v>
      </c>
      <c r="O235" t="n">
        <v>0</v>
      </c>
      <c r="P235" t="n">
        <v>0</v>
      </c>
      <c r="Q235" t="n">
        <v>1</v>
      </c>
      <c r="R235" s="2" t="inlineStr">
        <is>
          <t>Skogsödla</t>
        </is>
      </c>
      <c r="S235">
        <f>HYPERLINK("https://klasma.github.io/Logging_2281/artfynd/A 47662-2022 artfynd.xlsx", "A 47662-2022")</f>
        <v/>
      </c>
      <c r="T235">
        <f>HYPERLINK("https://klasma.github.io/Logging_2281/kartor/A 47662-2022 karta.png", "A 47662-2022")</f>
        <v/>
      </c>
      <c r="V235">
        <f>HYPERLINK("https://klasma.github.io/Logging_2281/klagomål/A 47662-2022 FSC-klagomål.docx", "A 47662-2022")</f>
        <v/>
      </c>
      <c r="W235">
        <f>HYPERLINK("https://klasma.github.io/Logging_2281/klagomålsmail/A 47662-2022 FSC-klagomål mail.docx", "A 47662-2022")</f>
        <v/>
      </c>
      <c r="X235">
        <f>HYPERLINK("https://klasma.github.io/Logging_2281/tillsyn/A 47662-2022 tillsynsbegäran.docx", "A 47662-2022")</f>
        <v/>
      </c>
      <c r="Y235">
        <f>HYPERLINK("https://klasma.github.io/Logging_2281/tillsynsmail/A 47662-2022 tillsynsbegäran mail.docx", "A 47662-2022")</f>
        <v/>
      </c>
    </row>
    <row r="236" ht="15" customHeight="1">
      <c r="A236" t="inlineStr">
        <is>
          <t>A 47807-2022</t>
        </is>
      </c>
      <c r="B236" s="1" t="n">
        <v>44854</v>
      </c>
      <c r="C236" s="1" t="n">
        <v>45841</v>
      </c>
      <c r="D236" t="inlineStr">
        <is>
          <t>VÄSTERNORRLANDS LÄN</t>
        </is>
      </c>
      <c r="E236" t="inlineStr">
        <is>
          <t>SUNDSVALL</t>
        </is>
      </c>
      <c r="F236" t="inlineStr">
        <is>
          <t>SCA</t>
        </is>
      </c>
      <c r="G236" t="n">
        <v>9.9</v>
      </c>
      <c r="H236" t="n">
        <v>0</v>
      </c>
      <c r="I236" t="n">
        <v>0</v>
      </c>
      <c r="J236" t="n">
        <v>1</v>
      </c>
      <c r="K236" t="n">
        <v>0</v>
      </c>
      <c r="L236" t="n">
        <v>0</v>
      </c>
      <c r="M236" t="n">
        <v>0</v>
      </c>
      <c r="N236" t="n">
        <v>0</v>
      </c>
      <c r="O236" t="n">
        <v>1</v>
      </c>
      <c r="P236" t="n">
        <v>0</v>
      </c>
      <c r="Q236" t="n">
        <v>1</v>
      </c>
      <c r="R236" s="2" t="inlineStr">
        <is>
          <t>Garnlav</t>
        </is>
      </c>
      <c r="S236">
        <f>HYPERLINK("https://klasma.github.io/Logging_2281/artfynd/A 47807-2022 artfynd.xlsx", "A 47807-2022")</f>
        <v/>
      </c>
      <c r="T236">
        <f>HYPERLINK("https://klasma.github.io/Logging_2281/kartor/A 47807-2022 karta.png", "A 47807-2022")</f>
        <v/>
      </c>
      <c r="V236">
        <f>HYPERLINK("https://klasma.github.io/Logging_2281/klagomål/A 47807-2022 FSC-klagomål.docx", "A 47807-2022")</f>
        <v/>
      </c>
      <c r="W236">
        <f>HYPERLINK("https://klasma.github.io/Logging_2281/klagomålsmail/A 47807-2022 FSC-klagomål mail.docx", "A 47807-2022")</f>
        <v/>
      </c>
      <c r="X236">
        <f>HYPERLINK("https://klasma.github.io/Logging_2281/tillsyn/A 47807-2022 tillsynsbegäran.docx", "A 47807-2022")</f>
        <v/>
      </c>
      <c r="Y236">
        <f>HYPERLINK("https://klasma.github.io/Logging_2281/tillsynsmail/A 47807-2022 tillsynsbegäran mail.docx", "A 47807-2022")</f>
        <v/>
      </c>
    </row>
    <row r="237" ht="15" customHeight="1">
      <c r="A237" t="inlineStr">
        <is>
          <t>A 49850-2022</t>
        </is>
      </c>
      <c r="B237" s="1" t="n">
        <v>44862</v>
      </c>
      <c r="C237" s="1" t="n">
        <v>45841</v>
      </c>
      <c r="D237" t="inlineStr">
        <is>
          <t>VÄSTERNORRLANDS LÄN</t>
        </is>
      </c>
      <c r="E237" t="inlineStr">
        <is>
          <t>SUNDSVALL</t>
        </is>
      </c>
      <c r="F237" t="inlineStr">
        <is>
          <t>SCA</t>
        </is>
      </c>
      <c r="G237" t="n">
        <v>5.5</v>
      </c>
      <c r="H237" t="n">
        <v>0</v>
      </c>
      <c r="I237" t="n">
        <v>0</v>
      </c>
      <c r="J237" t="n">
        <v>0</v>
      </c>
      <c r="K237" t="n">
        <v>1</v>
      </c>
      <c r="L237" t="n">
        <v>0</v>
      </c>
      <c r="M237" t="n">
        <v>0</v>
      </c>
      <c r="N237" t="n">
        <v>0</v>
      </c>
      <c r="O237" t="n">
        <v>1</v>
      </c>
      <c r="P237" t="n">
        <v>1</v>
      </c>
      <c r="Q237" t="n">
        <v>1</v>
      </c>
      <c r="R237" s="2" t="inlineStr">
        <is>
          <t>Rynkskinn</t>
        </is>
      </c>
      <c r="S237">
        <f>HYPERLINK("https://klasma.github.io/Logging_2281/artfynd/A 49850-2022 artfynd.xlsx", "A 49850-2022")</f>
        <v/>
      </c>
      <c r="T237">
        <f>HYPERLINK("https://klasma.github.io/Logging_2281/kartor/A 49850-2022 karta.png", "A 49850-2022")</f>
        <v/>
      </c>
      <c r="V237">
        <f>HYPERLINK("https://klasma.github.io/Logging_2281/klagomål/A 49850-2022 FSC-klagomål.docx", "A 49850-2022")</f>
        <v/>
      </c>
      <c r="W237">
        <f>HYPERLINK("https://klasma.github.io/Logging_2281/klagomålsmail/A 49850-2022 FSC-klagomål mail.docx", "A 49850-2022")</f>
        <v/>
      </c>
      <c r="X237">
        <f>HYPERLINK("https://klasma.github.io/Logging_2281/tillsyn/A 49850-2022 tillsynsbegäran.docx", "A 49850-2022")</f>
        <v/>
      </c>
      <c r="Y237">
        <f>HYPERLINK("https://klasma.github.io/Logging_2281/tillsynsmail/A 49850-2022 tillsynsbegäran mail.docx", "A 49850-2022")</f>
        <v/>
      </c>
    </row>
    <row r="238" ht="15" customHeight="1">
      <c r="A238" t="inlineStr">
        <is>
          <t>A 57281-2022</t>
        </is>
      </c>
      <c r="B238" s="1" t="n">
        <v>44895</v>
      </c>
      <c r="C238" s="1" t="n">
        <v>45841</v>
      </c>
      <c r="D238" t="inlineStr">
        <is>
          <t>VÄSTERNORRLANDS LÄN</t>
        </is>
      </c>
      <c r="E238" t="inlineStr">
        <is>
          <t>SUNDSVALL</t>
        </is>
      </c>
      <c r="F238" t="inlineStr">
        <is>
          <t>Naturvårdsverket</t>
        </is>
      </c>
      <c r="G238" t="n">
        <v>9.300000000000001</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57281-2022 artfynd.xlsx", "A 57281-2022")</f>
        <v/>
      </c>
      <c r="T238">
        <f>HYPERLINK("https://klasma.github.io/Logging_2281/kartor/A 57281-2022 karta.png", "A 57281-2022")</f>
        <v/>
      </c>
      <c r="V238">
        <f>HYPERLINK("https://klasma.github.io/Logging_2281/klagomål/A 57281-2022 FSC-klagomål.docx", "A 57281-2022")</f>
        <v/>
      </c>
      <c r="W238">
        <f>HYPERLINK("https://klasma.github.io/Logging_2281/klagomålsmail/A 57281-2022 FSC-klagomål mail.docx", "A 57281-2022")</f>
        <v/>
      </c>
      <c r="X238">
        <f>HYPERLINK("https://klasma.github.io/Logging_2281/tillsyn/A 57281-2022 tillsynsbegäran.docx", "A 57281-2022")</f>
        <v/>
      </c>
      <c r="Y238">
        <f>HYPERLINK("https://klasma.github.io/Logging_2281/tillsynsmail/A 57281-2022 tillsynsbegäran mail.docx", "A 57281-2022")</f>
        <v/>
      </c>
      <c r="Z238">
        <f>HYPERLINK("https://klasma.github.io/Logging_2281/fåglar/A 57281-2022 prioriterade fågelarter.docx", "A 57281-2022")</f>
        <v/>
      </c>
    </row>
    <row r="239" ht="15" customHeight="1">
      <c r="A239" t="inlineStr">
        <is>
          <t>A 58186-2022</t>
        </is>
      </c>
      <c r="B239" s="1" t="n">
        <v>44900</v>
      </c>
      <c r="C239" s="1" t="n">
        <v>45841</v>
      </c>
      <c r="D239" t="inlineStr">
        <is>
          <t>VÄSTERNORRLANDS LÄN</t>
        </is>
      </c>
      <c r="E239" t="inlineStr">
        <is>
          <t>SUNDSVALL</t>
        </is>
      </c>
      <c r="F239" t="inlineStr">
        <is>
          <t>SCA</t>
        </is>
      </c>
      <c r="G239" t="n">
        <v>9.300000000000001</v>
      </c>
      <c r="H239" t="n">
        <v>1</v>
      </c>
      <c r="I239" t="n">
        <v>1</v>
      </c>
      <c r="J239" t="n">
        <v>0</v>
      </c>
      <c r="K239" t="n">
        <v>0</v>
      </c>
      <c r="L239" t="n">
        <v>0</v>
      </c>
      <c r="M239" t="n">
        <v>0</v>
      </c>
      <c r="N239" t="n">
        <v>0</v>
      </c>
      <c r="O239" t="n">
        <v>0</v>
      </c>
      <c r="P239" t="n">
        <v>0</v>
      </c>
      <c r="Q239" t="n">
        <v>1</v>
      </c>
      <c r="R239" s="2" t="inlineStr">
        <is>
          <t>Plattlummer</t>
        </is>
      </c>
      <c r="S239">
        <f>HYPERLINK("https://klasma.github.io/Logging_2281/artfynd/A 58186-2022 artfynd.xlsx", "A 58186-2022")</f>
        <v/>
      </c>
      <c r="T239">
        <f>HYPERLINK("https://klasma.github.io/Logging_2281/kartor/A 58186-2022 karta.png", "A 58186-2022")</f>
        <v/>
      </c>
      <c r="V239">
        <f>HYPERLINK("https://klasma.github.io/Logging_2281/klagomål/A 58186-2022 FSC-klagomål.docx", "A 58186-2022")</f>
        <v/>
      </c>
      <c r="W239">
        <f>HYPERLINK("https://klasma.github.io/Logging_2281/klagomålsmail/A 58186-2022 FSC-klagomål mail.docx", "A 58186-2022")</f>
        <v/>
      </c>
      <c r="X239">
        <f>HYPERLINK("https://klasma.github.io/Logging_2281/tillsyn/A 58186-2022 tillsynsbegäran.docx", "A 58186-2022")</f>
        <v/>
      </c>
      <c r="Y239">
        <f>HYPERLINK("https://klasma.github.io/Logging_2281/tillsynsmail/A 58186-2022 tillsynsbegäran mail.docx", "A 58186-2022")</f>
        <v/>
      </c>
    </row>
    <row r="240" ht="15" customHeight="1">
      <c r="A240" t="inlineStr">
        <is>
          <t>A 311-2023</t>
        </is>
      </c>
      <c r="B240" s="1" t="n">
        <v>44929</v>
      </c>
      <c r="C240" s="1" t="n">
        <v>45841</v>
      </c>
      <c r="D240" t="inlineStr">
        <is>
          <t>VÄSTERNORRLANDS LÄN</t>
        </is>
      </c>
      <c r="E240" t="inlineStr">
        <is>
          <t>SUNDSVALL</t>
        </is>
      </c>
      <c r="G240" t="n">
        <v>16.5</v>
      </c>
      <c r="H240" t="n">
        <v>1</v>
      </c>
      <c r="I240" t="n">
        <v>0</v>
      </c>
      <c r="J240" t="n">
        <v>0</v>
      </c>
      <c r="K240" t="n">
        <v>0</v>
      </c>
      <c r="L240" t="n">
        <v>0</v>
      </c>
      <c r="M240" t="n">
        <v>0</v>
      </c>
      <c r="N240" t="n">
        <v>0</v>
      </c>
      <c r="O240" t="n">
        <v>0</v>
      </c>
      <c r="P240" t="n">
        <v>0</v>
      </c>
      <c r="Q240" t="n">
        <v>1</v>
      </c>
      <c r="R240" s="2" t="inlineStr">
        <is>
          <t>Tjäder</t>
        </is>
      </c>
      <c r="S240">
        <f>HYPERLINK("https://klasma.github.io/Logging_2281/artfynd/A 311-2023 artfynd.xlsx", "A 311-2023")</f>
        <v/>
      </c>
      <c r="T240">
        <f>HYPERLINK("https://klasma.github.io/Logging_2281/kartor/A 311-2023 karta.png", "A 311-2023")</f>
        <v/>
      </c>
      <c r="V240">
        <f>HYPERLINK("https://klasma.github.io/Logging_2281/klagomål/A 311-2023 FSC-klagomål.docx", "A 311-2023")</f>
        <v/>
      </c>
      <c r="W240">
        <f>HYPERLINK("https://klasma.github.io/Logging_2281/klagomålsmail/A 311-2023 FSC-klagomål mail.docx", "A 311-2023")</f>
        <v/>
      </c>
      <c r="X240">
        <f>HYPERLINK("https://klasma.github.io/Logging_2281/tillsyn/A 311-2023 tillsynsbegäran.docx", "A 311-2023")</f>
        <v/>
      </c>
      <c r="Y240">
        <f>HYPERLINK("https://klasma.github.io/Logging_2281/tillsynsmail/A 311-2023 tillsynsbegäran mail.docx", "A 311-2023")</f>
        <v/>
      </c>
      <c r="Z240">
        <f>HYPERLINK("https://klasma.github.io/Logging_2281/fåglar/A 311-2023 prioriterade fågelarter.docx", "A 311-2023")</f>
        <v/>
      </c>
    </row>
    <row r="241" ht="15" customHeight="1">
      <c r="A241" t="inlineStr">
        <is>
          <t>A 1220-2023</t>
        </is>
      </c>
      <c r="B241" s="1" t="n">
        <v>44935</v>
      </c>
      <c r="C241" s="1" t="n">
        <v>45841</v>
      </c>
      <c r="D241" t="inlineStr">
        <is>
          <t>VÄSTERNORRLANDS LÄN</t>
        </is>
      </c>
      <c r="E241" t="inlineStr">
        <is>
          <t>SUNDSVALL</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HYPERLINK("https://klasma.github.io/Logging_2281/artfynd/A 1220-2023 artfynd.xlsx", "A 1220-2023")</f>
        <v/>
      </c>
      <c r="T241">
        <f>HYPERLINK("https://klasma.github.io/Logging_2281/kartor/A 1220-2023 karta.png", "A 1220-2023")</f>
        <v/>
      </c>
      <c r="V241">
        <f>HYPERLINK("https://klasma.github.io/Logging_2281/klagomål/A 1220-2023 FSC-klagomål.docx", "A 1220-2023")</f>
        <v/>
      </c>
      <c r="W241">
        <f>HYPERLINK("https://klasma.github.io/Logging_2281/klagomålsmail/A 1220-2023 FSC-klagomål mail.docx", "A 1220-2023")</f>
        <v/>
      </c>
      <c r="X241">
        <f>HYPERLINK("https://klasma.github.io/Logging_2281/tillsyn/A 1220-2023 tillsynsbegäran.docx", "A 1220-2023")</f>
        <v/>
      </c>
      <c r="Y241">
        <f>HYPERLINK("https://klasma.github.io/Logging_2281/tillsynsmail/A 1220-2023 tillsynsbegäran mail.docx", "A 1220-2023")</f>
        <v/>
      </c>
      <c r="Z241">
        <f>HYPERLINK("https://klasma.github.io/Logging_2281/fåglar/A 1220-2023 prioriterade fågelarter.docx", "A 1220-2023")</f>
        <v/>
      </c>
    </row>
    <row r="242" ht="15" customHeight="1">
      <c r="A242" t="inlineStr">
        <is>
          <t>A 7524-2023</t>
        </is>
      </c>
      <c r="B242" s="1" t="n">
        <v>44971</v>
      </c>
      <c r="C242" s="1" t="n">
        <v>45841</v>
      </c>
      <c r="D242" t="inlineStr">
        <is>
          <t>VÄSTERNORRLANDS LÄN</t>
        </is>
      </c>
      <c r="E242" t="inlineStr">
        <is>
          <t>SUNDSVALL</t>
        </is>
      </c>
      <c r="F242" t="inlineStr">
        <is>
          <t>Naturvårdsverket</t>
        </is>
      </c>
      <c r="G242" t="n">
        <v>5.2</v>
      </c>
      <c r="H242" t="n">
        <v>0</v>
      </c>
      <c r="I242" t="n">
        <v>0</v>
      </c>
      <c r="J242" t="n">
        <v>0</v>
      </c>
      <c r="K242" t="n">
        <v>1</v>
      </c>
      <c r="L242" t="n">
        <v>0</v>
      </c>
      <c r="M242" t="n">
        <v>0</v>
      </c>
      <c r="N242" t="n">
        <v>0</v>
      </c>
      <c r="O242" t="n">
        <v>1</v>
      </c>
      <c r="P242" t="n">
        <v>1</v>
      </c>
      <c r="Q242" t="n">
        <v>1</v>
      </c>
      <c r="R242" s="2" t="inlineStr">
        <is>
          <t>Rynkskinn</t>
        </is>
      </c>
      <c r="S242">
        <f>HYPERLINK("https://klasma.github.io/Logging_2281/artfynd/A 7524-2023 artfynd.xlsx", "A 7524-2023")</f>
        <v/>
      </c>
      <c r="T242">
        <f>HYPERLINK("https://klasma.github.io/Logging_2281/kartor/A 7524-2023 karta.png", "A 7524-2023")</f>
        <v/>
      </c>
      <c r="V242">
        <f>HYPERLINK("https://klasma.github.io/Logging_2281/klagomål/A 7524-2023 FSC-klagomål.docx", "A 7524-2023")</f>
        <v/>
      </c>
      <c r="W242">
        <f>HYPERLINK("https://klasma.github.io/Logging_2281/klagomålsmail/A 7524-2023 FSC-klagomål mail.docx", "A 7524-2023")</f>
        <v/>
      </c>
      <c r="X242">
        <f>HYPERLINK("https://klasma.github.io/Logging_2281/tillsyn/A 7524-2023 tillsynsbegäran.docx", "A 7524-2023")</f>
        <v/>
      </c>
      <c r="Y242">
        <f>HYPERLINK("https://klasma.github.io/Logging_2281/tillsynsmail/A 7524-2023 tillsynsbegäran mail.docx", "A 7524-2023")</f>
        <v/>
      </c>
    </row>
    <row r="243" ht="15" customHeight="1">
      <c r="A243" t="inlineStr">
        <is>
          <t>A 8032-2023</t>
        </is>
      </c>
      <c r="B243" s="1" t="n">
        <v>44973</v>
      </c>
      <c r="C243" s="1" t="n">
        <v>45841</v>
      </c>
      <c r="D243" t="inlineStr">
        <is>
          <t>VÄSTERNORRLANDS LÄN</t>
        </is>
      </c>
      <c r="E243" t="inlineStr">
        <is>
          <t>SUNDSVALL</t>
        </is>
      </c>
      <c r="F243" t="inlineStr">
        <is>
          <t>SCA</t>
        </is>
      </c>
      <c r="G243" t="n">
        <v>8.6</v>
      </c>
      <c r="H243" t="n">
        <v>1</v>
      </c>
      <c r="I243" t="n">
        <v>0</v>
      </c>
      <c r="J243" t="n">
        <v>0</v>
      </c>
      <c r="K243" t="n">
        <v>0</v>
      </c>
      <c r="L243" t="n">
        <v>0</v>
      </c>
      <c r="M243" t="n">
        <v>0</v>
      </c>
      <c r="N243" t="n">
        <v>0</v>
      </c>
      <c r="O243" t="n">
        <v>0</v>
      </c>
      <c r="P243" t="n">
        <v>0</v>
      </c>
      <c r="Q243" t="n">
        <v>1</v>
      </c>
      <c r="R243" s="2" t="inlineStr">
        <is>
          <t>Vanlig padda</t>
        </is>
      </c>
      <c r="S243">
        <f>HYPERLINK("https://klasma.github.io/Logging_2281/artfynd/A 8032-2023 artfynd.xlsx", "A 8032-2023")</f>
        <v/>
      </c>
      <c r="T243">
        <f>HYPERLINK("https://klasma.github.io/Logging_2281/kartor/A 8032-2023 karta.png", "A 8032-2023")</f>
        <v/>
      </c>
      <c r="V243">
        <f>HYPERLINK("https://klasma.github.io/Logging_2281/klagomål/A 8032-2023 FSC-klagomål.docx", "A 8032-2023")</f>
        <v/>
      </c>
      <c r="W243">
        <f>HYPERLINK("https://klasma.github.io/Logging_2281/klagomålsmail/A 8032-2023 FSC-klagomål mail.docx", "A 8032-2023")</f>
        <v/>
      </c>
      <c r="X243">
        <f>HYPERLINK("https://klasma.github.io/Logging_2281/tillsyn/A 8032-2023 tillsynsbegäran.docx", "A 8032-2023")</f>
        <v/>
      </c>
      <c r="Y243">
        <f>HYPERLINK("https://klasma.github.io/Logging_2281/tillsynsmail/A 8032-2023 tillsynsbegäran mail.docx", "A 8032-2023")</f>
        <v/>
      </c>
    </row>
    <row r="244" ht="15" customHeight="1">
      <c r="A244" t="inlineStr">
        <is>
          <t>A 9584-2023</t>
        </is>
      </c>
      <c r="B244" s="1" t="n">
        <v>44982</v>
      </c>
      <c r="C244" s="1" t="n">
        <v>45841</v>
      </c>
      <c r="D244" t="inlineStr">
        <is>
          <t>VÄSTERNORRLANDS LÄN</t>
        </is>
      </c>
      <c r="E244" t="inlineStr">
        <is>
          <t>SUNDSVALL</t>
        </is>
      </c>
      <c r="F244" t="inlineStr">
        <is>
          <t>SCA</t>
        </is>
      </c>
      <c r="G244" t="n">
        <v>3.7</v>
      </c>
      <c r="H244" t="n">
        <v>1</v>
      </c>
      <c r="I244" t="n">
        <v>0</v>
      </c>
      <c r="J244" t="n">
        <v>0</v>
      </c>
      <c r="K244" t="n">
        <v>0</v>
      </c>
      <c r="L244" t="n">
        <v>0</v>
      </c>
      <c r="M244" t="n">
        <v>0</v>
      </c>
      <c r="N244" t="n">
        <v>0</v>
      </c>
      <c r="O244" t="n">
        <v>0</v>
      </c>
      <c r="P244" t="n">
        <v>0</v>
      </c>
      <c r="Q244" t="n">
        <v>1</v>
      </c>
      <c r="R244" s="2" t="inlineStr">
        <is>
          <t>Orre</t>
        </is>
      </c>
      <c r="S244">
        <f>HYPERLINK("https://klasma.github.io/Logging_2281/artfynd/A 9584-2023 artfynd.xlsx", "A 9584-2023")</f>
        <v/>
      </c>
      <c r="T244">
        <f>HYPERLINK("https://klasma.github.io/Logging_2281/kartor/A 9584-2023 karta.png", "A 9584-2023")</f>
        <v/>
      </c>
      <c r="V244">
        <f>HYPERLINK("https://klasma.github.io/Logging_2281/klagomål/A 9584-2023 FSC-klagomål.docx", "A 9584-2023")</f>
        <v/>
      </c>
      <c r="W244">
        <f>HYPERLINK("https://klasma.github.io/Logging_2281/klagomålsmail/A 9584-2023 FSC-klagomål mail.docx", "A 9584-2023")</f>
        <v/>
      </c>
      <c r="X244">
        <f>HYPERLINK("https://klasma.github.io/Logging_2281/tillsyn/A 9584-2023 tillsynsbegäran.docx", "A 9584-2023")</f>
        <v/>
      </c>
      <c r="Y244">
        <f>HYPERLINK("https://klasma.github.io/Logging_2281/tillsynsmail/A 9584-2023 tillsynsbegäran mail.docx", "A 9584-2023")</f>
        <v/>
      </c>
      <c r="Z244">
        <f>HYPERLINK("https://klasma.github.io/Logging_2281/fåglar/A 9584-2023 prioriterade fågelarter.docx", "A 9584-2023")</f>
        <v/>
      </c>
    </row>
    <row r="245" ht="15" customHeight="1">
      <c r="A245" t="inlineStr">
        <is>
          <t>A 10774-2023</t>
        </is>
      </c>
      <c r="B245" s="1" t="n">
        <v>44988</v>
      </c>
      <c r="C245" s="1" t="n">
        <v>45841</v>
      </c>
      <c r="D245" t="inlineStr">
        <is>
          <t>VÄSTERNORRLANDS LÄN</t>
        </is>
      </c>
      <c r="E245" t="inlineStr">
        <is>
          <t>SUNDSVALL</t>
        </is>
      </c>
      <c r="F245" t="inlineStr">
        <is>
          <t>SCA</t>
        </is>
      </c>
      <c r="G245" t="n">
        <v>2</v>
      </c>
      <c r="H245" t="n">
        <v>1</v>
      </c>
      <c r="I245" t="n">
        <v>0</v>
      </c>
      <c r="J245" t="n">
        <v>1</v>
      </c>
      <c r="K245" t="n">
        <v>0</v>
      </c>
      <c r="L245" t="n">
        <v>0</v>
      </c>
      <c r="M245" t="n">
        <v>0</v>
      </c>
      <c r="N245" t="n">
        <v>0</v>
      </c>
      <c r="O245" t="n">
        <v>1</v>
      </c>
      <c r="P245" t="n">
        <v>0</v>
      </c>
      <c r="Q245" t="n">
        <v>1</v>
      </c>
      <c r="R245" s="2" t="inlineStr">
        <is>
          <t>Järpe</t>
        </is>
      </c>
      <c r="S245">
        <f>HYPERLINK("https://klasma.github.io/Logging_2281/artfynd/A 10774-2023 artfynd.xlsx", "A 10774-2023")</f>
        <v/>
      </c>
      <c r="T245">
        <f>HYPERLINK("https://klasma.github.io/Logging_2281/kartor/A 10774-2023 karta.png", "A 10774-2023")</f>
        <v/>
      </c>
      <c r="V245">
        <f>HYPERLINK("https://klasma.github.io/Logging_2281/klagomål/A 10774-2023 FSC-klagomål.docx", "A 10774-2023")</f>
        <v/>
      </c>
      <c r="W245">
        <f>HYPERLINK("https://klasma.github.io/Logging_2281/klagomålsmail/A 10774-2023 FSC-klagomål mail.docx", "A 10774-2023")</f>
        <v/>
      </c>
      <c r="X245">
        <f>HYPERLINK("https://klasma.github.io/Logging_2281/tillsyn/A 10774-2023 tillsynsbegäran.docx", "A 10774-2023")</f>
        <v/>
      </c>
      <c r="Y245">
        <f>HYPERLINK("https://klasma.github.io/Logging_2281/tillsynsmail/A 10774-2023 tillsynsbegäran mail.docx", "A 10774-2023")</f>
        <v/>
      </c>
      <c r="Z245">
        <f>HYPERLINK("https://klasma.github.io/Logging_2281/fåglar/A 10774-2023 prioriterade fågelarter.docx", "A 10774-2023")</f>
        <v/>
      </c>
    </row>
    <row r="246" ht="15" customHeight="1">
      <c r="A246" t="inlineStr">
        <is>
          <t>A 12049-2023</t>
        </is>
      </c>
      <c r="B246" s="1" t="n">
        <v>44996</v>
      </c>
      <c r="C246" s="1" t="n">
        <v>45841</v>
      </c>
      <c r="D246" t="inlineStr">
        <is>
          <t>VÄSTERNORRLANDS LÄN</t>
        </is>
      </c>
      <c r="E246" t="inlineStr">
        <is>
          <t>SUNDSVALL</t>
        </is>
      </c>
      <c r="F246" t="inlineStr">
        <is>
          <t>SCA</t>
        </is>
      </c>
      <c r="G246" t="n">
        <v>13</v>
      </c>
      <c r="H246" t="n">
        <v>1</v>
      </c>
      <c r="I246" t="n">
        <v>0</v>
      </c>
      <c r="J246" t="n">
        <v>0</v>
      </c>
      <c r="K246" t="n">
        <v>1</v>
      </c>
      <c r="L246" t="n">
        <v>0</v>
      </c>
      <c r="M246" t="n">
        <v>0</v>
      </c>
      <c r="N246" t="n">
        <v>0</v>
      </c>
      <c r="O246" t="n">
        <v>1</v>
      </c>
      <c r="P246" t="n">
        <v>1</v>
      </c>
      <c r="Q246" t="n">
        <v>1</v>
      </c>
      <c r="R246" s="2" t="inlineStr">
        <is>
          <t>Lappuggla</t>
        </is>
      </c>
      <c r="S246">
        <f>HYPERLINK("https://klasma.github.io/Logging_2281/artfynd/A 12049-2023 artfynd.xlsx", "A 12049-2023")</f>
        <v/>
      </c>
      <c r="T246">
        <f>HYPERLINK("https://klasma.github.io/Logging_2281/kartor/A 12049-2023 karta.png", "A 12049-2023")</f>
        <v/>
      </c>
      <c r="V246">
        <f>HYPERLINK("https://klasma.github.io/Logging_2281/klagomål/A 12049-2023 FSC-klagomål.docx", "A 12049-2023")</f>
        <v/>
      </c>
      <c r="W246">
        <f>HYPERLINK("https://klasma.github.io/Logging_2281/klagomålsmail/A 12049-2023 FSC-klagomål mail.docx", "A 12049-2023")</f>
        <v/>
      </c>
      <c r="X246">
        <f>HYPERLINK("https://klasma.github.io/Logging_2281/tillsyn/A 12049-2023 tillsynsbegäran.docx", "A 12049-2023")</f>
        <v/>
      </c>
      <c r="Y246">
        <f>HYPERLINK("https://klasma.github.io/Logging_2281/tillsynsmail/A 12049-2023 tillsynsbegäran mail.docx", "A 12049-2023")</f>
        <v/>
      </c>
      <c r="Z246">
        <f>HYPERLINK("https://klasma.github.io/Logging_2281/fåglar/A 12049-2023 prioriterade fågelarter.docx", "A 12049-2023")</f>
        <v/>
      </c>
    </row>
    <row r="247" ht="15" customHeight="1">
      <c r="A247" t="inlineStr">
        <is>
          <t>A 12058-2023</t>
        </is>
      </c>
      <c r="B247" s="1" t="n">
        <v>44995</v>
      </c>
      <c r="C247" s="1" t="n">
        <v>45841</v>
      </c>
      <c r="D247" t="inlineStr">
        <is>
          <t>VÄSTERNORRLANDS LÄN</t>
        </is>
      </c>
      <c r="E247" t="inlineStr">
        <is>
          <t>SUNDSVALL</t>
        </is>
      </c>
      <c r="F247" t="inlineStr">
        <is>
          <t>SCA</t>
        </is>
      </c>
      <c r="G247" t="n">
        <v>4</v>
      </c>
      <c r="H247" t="n">
        <v>1</v>
      </c>
      <c r="I247" t="n">
        <v>0</v>
      </c>
      <c r="J247" t="n">
        <v>1</v>
      </c>
      <c r="K247" t="n">
        <v>0</v>
      </c>
      <c r="L247" t="n">
        <v>0</v>
      </c>
      <c r="M247" t="n">
        <v>0</v>
      </c>
      <c r="N247" t="n">
        <v>0</v>
      </c>
      <c r="O247" t="n">
        <v>1</v>
      </c>
      <c r="P247" t="n">
        <v>0</v>
      </c>
      <c r="Q247" t="n">
        <v>1</v>
      </c>
      <c r="R247" s="2" t="inlineStr">
        <is>
          <t>Fiskmås</t>
        </is>
      </c>
      <c r="S247">
        <f>HYPERLINK("https://klasma.github.io/Logging_2281/artfynd/A 12058-2023 artfynd.xlsx", "A 12058-2023")</f>
        <v/>
      </c>
      <c r="T247">
        <f>HYPERLINK("https://klasma.github.io/Logging_2281/kartor/A 12058-2023 karta.png", "A 12058-2023")</f>
        <v/>
      </c>
      <c r="V247">
        <f>HYPERLINK("https://klasma.github.io/Logging_2281/klagomål/A 12058-2023 FSC-klagomål.docx", "A 12058-2023")</f>
        <v/>
      </c>
      <c r="W247">
        <f>HYPERLINK("https://klasma.github.io/Logging_2281/klagomålsmail/A 12058-2023 FSC-klagomål mail.docx", "A 12058-2023")</f>
        <v/>
      </c>
      <c r="X247">
        <f>HYPERLINK("https://klasma.github.io/Logging_2281/tillsyn/A 12058-2023 tillsynsbegäran.docx", "A 12058-2023")</f>
        <v/>
      </c>
      <c r="Y247">
        <f>HYPERLINK("https://klasma.github.io/Logging_2281/tillsynsmail/A 12058-2023 tillsynsbegäran mail.docx", "A 12058-2023")</f>
        <v/>
      </c>
    </row>
    <row r="248" ht="15" customHeight="1">
      <c r="A248" t="inlineStr">
        <is>
          <t>A 14665-2023</t>
        </is>
      </c>
      <c r="B248" s="1" t="n">
        <v>45014</v>
      </c>
      <c r="C248" s="1" t="n">
        <v>45841</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15346-2023</t>
        </is>
      </c>
      <c r="B249" s="1" t="n">
        <v>45016</v>
      </c>
      <c r="C249" s="1" t="n">
        <v>45841</v>
      </c>
      <c r="D249" t="inlineStr">
        <is>
          <t>VÄSTERNORRLANDS LÄN</t>
        </is>
      </c>
      <c r="E249" t="inlineStr">
        <is>
          <t>SUNDSVALL</t>
        </is>
      </c>
      <c r="G249" t="n">
        <v>3.8</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15346-2023 artfynd.xlsx", "A 15346-2023")</f>
        <v/>
      </c>
      <c r="T249">
        <f>HYPERLINK("https://klasma.github.io/Logging_2281/kartor/A 15346-2023 karta.png", "A 15346-2023")</f>
        <v/>
      </c>
      <c r="V249">
        <f>HYPERLINK("https://klasma.github.io/Logging_2281/klagomål/A 15346-2023 FSC-klagomål.docx", "A 15346-2023")</f>
        <v/>
      </c>
      <c r="W249">
        <f>HYPERLINK("https://klasma.github.io/Logging_2281/klagomålsmail/A 15346-2023 FSC-klagomål mail.docx", "A 15346-2023")</f>
        <v/>
      </c>
      <c r="X249">
        <f>HYPERLINK("https://klasma.github.io/Logging_2281/tillsyn/A 15346-2023 tillsynsbegäran.docx", "A 15346-2023")</f>
        <v/>
      </c>
      <c r="Y249">
        <f>HYPERLINK("https://klasma.github.io/Logging_2281/tillsynsmail/A 15346-2023 tillsynsbegäran mail.docx", "A 15346-2023")</f>
        <v/>
      </c>
      <c r="Z249">
        <f>HYPERLINK("https://klasma.github.io/Logging_2281/fåglar/A 15346-2023 prioriterade fågelarter.docx", "A 15346-2023")</f>
        <v/>
      </c>
    </row>
    <row r="250" ht="15" customHeight="1">
      <c r="A250" t="inlineStr">
        <is>
          <t>A 17772-2023</t>
        </is>
      </c>
      <c r="B250" s="1" t="n">
        <v>45036</v>
      </c>
      <c r="C250" s="1" t="n">
        <v>45841</v>
      </c>
      <c r="D250" t="inlineStr">
        <is>
          <t>VÄSTERNORRLANDS LÄN</t>
        </is>
      </c>
      <c r="E250" t="inlineStr">
        <is>
          <t>SUNDSVALL</t>
        </is>
      </c>
      <c r="G250" t="n">
        <v>4.2</v>
      </c>
      <c r="H250" t="n">
        <v>0</v>
      </c>
      <c r="I250" t="n">
        <v>0</v>
      </c>
      <c r="J250" t="n">
        <v>1</v>
      </c>
      <c r="K250" t="n">
        <v>0</v>
      </c>
      <c r="L250" t="n">
        <v>0</v>
      </c>
      <c r="M250" t="n">
        <v>0</v>
      </c>
      <c r="N250" t="n">
        <v>0</v>
      </c>
      <c r="O250" t="n">
        <v>1</v>
      </c>
      <c r="P250" t="n">
        <v>0</v>
      </c>
      <c r="Q250" t="n">
        <v>1</v>
      </c>
      <c r="R250" s="2" t="inlineStr">
        <is>
          <t>Garnlav</t>
        </is>
      </c>
      <c r="S250">
        <f>HYPERLINK("https://klasma.github.io/Logging_2281/artfynd/A 17772-2023 artfynd.xlsx", "A 17772-2023")</f>
        <v/>
      </c>
      <c r="T250">
        <f>HYPERLINK("https://klasma.github.io/Logging_2281/kartor/A 17772-2023 karta.png", "A 17772-2023")</f>
        <v/>
      </c>
      <c r="V250">
        <f>HYPERLINK("https://klasma.github.io/Logging_2281/klagomål/A 17772-2023 FSC-klagomål.docx", "A 17772-2023")</f>
        <v/>
      </c>
      <c r="W250">
        <f>HYPERLINK("https://klasma.github.io/Logging_2281/klagomålsmail/A 17772-2023 FSC-klagomål mail.docx", "A 17772-2023")</f>
        <v/>
      </c>
      <c r="X250">
        <f>HYPERLINK("https://klasma.github.io/Logging_2281/tillsyn/A 17772-2023 tillsynsbegäran.docx", "A 17772-2023")</f>
        <v/>
      </c>
      <c r="Y250">
        <f>HYPERLINK("https://klasma.github.io/Logging_2281/tillsynsmail/A 17772-2023 tillsynsbegäran mail.docx", "A 17772-2023")</f>
        <v/>
      </c>
    </row>
    <row r="251" ht="15" customHeight="1">
      <c r="A251" t="inlineStr">
        <is>
          <t>A 19441-2023</t>
        </is>
      </c>
      <c r="B251" s="1" t="n">
        <v>45049</v>
      </c>
      <c r="C251" s="1" t="n">
        <v>45841</v>
      </c>
      <c r="D251" t="inlineStr">
        <is>
          <t>VÄSTERNORRLANDS LÄN</t>
        </is>
      </c>
      <c r="E251" t="inlineStr">
        <is>
          <t>SUNDSVALL</t>
        </is>
      </c>
      <c r="F251" t="inlineStr">
        <is>
          <t>SCA</t>
        </is>
      </c>
      <c r="G251" t="n">
        <v>3.5</v>
      </c>
      <c r="H251" t="n">
        <v>0</v>
      </c>
      <c r="I251" t="n">
        <v>0</v>
      </c>
      <c r="J251" t="n">
        <v>1</v>
      </c>
      <c r="K251" t="n">
        <v>0</v>
      </c>
      <c r="L251" t="n">
        <v>0</v>
      </c>
      <c r="M251" t="n">
        <v>0</v>
      </c>
      <c r="N251" t="n">
        <v>0</v>
      </c>
      <c r="O251" t="n">
        <v>1</v>
      </c>
      <c r="P251" t="n">
        <v>0</v>
      </c>
      <c r="Q251" t="n">
        <v>1</v>
      </c>
      <c r="R251" s="2" t="inlineStr">
        <is>
          <t>Lunglav</t>
        </is>
      </c>
      <c r="S251">
        <f>HYPERLINK("https://klasma.github.io/Logging_2281/artfynd/A 19441-2023 artfynd.xlsx", "A 19441-2023")</f>
        <v/>
      </c>
      <c r="T251">
        <f>HYPERLINK("https://klasma.github.io/Logging_2281/kartor/A 19441-2023 karta.png", "A 19441-2023")</f>
        <v/>
      </c>
      <c r="V251">
        <f>HYPERLINK("https://klasma.github.io/Logging_2281/klagomål/A 19441-2023 FSC-klagomål.docx", "A 19441-2023")</f>
        <v/>
      </c>
      <c r="W251">
        <f>HYPERLINK("https://klasma.github.io/Logging_2281/klagomålsmail/A 19441-2023 FSC-klagomål mail.docx", "A 19441-2023")</f>
        <v/>
      </c>
      <c r="X251">
        <f>HYPERLINK("https://klasma.github.io/Logging_2281/tillsyn/A 19441-2023 tillsynsbegäran.docx", "A 19441-2023")</f>
        <v/>
      </c>
      <c r="Y251">
        <f>HYPERLINK("https://klasma.github.io/Logging_2281/tillsynsmail/A 19441-2023 tillsynsbegäran mail.docx", "A 19441-2023")</f>
        <v/>
      </c>
    </row>
    <row r="252" ht="15" customHeight="1">
      <c r="A252" t="inlineStr">
        <is>
          <t>A 19815-2023</t>
        </is>
      </c>
      <c r="B252" s="1" t="n">
        <v>45051</v>
      </c>
      <c r="C252" s="1" t="n">
        <v>45841</v>
      </c>
      <c r="D252" t="inlineStr">
        <is>
          <t>VÄSTERNORRLANDS LÄN</t>
        </is>
      </c>
      <c r="E252" t="inlineStr">
        <is>
          <t>SUNDSVALL</t>
        </is>
      </c>
      <c r="F252" t="inlineStr">
        <is>
          <t>SCA</t>
        </is>
      </c>
      <c r="G252" t="n">
        <v>3.4</v>
      </c>
      <c r="H252" t="n">
        <v>1</v>
      </c>
      <c r="I252" t="n">
        <v>0</v>
      </c>
      <c r="J252" t="n">
        <v>0</v>
      </c>
      <c r="K252" t="n">
        <v>1</v>
      </c>
      <c r="L252" t="n">
        <v>0</v>
      </c>
      <c r="M252" t="n">
        <v>0</v>
      </c>
      <c r="N252" t="n">
        <v>0</v>
      </c>
      <c r="O252" t="n">
        <v>1</v>
      </c>
      <c r="P252" t="n">
        <v>1</v>
      </c>
      <c r="Q252" t="n">
        <v>1</v>
      </c>
      <c r="R252" s="2" t="inlineStr">
        <is>
          <t>Knärot</t>
        </is>
      </c>
      <c r="S252">
        <f>HYPERLINK("https://klasma.github.io/Logging_2281/artfynd/A 19815-2023 artfynd.xlsx", "A 19815-2023")</f>
        <v/>
      </c>
      <c r="T252">
        <f>HYPERLINK("https://klasma.github.io/Logging_2281/kartor/A 19815-2023 karta.png", "A 19815-2023")</f>
        <v/>
      </c>
      <c r="U252">
        <f>HYPERLINK("https://klasma.github.io/Logging_2281/knärot/A 19815-2023 karta knärot.png", "A 19815-2023")</f>
        <v/>
      </c>
      <c r="V252">
        <f>HYPERLINK("https://klasma.github.io/Logging_2281/klagomål/A 19815-2023 FSC-klagomål.docx", "A 19815-2023")</f>
        <v/>
      </c>
      <c r="W252">
        <f>HYPERLINK("https://klasma.github.io/Logging_2281/klagomålsmail/A 19815-2023 FSC-klagomål mail.docx", "A 19815-2023")</f>
        <v/>
      </c>
      <c r="X252">
        <f>HYPERLINK("https://klasma.github.io/Logging_2281/tillsyn/A 19815-2023 tillsynsbegäran.docx", "A 19815-2023")</f>
        <v/>
      </c>
      <c r="Y252">
        <f>HYPERLINK("https://klasma.github.io/Logging_2281/tillsynsmail/A 19815-2023 tillsynsbegäran mail.docx", "A 19815-2023")</f>
        <v/>
      </c>
    </row>
    <row r="253" ht="15" customHeight="1">
      <c r="A253" t="inlineStr">
        <is>
          <t>A 22227-2023</t>
        </is>
      </c>
      <c r="B253" s="1" t="n">
        <v>45069</v>
      </c>
      <c r="C253" s="1" t="n">
        <v>45841</v>
      </c>
      <c r="D253" t="inlineStr">
        <is>
          <t>VÄSTERNORRLANDS LÄN</t>
        </is>
      </c>
      <c r="E253" t="inlineStr">
        <is>
          <t>SUNDSVALL</t>
        </is>
      </c>
      <c r="F253" t="inlineStr">
        <is>
          <t>Naturvårdsverket</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22227-2023 artfynd.xlsx", "A 22227-2023")</f>
        <v/>
      </c>
      <c r="T253">
        <f>HYPERLINK("https://klasma.github.io/Logging_2281/kartor/A 22227-2023 karta.png", "A 22227-2023")</f>
        <v/>
      </c>
      <c r="V253">
        <f>HYPERLINK("https://klasma.github.io/Logging_2281/klagomål/A 22227-2023 FSC-klagomål.docx", "A 22227-2023")</f>
        <v/>
      </c>
      <c r="W253">
        <f>HYPERLINK("https://klasma.github.io/Logging_2281/klagomålsmail/A 22227-2023 FSC-klagomål mail.docx", "A 22227-2023")</f>
        <v/>
      </c>
      <c r="X253">
        <f>HYPERLINK("https://klasma.github.io/Logging_2281/tillsyn/A 22227-2023 tillsynsbegäran.docx", "A 22227-2023")</f>
        <v/>
      </c>
      <c r="Y253">
        <f>HYPERLINK("https://klasma.github.io/Logging_2281/tillsynsmail/A 22227-2023 tillsynsbegäran mail.docx", "A 22227-2023")</f>
        <v/>
      </c>
      <c r="Z253">
        <f>HYPERLINK("https://klasma.github.io/Logging_2281/fåglar/A 22227-2023 prioriterade fågelarter.docx", "A 22227-2023")</f>
        <v/>
      </c>
    </row>
    <row r="254" ht="15" customHeight="1">
      <c r="A254" t="inlineStr">
        <is>
          <t>A 22993-2023</t>
        </is>
      </c>
      <c r="B254" s="1" t="n">
        <v>45072</v>
      </c>
      <c r="C254" s="1" t="n">
        <v>45841</v>
      </c>
      <c r="D254" t="inlineStr">
        <is>
          <t>VÄSTERNORRLANDS LÄN</t>
        </is>
      </c>
      <c r="E254" t="inlineStr">
        <is>
          <t>SUNDSVALL</t>
        </is>
      </c>
      <c r="F254" t="inlineStr">
        <is>
          <t>SCA</t>
        </is>
      </c>
      <c r="G254" t="n">
        <v>3.6</v>
      </c>
      <c r="H254" t="n">
        <v>0</v>
      </c>
      <c r="I254" t="n">
        <v>0</v>
      </c>
      <c r="J254" t="n">
        <v>1</v>
      </c>
      <c r="K254" t="n">
        <v>0</v>
      </c>
      <c r="L254" t="n">
        <v>0</v>
      </c>
      <c r="M254" t="n">
        <v>0</v>
      </c>
      <c r="N254" t="n">
        <v>0</v>
      </c>
      <c r="O254" t="n">
        <v>1</v>
      </c>
      <c r="P254" t="n">
        <v>0</v>
      </c>
      <c r="Q254" t="n">
        <v>1</v>
      </c>
      <c r="R254" s="2" t="inlineStr">
        <is>
          <t>Lunglav</t>
        </is>
      </c>
      <c r="S254">
        <f>HYPERLINK("https://klasma.github.io/Logging_2281/artfynd/A 22993-2023 artfynd.xlsx", "A 22993-2023")</f>
        <v/>
      </c>
      <c r="T254">
        <f>HYPERLINK("https://klasma.github.io/Logging_2281/kartor/A 22993-2023 karta.png", "A 22993-2023")</f>
        <v/>
      </c>
      <c r="V254">
        <f>HYPERLINK("https://klasma.github.io/Logging_2281/klagomål/A 22993-2023 FSC-klagomål.docx", "A 22993-2023")</f>
        <v/>
      </c>
      <c r="W254">
        <f>HYPERLINK("https://klasma.github.io/Logging_2281/klagomålsmail/A 22993-2023 FSC-klagomål mail.docx", "A 22993-2023")</f>
        <v/>
      </c>
      <c r="X254">
        <f>HYPERLINK("https://klasma.github.io/Logging_2281/tillsyn/A 22993-2023 tillsynsbegäran.docx", "A 22993-2023")</f>
        <v/>
      </c>
      <c r="Y254">
        <f>HYPERLINK("https://klasma.github.io/Logging_2281/tillsynsmail/A 22993-2023 tillsynsbegäran mail.docx", "A 22993-2023")</f>
        <v/>
      </c>
    </row>
    <row r="255" ht="15" customHeight="1">
      <c r="A255" t="inlineStr">
        <is>
          <t>A 28008-2023</t>
        </is>
      </c>
      <c r="B255" s="1" t="n">
        <v>45098</v>
      </c>
      <c r="C255" s="1" t="n">
        <v>45841</v>
      </c>
      <c r="D255" t="inlineStr">
        <is>
          <t>VÄSTERNORRLANDS LÄN</t>
        </is>
      </c>
      <c r="E255" t="inlineStr">
        <is>
          <t>SUNDSVALL</t>
        </is>
      </c>
      <c r="F255" t="inlineStr">
        <is>
          <t>SCA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28008-2023 artfynd.xlsx", "A 28008-2023")</f>
        <v/>
      </c>
      <c r="T255">
        <f>HYPERLINK("https://klasma.github.io/Logging_2281/kartor/A 28008-2023 karta.png", "A 28008-2023")</f>
        <v/>
      </c>
      <c r="V255">
        <f>HYPERLINK("https://klasma.github.io/Logging_2281/klagomål/A 28008-2023 FSC-klagomål.docx", "A 28008-2023")</f>
        <v/>
      </c>
      <c r="W255">
        <f>HYPERLINK("https://klasma.github.io/Logging_2281/klagomålsmail/A 28008-2023 FSC-klagomål mail.docx", "A 28008-2023")</f>
        <v/>
      </c>
      <c r="X255">
        <f>HYPERLINK("https://klasma.github.io/Logging_2281/tillsyn/A 28008-2023 tillsynsbegäran.docx", "A 28008-2023")</f>
        <v/>
      </c>
      <c r="Y255">
        <f>HYPERLINK("https://klasma.github.io/Logging_2281/tillsynsmail/A 28008-2023 tillsynsbegäran mail.docx", "A 28008-2023")</f>
        <v/>
      </c>
      <c r="Z255">
        <f>HYPERLINK("https://klasma.github.io/Logging_2281/fåglar/A 28008-2023 prioriterade fågelarter.docx", "A 28008-2023")</f>
        <v/>
      </c>
    </row>
    <row r="256" ht="15" customHeight="1">
      <c r="A256" t="inlineStr">
        <is>
          <t>A 32077-2023</t>
        </is>
      </c>
      <c r="B256" s="1" t="n">
        <v>45107</v>
      </c>
      <c r="C256" s="1" t="n">
        <v>45841</v>
      </c>
      <c r="D256" t="inlineStr">
        <is>
          <t>VÄSTERNORRLANDS LÄN</t>
        </is>
      </c>
      <c r="E256" t="inlineStr">
        <is>
          <t>SUNDSVALL</t>
        </is>
      </c>
      <c r="G256" t="n">
        <v>5.3</v>
      </c>
      <c r="H256" t="n">
        <v>0</v>
      </c>
      <c r="I256" t="n">
        <v>0</v>
      </c>
      <c r="J256" t="n">
        <v>1</v>
      </c>
      <c r="K256" t="n">
        <v>0</v>
      </c>
      <c r="L256" t="n">
        <v>0</v>
      </c>
      <c r="M256" t="n">
        <v>0</v>
      </c>
      <c r="N256" t="n">
        <v>0</v>
      </c>
      <c r="O256" t="n">
        <v>1</v>
      </c>
      <c r="P256" t="n">
        <v>0</v>
      </c>
      <c r="Q256" t="n">
        <v>1</v>
      </c>
      <c r="R256" s="2" t="inlineStr">
        <is>
          <t>Garnlav</t>
        </is>
      </c>
      <c r="S256">
        <f>HYPERLINK("https://klasma.github.io/Logging_2281/artfynd/A 32077-2023 artfynd.xlsx", "A 32077-2023")</f>
        <v/>
      </c>
      <c r="T256">
        <f>HYPERLINK("https://klasma.github.io/Logging_2281/kartor/A 32077-2023 karta.png", "A 32077-2023")</f>
        <v/>
      </c>
      <c r="V256">
        <f>HYPERLINK("https://klasma.github.io/Logging_2281/klagomål/A 32077-2023 FSC-klagomål.docx", "A 32077-2023")</f>
        <v/>
      </c>
      <c r="W256">
        <f>HYPERLINK("https://klasma.github.io/Logging_2281/klagomålsmail/A 32077-2023 FSC-klagomål mail.docx", "A 32077-2023")</f>
        <v/>
      </c>
      <c r="X256">
        <f>HYPERLINK("https://klasma.github.io/Logging_2281/tillsyn/A 32077-2023 tillsynsbegäran.docx", "A 32077-2023")</f>
        <v/>
      </c>
      <c r="Y256">
        <f>HYPERLINK("https://klasma.github.io/Logging_2281/tillsynsmail/A 32077-2023 tillsynsbegäran mail.docx", "A 32077-2023")</f>
        <v/>
      </c>
    </row>
    <row r="257" ht="15" customHeight="1">
      <c r="A257" t="inlineStr">
        <is>
          <t>A 30837-2023</t>
        </is>
      </c>
      <c r="B257" s="1" t="n">
        <v>45112</v>
      </c>
      <c r="C257" s="1" t="n">
        <v>45841</v>
      </c>
      <c r="D257" t="inlineStr">
        <is>
          <t>VÄSTERNORRLANDS LÄN</t>
        </is>
      </c>
      <c r="E257" t="inlineStr">
        <is>
          <t>SUNDSVALL</t>
        </is>
      </c>
      <c r="F257" t="inlineStr">
        <is>
          <t>SCA</t>
        </is>
      </c>
      <c r="G257" t="n">
        <v>5.6</v>
      </c>
      <c r="H257" t="n">
        <v>0</v>
      </c>
      <c r="I257" t="n">
        <v>0</v>
      </c>
      <c r="J257" t="n">
        <v>1</v>
      </c>
      <c r="K257" t="n">
        <v>0</v>
      </c>
      <c r="L257" t="n">
        <v>0</v>
      </c>
      <c r="M257" t="n">
        <v>0</v>
      </c>
      <c r="N257" t="n">
        <v>0</v>
      </c>
      <c r="O257" t="n">
        <v>1</v>
      </c>
      <c r="P257" t="n">
        <v>0</v>
      </c>
      <c r="Q257" t="n">
        <v>1</v>
      </c>
      <c r="R257" s="2" t="inlineStr">
        <is>
          <t>Garnlav</t>
        </is>
      </c>
      <c r="S257">
        <f>HYPERLINK("https://klasma.github.io/Logging_2281/artfynd/A 30837-2023 artfynd.xlsx", "A 30837-2023")</f>
        <v/>
      </c>
      <c r="T257">
        <f>HYPERLINK("https://klasma.github.io/Logging_2281/kartor/A 30837-2023 karta.png", "A 30837-2023")</f>
        <v/>
      </c>
      <c r="V257">
        <f>HYPERLINK("https://klasma.github.io/Logging_2281/klagomål/A 30837-2023 FSC-klagomål.docx", "A 30837-2023")</f>
        <v/>
      </c>
      <c r="W257">
        <f>HYPERLINK("https://klasma.github.io/Logging_2281/klagomålsmail/A 30837-2023 FSC-klagomål mail.docx", "A 30837-2023")</f>
        <v/>
      </c>
      <c r="X257">
        <f>HYPERLINK("https://klasma.github.io/Logging_2281/tillsyn/A 30837-2023 tillsynsbegäran.docx", "A 30837-2023")</f>
        <v/>
      </c>
      <c r="Y257">
        <f>HYPERLINK("https://klasma.github.io/Logging_2281/tillsynsmail/A 30837-2023 tillsynsbegäran mail.docx", "A 30837-2023")</f>
        <v/>
      </c>
    </row>
    <row r="258" ht="15" customHeight="1">
      <c r="A258" t="inlineStr">
        <is>
          <t>A 30827-2023</t>
        </is>
      </c>
      <c r="B258" s="1" t="n">
        <v>45112</v>
      </c>
      <c r="C258" s="1" t="n">
        <v>45841</v>
      </c>
      <c r="D258" t="inlineStr">
        <is>
          <t>VÄSTERNORRLANDS LÄN</t>
        </is>
      </c>
      <c r="E258" t="inlineStr">
        <is>
          <t>SUNDSVALL</t>
        </is>
      </c>
      <c r="F258" t="inlineStr">
        <is>
          <t>SCA</t>
        </is>
      </c>
      <c r="G258" t="n">
        <v>21.9</v>
      </c>
      <c r="H258" t="n">
        <v>0</v>
      </c>
      <c r="I258" t="n">
        <v>1</v>
      </c>
      <c r="J258" t="n">
        <v>0</v>
      </c>
      <c r="K258" t="n">
        <v>0</v>
      </c>
      <c r="L258" t="n">
        <v>0</v>
      </c>
      <c r="M258" t="n">
        <v>0</v>
      </c>
      <c r="N258" t="n">
        <v>0</v>
      </c>
      <c r="O258" t="n">
        <v>0</v>
      </c>
      <c r="P258" t="n">
        <v>0</v>
      </c>
      <c r="Q258" t="n">
        <v>1</v>
      </c>
      <c r="R258" s="2" t="inlineStr">
        <is>
          <t>Dropptaggsvamp</t>
        </is>
      </c>
      <c r="S258">
        <f>HYPERLINK("https://klasma.github.io/Logging_2281/artfynd/A 30827-2023 artfynd.xlsx", "A 30827-2023")</f>
        <v/>
      </c>
      <c r="T258">
        <f>HYPERLINK("https://klasma.github.io/Logging_2281/kartor/A 30827-2023 karta.png", "A 30827-2023")</f>
        <v/>
      </c>
      <c r="V258">
        <f>HYPERLINK("https://klasma.github.io/Logging_2281/klagomål/A 30827-2023 FSC-klagomål.docx", "A 30827-2023")</f>
        <v/>
      </c>
      <c r="W258">
        <f>HYPERLINK("https://klasma.github.io/Logging_2281/klagomålsmail/A 30827-2023 FSC-klagomål mail.docx", "A 30827-2023")</f>
        <v/>
      </c>
      <c r="X258">
        <f>HYPERLINK("https://klasma.github.io/Logging_2281/tillsyn/A 30827-2023 tillsynsbegäran.docx", "A 30827-2023")</f>
        <v/>
      </c>
      <c r="Y258">
        <f>HYPERLINK("https://klasma.github.io/Logging_2281/tillsynsmail/A 30827-2023 tillsynsbegäran mail.docx", "A 30827-2023")</f>
        <v/>
      </c>
    </row>
    <row r="259" ht="15" customHeight="1">
      <c r="A259" t="inlineStr">
        <is>
          <t>A 35751-2023</t>
        </is>
      </c>
      <c r="B259" s="1" t="n">
        <v>45147</v>
      </c>
      <c r="C259" s="1" t="n">
        <v>45841</v>
      </c>
      <c r="D259" t="inlineStr">
        <is>
          <t>VÄSTERNORRLANDS LÄN</t>
        </is>
      </c>
      <c r="E259" t="inlineStr">
        <is>
          <t>SUNDSVALL</t>
        </is>
      </c>
      <c r="F259" t="inlineStr">
        <is>
          <t>SCA</t>
        </is>
      </c>
      <c r="G259" t="n">
        <v>5</v>
      </c>
      <c r="H259" t="n">
        <v>1</v>
      </c>
      <c r="I259" t="n">
        <v>0</v>
      </c>
      <c r="J259" t="n">
        <v>1</v>
      </c>
      <c r="K259" t="n">
        <v>0</v>
      </c>
      <c r="L259" t="n">
        <v>0</v>
      </c>
      <c r="M259" t="n">
        <v>0</v>
      </c>
      <c r="N259" t="n">
        <v>0</v>
      </c>
      <c r="O259" t="n">
        <v>1</v>
      </c>
      <c r="P259" t="n">
        <v>0</v>
      </c>
      <c r="Q259" t="n">
        <v>1</v>
      </c>
      <c r="R259" s="2" t="inlineStr">
        <is>
          <t>Nordfladdermus</t>
        </is>
      </c>
      <c r="S259">
        <f>HYPERLINK("https://klasma.github.io/Logging_2281/artfynd/A 35751-2023 artfynd.xlsx", "A 35751-2023")</f>
        <v/>
      </c>
      <c r="T259">
        <f>HYPERLINK("https://klasma.github.io/Logging_2281/kartor/A 35751-2023 karta.png", "A 35751-2023")</f>
        <v/>
      </c>
      <c r="V259">
        <f>HYPERLINK("https://klasma.github.io/Logging_2281/klagomål/A 35751-2023 FSC-klagomål.docx", "A 35751-2023")</f>
        <v/>
      </c>
      <c r="W259">
        <f>HYPERLINK("https://klasma.github.io/Logging_2281/klagomålsmail/A 35751-2023 FSC-klagomål mail.docx", "A 35751-2023")</f>
        <v/>
      </c>
      <c r="X259">
        <f>HYPERLINK("https://klasma.github.io/Logging_2281/tillsyn/A 35751-2023 tillsynsbegäran.docx", "A 35751-2023")</f>
        <v/>
      </c>
      <c r="Y259">
        <f>HYPERLINK("https://klasma.github.io/Logging_2281/tillsynsmail/A 35751-2023 tillsynsbegäran mail.docx", "A 35751-2023")</f>
        <v/>
      </c>
    </row>
    <row r="260" ht="15" customHeight="1">
      <c r="A260" t="inlineStr">
        <is>
          <t>A 37253-2023</t>
        </is>
      </c>
      <c r="B260" s="1" t="n">
        <v>45156</v>
      </c>
      <c r="C260" s="1" t="n">
        <v>45841</v>
      </c>
      <c r="D260" t="inlineStr">
        <is>
          <t>VÄSTERNORRLANDS LÄN</t>
        </is>
      </c>
      <c r="E260" t="inlineStr">
        <is>
          <t>SUNDSVALL</t>
        </is>
      </c>
      <c r="F260" t="inlineStr">
        <is>
          <t>SCA</t>
        </is>
      </c>
      <c r="G260" t="n">
        <v>3.7</v>
      </c>
      <c r="H260" t="n">
        <v>0</v>
      </c>
      <c r="I260" t="n">
        <v>0</v>
      </c>
      <c r="J260" t="n">
        <v>1</v>
      </c>
      <c r="K260" t="n">
        <v>0</v>
      </c>
      <c r="L260" t="n">
        <v>0</v>
      </c>
      <c r="M260" t="n">
        <v>0</v>
      </c>
      <c r="N260" t="n">
        <v>0</v>
      </c>
      <c r="O260" t="n">
        <v>1</v>
      </c>
      <c r="P260" t="n">
        <v>0</v>
      </c>
      <c r="Q260" t="n">
        <v>1</v>
      </c>
      <c r="R260" s="2" t="inlineStr">
        <is>
          <t>Garnlav</t>
        </is>
      </c>
      <c r="S260">
        <f>HYPERLINK("https://klasma.github.io/Logging_2281/artfynd/A 37253-2023 artfynd.xlsx", "A 37253-2023")</f>
        <v/>
      </c>
      <c r="T260">
        <f>HYPERLINK("https://klasma.github.io/Logging_2281/kartor/A 37253-2023 karta.png", "A 37253-2023")</f>
        <v/>
      </c>
      <c r="V260">
        <f>HYPERLINK("https://klasma.github.io/Logging_2281/klagomål/A 37253-2023 FSC-klagomål.docx", "A 37253-2023")</f>
        <v/>
      </c>
      <c r="W260">
        <f>HYPERLINK("https://klasma.github.io/Logging_2281/klagomålsmail/A 37253-2023 FSC-klagomål mail.docx", "A 37253-2023")</f>
        <v/>
      </c>
      <c r="X260">
        <f>HYPERLINK("https://klasma.github.io/Logging_2281/tillsyn/A 37253-2023 tillsynsbegäran.docx", "A 37253-2023")</f>
        <v/>
      </c>
      <c r="Y260">
        <f>HYPERLINK("https://klasma.github.io/Logging_2281/tillsynsmail/A 37253-2023 tillsynsbegäran mail.docx", "A 37253-2023")</f>
        <v/>
      </c>
    </row>
    <row r="261" ht="15" customHeight="1">
      <c r="A261" t="inlineStr">
        <is>
          <t>A 42148-2023</t>
        </is>
      </c>
      <c r="B261" s="1" t="n">
        <v>45178</v>
      </c>
      <c r="C261" s="1" t="n">
        <v>45841</v>
      </c>
      <c r="D261" t="inlineStr">
        <is>
          <t>VÄSTERNORRLANDS LÄN</t>
        </is>
      </c>
      <c r="E261" t="inlineStr">
        <is>
          <t>SUNDSVALL</t>
        </is>
      </c>
      <c r="F261" t="inlineStr">
        <is>
          <t>SCA</t>
        </is>
      </c>
      <c r="G261" t="n">
        <v>4.2</v>
      </c>
      <c r="H261" t="n">
        <v>1</v>
      </c>
      <c r="I261" t="n">
        <v>0</v>
      </c>
      <c r="J261" t="n">
        <v>0</v>
      </c>
      <c r="K261" t="n">
        <v>0</v>
      </c>
      <c r="L261" t="n">
        <v>0</v>
      </c>
      <c r="M261" t="n">
        <v>0</v>
      </c>
      <c r="N261" t="n">
        <v>0</v>
      </c>
      <c r="O261" t="n">
        <v>0</v>
      </c>
      <c r="P261" t="n">
        <v>0</v>
      </c>
      <c r="Q261" t="n">
        <v>1</v>
      </c>
      <c r="R261" s="2" t="inlineStr">
        <is>
          <t>Tjäder</t>
        </is>
      </c>
      <c r="S261">
        <f>HYPERLINK("https://klasma.github.io/Logging_2281/artfynd/A 42148-2023 artfynd.xlsx", "A 42148-2023")</f>
        <v/>
      </c>
      <c r="T261">
        <f>HYPERLINK("https://klasma.github.io/Logging_2281/kartor/A 42148-2023 karta.png", "A 42148-2023")</f>
        <v/>
      </c>
      <c r="V261">
        <f>HYPERLINK("https://klasma.github.io/Logging_2281/klagomål/A 42148-2023 FSC-klagomål.docx", "A 42148-2023")</f>
        <v/>
      </c>
      <c r="W261">
        <f>HYPERLINK("https://klasma.github.io/Logging_2281/klagomålsmail/A 42148-2023 FSC-klagomål mail.docx", "A 42148-2023")</f>
        <v/>
      </c>
      <c r="X261">
        <f>HYPERLINK("https://klasma.github.io/Logging_2281/tillsyn/A 42148-2023 tillsynsbegäran.docx", "A 42148-2023")</f>
        <v/>
      </c>
      <c r="Y261">
        <f>HYPERLINK("https://klasma.github.io/Logging_2281/tillsynsmail/A 42148-2023 tillsynsbegäran mail.docx", "A 42148-2023")</f>
        <v/>
      </c>
      <c r="Z261">
        <f>HYPERLINK("https://klasma.github.io/Logging_2281/fåglar/A 42148-2023 prioriterade fågelarter.docx", "A 42148-2023")</f>
        <v/>
      </c>
    </row>
    <row r="262" ht="15" customHeight="1">
      <c r="A262" t="inlineStr">
        <is>
          <t>A 43424-2023</t>
        </is>
      </c>
      <c r="B262" s="1" t="n">
        <v>45183</v>
      </c>
      <c r="C262" s="1" t="n">
        <v>45841</v>
      </c>
      <c r="D262" t="inlineStr">
        <is>
          <t>VÄSTERNORRLANDS LÄN</t>
        </is>
      </c>
      <c r="E262" t="inlineStr">
        <is>
          <t>SUNDSVALL</t>
        </is>
      </c>
      <c r="F262" t="inlineStr">
        <is>
          <t>SCA</t>
        </is>
      </c>
      <c r="G262" t="n">
        <v>2.8</v>
      </c>
      <c r="H262" t="n">
        <v>0</v>
      </c>
      <c r="I262" t="n">
        <v>0</v>
      </c>
      <c r="J262" t="n">
        <v>1</v>
      </c>
      <c r="K262" t="n">
        <v>0</v>
      </c>
      <c r="L262" t="n">
        <v>0</v>
      </c>
      <c r="M262" t="n">
        <v>0</v>
      </c>
      <c r="N262" t="n">
        <v>0</v>
      </c>
      <c r="O262" t="n">
        <v>1</v>
      </c>
      <c r="P262" t="n">
        <v>0</v>
      </c>
      <c r="Q262" t="n">
        <v>1</v>
      </c>
      <c r="R262" s="2" t="inlineStr">
        <is>
          <t>Garnlav</t>
        </is>
      </c>
      <c r="S262">
        <f>HYPERLINK("https://klasma.github.io/Logging_2281/artfynd/A 43424-2023 artfynd.xlsx", "A 43424-2023")</f>
        <v/>
      </c>
      <c r="T262">
        <f>HYPERLINK("https://klasma.github.io/Logging_2281/kartor/A 43424-2023 karta.png", "A 43424-2023")</f>
        <v/>
      </c>
      <c r="V262">
        <f>HYPERLINK("https://klasma.github.io/Logging_2281/klagomål/A 43424-2023 FSC-klagomål.docx", "A 43424-2023")</f>
        <v/>
      </c>
      <c r="W262">
        <f>HYPERLINK("https://klasma.github.io/Logging_2281/klagomålsmail/A 43424-2023 FSC-klagomål mail.docx", "A 43424-2023")</f>
        <v/>
      </c>
      <c r="X262">
        <f>HYPERLINK("https://klasma.github.io/Logging_2281/tillsyn/A 43424-2023 tillsynsbegäran.docx", "A 43424-2023")</f>
        <v/>
      </c>
      <c r="Y262">
        <f>HYPERLINK("https://klasma.github.io/Logging_2281/tillsynsmail/A 43424-2023 tillsynsbegäran mail.docx", "A 43424-2023")</f>
        <v/>
      </c>
    </row>
    <row r="263" ht="15" customHeight="1">
      <c r="A263" t="inlineStr">
        <is>
          <t>A 44193-2023</t>
        </is>
      </c>
      <c r="B263" s="1" t="n">
        <v>45188</v>
      </c>
      <c r="C263" s="1" t="n">
        <v>45841</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45023-2023</t>
        </is>
      </c>
      <c r="B264" s="1" t="n">
        <v>45191</v>
      </c>
      <c r="C264" s="1" t="n">
        <v>45841</v>
      </c>
      <c r="D264" t="inlineStr">
        <is>
          <t>VÄSTERNORRLANDS LÄN</t>
        </is>
      </c>
      <c r="E264" t="inlineStr">
        <is>
          <t>SUNDSVALL</t>
        </is>
      </c>
      <c r="F264" t="inlineStr">
        <is>
          <t>SCA</t>
        </is>
      </c>
      <c r="G264" t="n">
        <v>2.2</v>
      </c>
      <c r="H264" t="n">
        <v>0</v>
      </c>
      <c r="I264" t="n">
        <v>0</v>
      </c>
      <c r="J264" t="n">
        <v>1</v>
      </c>
      <c r="K264" t="n">
        <v>0</v>
      </c>
      <c r="L264" t="n">
        <v>0</v>
      </c>
      <c r="M264" t="n">
        <v>0</v>
      </c>
      <c r="N264" t="n">
        <v>0</v>
      </c>
      <c r="O264" t="n">
        <v>1</v>
      </c>
      <c r="P264" t="n">
        <v>0</v>
      </c>
      <c r="Q264" t="n">
        <v>1</v>
      </c>
      <c r="R264" s="2" t="inlineStr">
        <is>
          <t>Skogshare</t>
        </is>
      </c>
      <c r="S264">
        <f>HYPERLINK("https://klasma.github.io/Logging_2281/artfynd/A 45023-2023 artfynd.xlsx", "A 45023-2023")</f>
        <v/>
      </c>
      <c r="T264">
        <f>HYPERLINK("https://klasma.github.io/Logging_2281/kartor/A 45023-2023 karta.png", "A 45023-2023")</f>
        <v/>
      </c>
      <c r="V264">
        <f>HYPERLINK("https://klasma.github.io/Logging_2281/klagomål/A 45023-2023 FSC-klagomål.docx", "A 45023-2023")</f>
        <v/>
      </c>
      <c r="W264">
        <f>HYPERLINK("https://klasma.github.io/Logging_2281/klagomålsmail/A 45023-2023 FSC-klagomål mail.docx", "A 45023-2023")</f>
        <v/>
      </c>
      <c r="X264">
        <f>HYPERLINK("https://klasma.github.io/Logging_2281/tillsyn/A 45023-2023 tillsynsbegäran.docx", "A 45023-2023")</f>
        <v/>
      </c>
      <c r="Y264">
        <f>HYPERLINK("https://klasma.github.io/Logging_2281/tillsynsmail/A 45023-2023 tillsynsbegäran mail.docx", "A 45023-2023")</f>
        <v/>
      </c>
    </row>
    <row r="265" ht="15" customHeight="1">
      <c r="A265" t="inlineStr">
        <is>
          <t>A 45332-2023</t>
        </is>
      </c>
      <c r="B265" s="1" t="n">
        <v>45191</v>
      </c>
      <c r="C265" s="1" t="n">
        <v>45841</v>
      </c>
      <c r="D265" t="inlineStr">
        <is>
          <t>VÄSTERNORRLANDS LÄN</t>
        </is>
      </c>
      <c r="E265" t="inlineStr">
        <is>
          <t>SUNDSVALL</t>
        </is>
      </c>
      <c r="F265" t="inlineStr">
        <is>
          <t>SCA</t>
        </is>
      </c>
      <c r="G265" t="n">
        <v>3.8</v>
      </c>
      <c r="H265" t="n">
        <v>1</v>
      </c>
      <c r="I265" t="n">
        <v>0</v>
      </c>
      <c r="J265" t="n">
        <v>0</v>
      </c>
      <c r="K265" t="n">
        <v>0</v>
      </c>
      <c r="L265" t="n">
        <v>0</v>
      </c>
      <c r="M265" t="n">
        <v>0</v>
      </c>
      <c r="N265" t="n">
        <v>0</v>
      </c>
      <c r="O265" t="n">
        <v>0</v>
      </c>
      <c r="P265" t="n">
        <v>0</v>
      </c>
      <c r="Q265" t="n">
        <v>1</v>
      </c>
      <c r="R265" s="2" t="inlineStr">
        <is>
          <t>Fläcknycklar</t>
        </is>
      </c>
      <c r="S265">
        <f>HYPERLINK("https://klasma.github.io/Logging_2281/artfynd/A 45332-2023 artfynd.xlsx", "A 45332-2023")</f>
        <v/>
      </c>
      <c r="T265">
        <f>HYPERLINK("https://klasma.github.io/Logging_2281/kartor/A 45332-2023 karta.png", "A 45332-2023")</f>
        <v/>
      </c>
      <c r="V265">
        <f>HYPERLINK("https://klasma.github.io/Logging_2281/klagomål/A 45332-2023 FSC-klagomål.docx", "A 45332-2023")</f>
        <v/>
      </c>
      <c r="W265">
        <f>HYPERLINK("https://klasma.github.io/Logging_2281/klagomålsmail/A 45332-2023 FSC-klagomål mail.docx", "A 45332-2023")</f>
        <v/>
      </c>
      <c r="X265">
        <f>HYPERLINK("https://klasma.github.io/Logging_2281/tillsyn/A 45332-2023 tillsynsbegäran.docx", "A 45332-2023")</f>
        <v/>
      </c>
      <c r="Y265">
        <f>HYPERLINK("https://klasma.github.io/Logging_2281/tillsynsmail/A 45332-2023 tillsynsbegäran mail.docx", "A 45332-2023")</f>
        <v/>
      </c>
    </row>
    <row r="266" ht="15" customHeight="1">
      <c r="A266" t="inlineStr">
        <is>
          <t>A 46260-2023</t>
        </is>
      </c>
      <c r="B266" s="1" t="n">
        <v>45196</v>
      </c>
      <c r="C266" s="1" t="n">
        <v>45841</v>
      </c>
      <c r="D266" t="inlineStr">
        <is>
          <t>VÄSTERNORRLANDS LÄN</t>
        </is>
      </c>
      <c r="E266" t="inlineStr">
        <is>
          <t>SUNDSVALL</t>
        </is>
      </c>
      <c r="F266" t="inlineStr">
        <is>
          <t>SCA</t>
        </is>
      </c>
      <c r="G266" t="n">
        <v>3</v>
      </c>
      <c r="H266" t="n">
        <v>1</v>
      </c>
      <c r="I266" t="n">
        <v>0</v>
      </c>
      <c r="J266" t="n">
        <v>1</v>
      </c>
      <c r="K266" t="n">
        <v>0</v>
      </c>
      <c r="L266" t="n">
        <v>0</v>
      </c>
      <c r="M266" t="n">
        <v>0</v>
      </c>
      <c r="N266" t="n">
        <v>0</v>
      </c>
      <c r="O266" t="n">
        <v>1</v>
      </c>
      <c r="P266" t="n">
        <v>0</v>
      </c>
      <c r="Q266" t="n">
        <v>1</v>
      </c>
      <c r="R266" s="2" t="inlineStr">
        <is>
          <t>Spillkråka</t>
        </is>
      </c>
      <c r="S266">
        <f>HYPERLINK("https://klasma.github.io/Logging_2281/artfynd/A 46260-2023 artfynd.xlsx", "A 46260-2023")</f>
        <v/>
      </c>
      <c r="T266">
        <f>HYPERLINK("https://klasma.github.io/Logging_2281/kartor/A 46260-2023 karta.png", "A 46260-2023")</f>
        <v/>
      </c>
      <c r="V266">
        <f>HYPERLINK("https://klasma.github.io/Logging_2281/klagomål/A 46260-2023 FSC-klagomål.docx", "A 46260-2023")</f>
        <v/>
      </c>
      <c r="W266">
        <f>HYPERLINK("https://klasma.github.io/Logging_2281/klagomålsmail/A 46260-2023 FSC-klagomål mail.docx", "A 46260-2023")</f>
        <v/>
      </c>
      <c r="X266">
        <f>HYPERLINK("https://klasma.github.io/Logging_2281/tillsyn/A 46260-2023 tillsynsbegäran.docx", "A 46260-2023")</f>
        <v/>
      </c>
      <c r="Y266">
        <f>HYPERLINK("https://klasma.github.io/Logging_2281/tillsynsmail/A 46260-2023 tillsynsbegäran mail.docx", "A 46260-2023")</f>
        <v/>
      </c>
      <c r="Z266">
        <f>HYPERLINK("https://klasma.github.io/Logging_2281/fåglar/A 46260-2023 prioriterade fågelarter.docx", "A 46260-2023")</f>
        <v/>
      </c>
    </row>
    <row r="267" ht="15" customHeight="1">
      <c r="A267" t="inlineStr">
        <is>
          <t>A 47245-2023</t>
        </is>
      </c>
      <c r="B267" s="1" t="n">
        <v>45202</v>
      </c>
      <c r="C267" s="1" t="n">
        <v>45841</v>
      </c>
      <c r="D267" t="inlineStr">
        <is>
          <t>VÄSTERNORRLANDS LÄN</t>
        </is>
      </c>
      <c r="E267" t="inlineStr">
        <is>
          <t>SUNDSVALL</t>
        </is>
      </c>
      <c r="G267" t="n">
        <v>1.6</v>
      </c>
      <c r="H267" t="n">
        <v>1</v>
      </c>
      <c r="I267" t="n">
        <v>1</v>
      </c>
      <c r="J267" t="n">
        <v>0</v>
      </c>
      <c r="K267" t="n">
        <v>0</v>
      </c>
      <c r="L267" t="n">
        <v>0</v>
      </c>
      <c r="M267" t="n">
        <v>0</v>
      </c>
      <c r="N267" t="n">
        <v>0</v>
      </c>
      <c r="O267" t="n">
        <v>0</v>
      </c>
      <c r="P267" t="n">
        <v>0</v>
      </c>
      <c r="Q267" t="n">
        <v>1</v>
      </c>
      <c r="R267" s="2" t="inlineStr">
        <is>
          <t>Tvåblad</t>
        </is>
      </c>
      <c r="S267">
        <f>HYPERLINK("https://klasma.github.io/Logging_2281/artfynd/A 47245-2023 artfynd.xlsx", "A 47245-2023")</f>
        <v/>
      </c>
      <c r="T267">
        <f>HYPERLINK("https://klasma.github.io/Logging_2281/kartor/A 47245-2023 karta.png", "A 47245-2023")</f>
        <v/>
      </c>
      <c r="V267">
        <f>HYPERLINK("https://klasma.github.io/Logging_2281/klagomål/A 47245-2023 FSC-klagomål.docx", "A 47245-2023")</f>
        <v/>
      </c>
      <c r="W267">
        <f>HYPERLINK("https://klasma.github.io/Logging_2281/klagomålsmail/A 47245-2023 FSC-klagomål mail.docx", "A 47245-2023")</f>
        <v/>
      </c>
      <c r="X267">
        <f>HYPERLINK("https://klasma.github.io/Logging_2281/tillsyn/A 47245-2023 tillsynsbegäran.docx", "A 47245-2023")</f>
        <v/>
      </c>
      <c r="Y267">
        <f>HYPERLINK("https://klasma.github.io/Logging_2281/tillsynsmail/A 47245-2023 tillsynsbegäran mail.docx", "A 47245-2023")</f>
        <v/>
      </c>
    </row>
    <row r="268" ht="15" customHeight="1">
      <c r="A268" t="inlineStr">
        <is>
          <t>A 49863-2023</t>
        </is>
      </c>
      <c r="B268" s="1" t="n">
        <v>45212</v>
      </c>
      <c r="C268" s="1" t="n">
        <v>45841</v>
      </c>
      <c r="D268" t="inlineStr">
        <is>
          <t>VÄSTERNORRLANDS LÄN</t>
        </is>
      </c>
      <c r="E268" t="inlineStr">
        <is>
          <t>SUNDSVALL</t>
        </is>
      </c>
      <c r="F268" t="inlineStr">
        <is>
          <t>SCA</t>
        </is>
      </c>
      <c r="G268" t="n">
        <v>2.3</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49863-2023 artfynd.xlsx", "A 49863-2023")</f>
        <v/>
      </c>
      <c r="T268">
        <f>HYPERLINK("https://klasma.github.io/Logging_2281/kartor/A 49863-2023 karta.png", "A 49863-2023")</f>
        <v/>
      </c>
      <c r="V268">
        <f>HYPERLINK("https://klasma.github.io/Logging_2281/klagomål/A 49863-2023 FSC-klagomål.docx", "A 49863-2023")</f>
        <v/>
      </c>
      <c r="W268">
        <f>HYPERLINK("https://klasma.github.io/Logging_2281/klagomålsmail/A 49863-2023 FSC-klagomål mail.docx", "A 49863-2023")</f>
        <v/>
      </c>
      <c r="X268">
        <f>HYPERLINK("https://klasma.github.io/Logging_2281/tillsyn/A 49863-2023 tillsynsbegäran.docx", "A 49863-2023")</f>
        <v/>
      </c>
      <c r="Y268">
        <f>HYPERLINK("https://klasma.github.io/Logging_2281/tillsynsmail/A 49863-2023 tillsynsbegäran mail.docx", "A 49863-2023")</f>
        <v/>
      </c>
      <c r="Z268">
        <f>HYPERLINK("https://klasma.github.io/Logging_2281/fåglar/A 49863-2023 prioriterade fågelarter.docx", "A 49863-2023")</f>
        <v/>
      </c>
    </row>
    <row r="269" ht="15" customHeight="1">
      <c r="A269" t="inlineStr">
        <is>
          <t>A 50214-2023</t>
        </is>
      </c>
      <c r="B269" s="1" t="n">
        <v>45216</v>
      </c>
      <c r="C269" s="1" t="n">
        <v>45841</v>
      </c>
      <c r="D269" t="inlineStr">
        <is>
          <t>VÄSTERNORRLANDS LÄN</t>
        </is>
      </c>
      <c r="E269" t="inlineStr">
        <is>
          <t>SUNDSVALL</t>
        </is>
      </c>
      <c r="F269" t="inlineStr">
        <is>
          <t>SCA</t>
        </is>
      </c>
      <c r="G269" t="n">
        <v>5.7</v>
      </c>
      <c r="H269" t="n">
        <v>1</v>
      </c>
      <c r="I269" t="n">
        <v>0</v>
      </c>
      <c r="J269" t="n">
        <v>1</v>
      </c>
      <c r="K269" t="n">
        <v>0</v>
      </c>
      <c r="L269" t="n">
        <v>0</v>
      </c>
      <c r="M269" t="n">
        <v>0</v>
      </c>
      <c r="N269" t="n">
        <v>0</v>
      </c>
      <c r="O269" t="n">
        <v>1</v>
      </c>
      <c r="P269" t="n">
        <v>0</v>
      </c>
      <c r="Q269" t="n">
        <v>1</v>
      </c>
      <c r="R269" s="2" t="inlineStr">
        <is>
          <t>Spillkråka</t>
        </is>
      </c>
      <c r="S269">
        <f>HYPERLINK("https://klasma.github.io/Logging_2281/artfynd/A 50214-2023 artfynd.xlsx", "A 50214-2023")</f>
        <v/>
      </c>
      <c r="T269">
        <f>HYPERLINK("https://klasma.github.io/Logging_2281/kartor/A 50214-2023 karta.png", "A 50214-2023")</f>
        <v/>
      </c>
      <c r="V269">
        <f>HYPERLINK("https://klasma.github.io/Logging_2281/klagomål/A 50214-2023 FSC-klagomål.docx", "A 50214-2023")</f>
        <v/>
      </c>
      <c r="W269">
        <f>HYPERLINK("https://klasma.github.io/Logging_2281/klagomålsmail/A 50214-2023 FSC-klagomål mail.docx", "A 50214-2023")</f>
        <v/>
      </c>
      <c r="X269">
        <f>HYPERLINK("https://klasma.github.io/Logging_2281/tillsyn/A 50214-2023 tillsynsbegäran.docx", "A 50214-2023")</f>
        <v/>
      </c>
      <c r="Y269">
        <f>HYPERLINK("https://klasma.github.io/Logging_2281/tillsynsmail/A 50214-2023 tillsynsbegäran mail.docx", "A 50214-2023")</f>
        <v/>
      </c>
      <c r="Z269">
        <f>HYPERLINK("https://klasma.github.io/Logging_2281/fåglar/A 50214-2023 prioriterade fågelarter.docx", "A 50214-2023")</f>
        <v/>
      </c>
    </row>
    <row r="270" ht="15" customHeight="1">
      <c r="A270" t="inlineStr">
        <is>
          <t>A 50213-2023</t>
        </is>
      </c>
      <c r="B270" s="1" t="n">
        <v>45216</v>
      </c>
      <c r="C270" s="1" t="n">
        <v>45841</v>
      </c>
      <c r="D270" t="inlineStr">
        <is>
          <t>VÄSTERNORRLANDS LÄN</t>
        </is>
      </c>
      <c r="E270" t="inlineStr">
        <is>
          <t>SUNDSVALL</t>
        </is>
      </c>
      <c r="F270" t="inlineStr">
        <is>
          <t>SCA</t>
        </is>
      </c>
      <c r="G270" t="n">
        <v>10.9</v>
      </c>
      <c r="H270" t="n">
        <v>1</v>
      </c>
      <c r="I270" t="n">
        <v>0</v>
      </c>
      <c r="J270" t="n">
        <v>1</v>
      </c>
      <c r="K270" t="n">
        <v>0</v>
      </c>
      <c r="L270" t="n">
        <v>0</v>
      </c>
      <c r="M270" t="n">
        <v>0</v>
      </c>
      <c r="N270" t="n">
        <v>0</v>
      </c>
      <c r="O270" t="n">
        <v>1</v>
      </c>
      <c r="P270" t="n">
        <v>0</v>
      </c>
      <c r="Q270" t="n">
        <v>1</v>
      </c>
      <c r="R270" s="2" t="inlineStr">
        <is>
          <t>Talltita</t>
        </is>
      </c>
      <c r="S270">
        <f>HYPERLINK("https://klasma.github.io/Logging_2281/artfynd/A 50213-2023 artfynd.xlsx", "A 50213-2023")</f>
        <v/>
      </c>
      <c r="T270">
        <f>HYPERLINK("https://klasma.github.io/Logging_2281/kartor/A 50213-2023 karta.png", "A 50213-2023")</f>
        <v/>
      </c>
      <c r="V270">
        <f>HYPERLINK("https://klasma.github.io/Logging_2281/klagomål/A 50213-2023 FSC-klagomål.docx", "A 50213-2023")</f>
        <v/>
      </c>
      <c r="W270">
        <f>HYPERLINK("https://klasma.github.io/Logging_2281/klagomålsmail/A 50213-2023 FSC-klagomål mail.docx", "A 50213-2023")</f>
        <v/>
      </c>
      <c r="X270">
        <f>HYPERLINK("https://klasma.github.io/Logging_2281/tillsyn/A 50213-2023 tillsynsbegäran.docx", "A 50213-2023")</f>
        <v/>
      </c>
      <c r="Y270">
        <f>HYPERLINK("https://klasma.github.io/Logging_2281/tillsynsmail/A 50213-2023 tillsynsbegäran mail.docx", "A 50213-2023")</f>
        <v/>
      </c>
      <c r="Z270">
        <f>HYPERLINK("https://klasma.github.io/Logging_2281/fåglar/A 50213-2023 prioriterade fågelarter.docx", "A 50213-2023")</f>
        <v/>
      </c>
    </row>
    <row r="271" ht="15" customHeight="1">
      <c r="A271" t="inlineStr">
        <is>
          <t>A 51737-2023</t>
        </is>
      </c>
      <c r="B271" s="1" t="n">
        <v>45222</v>
      </c>
      <c r="C271" s="1" t="n">
        <v>45841</v>
      </c>
      <c r="D271" t="inlineStr">
        <is>
          <t>VÄSTERNORRLANDS LÄN</t>
        </is>
      </c>
      <c r="E271" t="inlineStr">
        <is>
          <t>SUNDSVALL</t>
        </is>
      </c>
      <c r="G271" t="n">
        <v>10.9</v>
      </c>
      <c r="H271" t="n">
        <v>0</v>
      </c>
      <c r="I271" t="n">
        <v>0</v>
      </c>
      <c r="J271" t="n">
        <v>1</v>
      </c>
      <c r="K271" t="n">
        <v>0</v>
      </c>
      <c r="L271" t="n">
        <v>0</v>
      </c>
      <c r="M271" t="n">
        <v>0</v>
      </c>
      <c r="N271" t="n">
        <v>0</v>
      </c>
      <c r="O271" t="n">
        <v>1</v>
      </c>
      <c r="P271" t="n">
        <v>0</v>
      </c>
      <c r="Q271" t="n">
        <v>1</v>
      </c>
      <c r="R271" s="2" t="inlineStr">
        <is>
          <t>Garnlav</t>
        </is>
      </c>
      <c r="S271">
        <f>HYPERLINK("https://klasma.github.io/Logging_2281/artfynd/A 51737-2023 artfynd.xlsx", "A 51737-2023")</f>
        <v/>
      </c>
      <c r="T271">
        <f>HYPERLINK("https://klasma.github.io/Logging_2281/kartor/A 51737-2023 karta.png", "A 51737-2023")</f>
        <v/>
      </c>
      <c r="V271">
        <f>HYPERLINK("https://klasma.github.io/Logging_2281/klagomål/A 51737-2023 FSC-klagomål.docx", "A 51737-2023")</f>
        <v/>
      </c>
      <c r="W271">
        <f>HYPERLINK("https://klasma.github.io/Logging_2281/klagomålsmail/A 51737-2023 FSC-klagomål mail.docx", "A 51737-2023")</f>
        <v/>
      </c>
      <c r="X271">
        <f>HYPERLINK("https://klasma.github.io/Logging_2281/tillsyn/A 51737-2023 tillsynsbegäran.docx", "A 51737-2023")</f>
        <v/>
      </c>
      <c r="Y271">
        <f>HYPERLINK("https://klasma.github.io/Logging_2281/tillsynsmail/A 51737-2023 tillsynsbegäran mail.docx", "A 51737-2023")</f>
        <v/>
      </c>
    </row>
    <row r="272" ht="15" customHeight="1">
      <c r="A272" t="inlineStr">
        <is>
          <t>A 54325-2023</t>
        </is>
      </c>
      <c r="B272" s="1" t="n">
        <v>45232</v>
      </c>
      <c r="C272" s="1" t="n">
        <v>45841</v>
      </c>
      <c r="D272" t="inlineStr">
        <is>
          <t>VÄSTERNORRLANDS LÄN</t>
        </is>
      </c>
      <c r="E272" t="inlineStr">
        <is>
          <t>SUNDSVALL</t>
        </is>
      </c>
      <c r="F272" t="inlineStr">
        <is>
          <t>SCA</t>
        </is>
      </c>
      <c r="G272" t="n">
        <v>5.7</v>
      </c>
      <c r="H272" t="n">
        <v>0</v>
      </c>
      <c r="I272" t="n">
        <v>0</v>
      </c>
      <c r="J272" t="n">
        <v>1</v>
      </c>
      <c r="K272" t="n">
        <v>0</v>
      </c>
      <c r="L272" t="n">
        <v>0</v>
      </c>
      <c r="M272" t="n">
        <v>0</v>
      </c>
      <c r="N272" t="n">
        <v>0</v>
      </c>
      <c r="O272" t="n">
        <v>1</v>
      </c>
      <c r="P272" t="n">
        <v>0</v>
      </c>
      <c r="Q272" t="n">
        <v>1</v>
      </c>
      <c r="R272" s="2" t="inlineStr">
        <is>
          <t>Igelkott</t>
        </is>
      </c>
      <c r="S272">
        <f>HYPERLINK("https://klasma.github.io/Logging_2281/artfynd/A 54325-2023 artfynd.xlsx", "A 54325-2023")</f>
        <v/>
      </c>
      <c r="T272">
        <f>HYPERLINK("https://klasma.github.io/Logging_2281/kartor/A 54325-2023 karta.png", "A 54325-2023")</f>
        <v/>
      </c>
      <c r="V272">
        <f>HYPERLINK("https://klasma.github.io/Logging_2281/klagomål/A 54325-2023 FSC-klagomål.docx", "A 54325-2023")</f>
        <v/>
      </c>
      <c r="W272">
        <f>HYPERLINK("https://klasma.github.io/Logging_2281/klagomålsmail/A 54325-2023 FSC-klagomål mail.docx", "A 54325-2023")</f>
        <v/>
      </c>
      <c r="X272">
        <f>HYPERLINK("https://klasma.github.io/Logging_2281/tillsyn/A 54325-2023 tillsynsbegäran.docx", "A 54325-2023")</f>
        <v/>
      </c>
      <c r="Y272">
        <f>HYPERLINK("https://klasma.github.io/Logging_2281/tillsynsmail/A 54325-2023 tillsynsbegäran mail.docx", "A 54325-2023")</f>
        <v/>
      </c>
    </row>
    <row r="273" ht="15" customHeight="1">
      <c r="A273" t="inlineStr">
        <is>
          <t>A 56698-2023</t>
        </is>
      </c>
      <c r="B273" s="1" t="n">
        <v>45244</v>
      </c>
      <c r="C273" s="1" t="n">
        <v>45841</v>
      </c>
      <c r="D273" t="inlineStr">
        <is>
          <t>VÄSTERNORRLANDS LÄN</t>
        </is>
      </c>
      <c r="E273" t="inlineStr">
        <is>
          <t>SUNDSVALL</t>
        </is>
      </c>
      <c r="F273" t="inlineStr">
        <is>
          <t>SCA</t>
        </is>
      </c>
      <c r="G273" t="n">
        <v>3.1</v>
      </c>
      <c r="H273" t="n">
        <v>0</v>
      </c>
      <c r="I273" t="n">
        <v>0</v>
      </c>
      <c r="J273" t="n">
        <v>1</v>
      </c>
      <c r="K273" t="n">
        <v>0</v>
      </c>
      <c r="L273" t="n">
        <v>0</v>
      </c>
      <c r="M273" t="n">
        <v>0</v>
      </c>
      <c r="N273" t="n">
        <v>0</v>
      </c>
      <c r="O273" t="n">
        <v>1</v>
      </c>
      <c r="P273" t="n">
        <v>0</v>
      </c>
      <c r="Q273" t="n">
        <v>1</v>
      </c>
      <c r="R273" s="2" t="inlineStr">
        <is>
          <t>Granticka</t>
        </is>
      </c>
      <c r="S273">
        <f>HYPERLINK("https://klasma.github.io/Logging_2281/artfynd/A 56698-2023 artfynd.xlsx", "A 56698-2023")</f>
        <v/>
      </c>
      <c r="T273">
        <f>HYPERLINK("https://klasma.github.io/Logging_2281/kartor/A 56698-2023 karta.png", "A 56698-2023")</f>
        <v/>
      </c>
      <c r="V273">
        <f>HYPERLINK("https://klasma.github.io/Logging_2281/klagomål/A 56698-2023 FSC-klagomål.docx", "A 56698-2023")</f>
        <v/>
      </c>
      <c r="W273">
        <f>HYPERLINK("https://klasma.github.io/Logging_2281/klagomålsmail/A 56698-2023 FSC-klagomål mail.docx", "A 56698-2023")</f>
        <v/>
      </c>
      <c r="X273">
        <f>HYPERLINK("https://klasma.github.io/Logging_2281/tillsyn/A 56698-2023 tillsynsbegäran.docx", "A 56698-2023")</f>
        <v/>
      </c>
      <c r="Y273">
        <f>HYPERLINK("https://klasma.github.io/Logging_2281/tillsynsmail/A 56698-2023 tillsynsbegäran mail.docx", "A 56698-2023")</f>
        <v/>
      </c>
    </row>
    <row r="274" ht="15" customHeight="1">
      <c r="A274" t="inlineStr">
        <is>
          <t>A 58470-2023</t>
        </is>
      </c>
      <c r="B274" s="1" t="n">
        <v>45250</v>
      </c>
      <c r="C274" s="1" t="n">
        <v>45841</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59870-2023</t>
        </is>
      </c>
      <c r="B275" s="1" t="n">
        <v>45254</v>
      </c>
      <c r="C275" s="1" t="n">
        <v>45841</v>
      </c>
      <c r="D275" t="inlineStr">
        <is>
          <t>VÄSTERNORRLANDS LÄN</t>
        </is>
      </c>
      <c r="E275" t="inlineStr">
        <is>
          <t>SUNDSVALL</t>
        </is>
      </c>
      <c r="G275" t="n">
        <v>3.2</v>
      </c>
      <c r="H275" t="n">
        <v>0</v>
      </c>
      <c r="I275" t="n">
        <v>0</v>
      </c>
      <c r="J275" t="n">
        <v>1</v>
      </c>
      <c r="K275" t="n">
        <v>0</v>
      </c>
      <c r="L275" t="n">
        <v>0</v>
      </c>
      <c r="M275" t="n">
        <v>0</v>
      </c>
      <c r="N275" t="n">
        <v>0</v>
      </c>
      <c r="O275" t="n">
        <v>1</v>
      </c>
      <c r="P275" t="n">
        <v>0</v>
      </c>
      <c r="Q275" t="n">
        <v>1</v>
      </c>
      <c r="R275" s="2" t="inlineStr">
        <is>
          <t>Lunglav</t>
        </is>
      </c>
      <c r="S275">
        <f>HYPERLINK("https://klasma.github.io/Logging_2281/artfynd/A 59870-2023 artfynd.xlsx", "A 59870-2023")</f>
        <v/>
      </c>
      <c r="T275">
        <f>HYPERLINK("https://klasma.github.io/Logging_2281/kartor/A 59870-2023 karta.png", "A 59870-2023")</f>
        <v/>
      </c>
      <c r="V275">
        <f>HYPERLINK("https://klasma.github.io/Logging_2281/klagomål/A 59870-2023 FSC-klagomål.docx", "A 59870-2023")</f>
        <v/>
      </c>
      <c r="W275">
        <f>HYPERLINK("https://klasma.github.io/Logging_2281/klagomålsmail/A 59870-2023 FSC-klagomål mail.docx", "A 59870-2023")</f>
        <v/>
      </c>
      <c r="X275">
        <f>HYPERLINK("https://klasma.github.io/Logging_2281/tillsyn/A 59870-2023 tillsynsbegäran.docx", "A 59870-2023")</f>
        <v/>
      </c>
      <c r="Y275">
        <f>HYPERLINK("https://klasma.github.io/Logging_2281/tillsynsmail/A 59870-2023 tillsynsbegäran mail.docx", "A 59870-2023")</f>
        <v/>
      </c>
    </row>
    <row r="276" ht="15" customHeight="1">
      <c r="A276" t="inlineStr">
        <is>
          <t>A 64483-2023</t>
        </is>
      </c>
      <c r="B276" s="1" t="n">
        <v>45280</v>
      </c>
      <c r="C276" s="1" t="n">
        <v>45841</v>
      </c>
      <c r="D276" t="inlineStr">
        <is>
          <t>VÄSTERNORRLANDS LÄN</t>
        </is>
      </c>
      <c r="E276" t="inlineStr">
        <is>
          <t>SUNDSVALL</t>
        </is>
      </c>
      <c r="G276" t="n">
        <v>1.5</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64483-2023 artfynd.xlsx", "A 64483-2023")</f>
        <v/>
      </c>
      <c r="T276">
        <f>HYPERLINK("https://klasma.github.io/Logging_2281/kartor/A 64483-2023 karta.png", "A 64483-2023")</f>
        <v/>
      </c>
      <c r="V276">
        <f>HYPERLINK("https://klasma.github.io/Logging_2281/klagomål/A 64483-2023 FSC-klagomål.docx", "A 64483-2023")</f>
        <v/>
      </c>
      <c r="W276">
        <f>HYPERLINK("https://klasma.github.io/Logging_2281/klagomålsmail/A 64483-2023 FSC-klagomål mail.docx", "A 64483-2023")</f>
        <v/>
      </c>
      <c r="X276">
        <f>HYPERLINK("https://klasma.github.io/Logging_2281/tillsyn/A 64483-2023 tillsynsbegäran.docx", "A 64483-2023")</f>
        <v/>
      </c>
      <c r="Y276">
        <f>HYPERLINK("https://klasma.github.io/Logging_2281/tillsynsmail/A 64483-2023 tillsynsbegäran mail.docx", "A 64483-2023")</f>
        <v/>
      </c>
      <c r="Z276">
        <f>HYPERLINK("https://klasma.github.io/Logging_2281/fåglar/A 64483-2023 prioriterade fågelarter.docx", "A 64483-2023")</f>
        <v/>
      </c>
    </row>
    <row r="277" ht="15" customHeight="1">
      <c r="A277" t="inlineStr">
        <is>
          <t>A 233-2024</t>
        </is>
      </c>
      <c r="B277" s="1" t="n">
        <v>45294</v>
      </c>
      <c r="C277" s="1" t="n">
        <v>45841</v>
      </c>
      <c r="D277" t="inlineStr">
        <is>
          <t>VÄSTERNORRLANDS LÄN</t>
        </is>
      </c>
      <c r="E277" t="inlineStr">
        <is>
          <t>SUNDSVALL</t>
        </is>
      </c>
      <c r="G277" t="n">
        <v>2.4</v>
      </c>
      <c r="H277" t="n">
        <v>1</v>
      </c>
      <c r="I277" t="n">
        <v>0</v>
      </c>
      <c r="J277" t="n">
        <v>1</v>
      </c>
      <c r="K277" t="n">
        <v>0</v>
      </c>
      <c r="L277" t="n">
        <v>0</v>
      </c>
      <c r="M277" t="n">
        <v>0</v>
      </c>
      <c r="N277" t="n">
        <v>0</v>
      </c>
      <c r="O277" t="n">
        <v>1</v>
      </c>
      <c r="P277" t="n">
        <v>0</v>
      </c>
      <c r="Q277" t="n">
        <v>1</v>
      </c>
      <c r="R277" s="2" t="inlineStr">
        <is>
          <t>Duvhök</t>
        </is>
      </c>
      <c r="S277">
        <f>HYPERLINK("https://klasma.github.io/Logging_2281/artfynd/A 233-2024 artfynd.xlsx", "A 233-2024")</f>
        <v/>
      </c>
      <c r="T277">
        <f>HYPERLINK("https://klasma.github.io/Logging_2281/kartor/A 233-2024 karta.png", "A 233-2024")</f>
        <v/>
      </c>
      <c r="V277">
        <f>HYPERLINK("https://klasma.github.io/Logging_2281/klagomål/A 233-2024 FSC-klagomål.docx", "A 233-2024")</f>
        <v/>
      </c>
      <c r="W277">
        <f>HYPERLINK("https://klasma.github.io/Logging_2281/klagomålsmail/A 233-2024 FSC-klagomål mail.docx", "A 233-2024")</f>
        <v/>
      </c>
      <c r="X277">
        <f>HYPERLINK("https://klasma.github.io/Logging_2281/tillsyn/A 233-2024 tillsynsbegäran.docx", "A 233-2024")</f>
        <v/>
      </c>
      <c r="Y277">
        <f>HYPERLINK("https://klasma.github.io/Logging_2281/tillsynsmail/A 233-2024 tillsynsbegäran mail.docx", "A 233-2024")</f>
        <v/>
      </c>
      <c r="Z277">
        <f>HYPERLINK("https://klasma.github.io/Logging_2281/fåglar/A 233-2024 prioriterade fågelarter.docx", "A 233-2024")</f>
        <v/>
      </c>
    </row>
    <row r="278" ht="15" customHeight="1">
      <c r="A278" t="inlineStr">
        <is>
          <t>A 1058-2024</t>
        </is>
      </c>
      <c r="B278" s="1" t="n">
        <v>45301</v>
      </c>
      <c r="C278" s="1" t="n">
        <v>45841</v>
      </c>
      <c r="D278" t="inlineStr">
        <is>
          <t>VÄSTERNORRLANDS LÄN</t>
        </is>
      </c>
      <c r="E278" t="inlineStr">
        <is>
          <t>SUNDSVALL</t>
        </is>
      </c>
      <c r="F278" t="inlineStr">
        <is>
          <t>SCA</t>
        </is>
      </c>
      <c r="G278" t="n">
        <v>8</v>
      </c>
      <c r="H278" t="n">
        <v>0</v>
      </c>
      <c r="I278" t="n">
        <v>0</v>
      </c>
      <c r="J278" t="n">
        <v>1</v>
      </c>
      <c r="K278" t="n">
        <v>0</v>
      </c>
      <c r="L278" t="n">
        <v>0</v>
      </c>
      <c r="M278" t="n">
        <v>0</v>
      </c>
      <c r="N278" t="n">
        <v>0</v>
      </c>
      <c r="O278" t="n">
        <v>1</v>
      </c>
      <c r="P278" t="n">
        <v>0</v>
      </c>
      <c r="Q278" t="n">
        <v>1</v>
      </c>
      <c r="R278" s="2" t="inlineStr">
        <is>
          <t>Garnlav</t>
        </is>
      </c>
      <c r="S278">
        <f>HYPERLINK("https://klasma.github.io/Logging_2281/artfynd/A 1058-2024 artfynd.xlsx", "A 1058-2024")</f>
        <v/>
      </c>
      <c r="T278">
        <f>HYPERLINK("https://klasma.github.io/Logging_2281/kartor/A 1058-2024 karta.png", "A 1058-2024")</f>
        <v/>
      </c>
      <c r="V278">
        <f>HYPERLINK("https://klasma.github.io/Logging_2281/klagomål/A 1058-2024 FSC-klagomål.docx", "A 1058-2024")</f>
        <v/>
      </c>
      <c r="W278">
        <f>HYPERLINK("https://klasma.github.io/Logging_2281/klagomålsmail/A 1058-2024 FSC-klagomål mail.docx", "A 1058-2024")</f>
        <v/>
      </c>
      <c r="X278">
        <f>HYPERLINK("https://klasma.github.io/Logging_2281/tillsyn/A 1058-2024 tillsynsbegäran.docx", "A 1058-2024")</f>
        <v/>
      </c>
      <c r="Y278">
        <f>HYPERLINK("https://klasma.github.io/Logging_2281/tillsynsmail/A 1058-2024 tillsynsbegäran mail.docx", "A 1058-2024")</f>
        <v/>
      </c>
    </row>
    <row r="279" ht="15" customHeight="1">
      <c r="A279" t="inlineStr">
        <is>
          <t>A 3819-2024</t>
        </is>
      </c>
      <c r="B279" s="1" t="n">
        <v>45321</v>
      </c>
      <c r="C279" s="1" t="n">
        <v>45841</v>
      </c>
      <c r="D279" t="inlineStr">
        <is>
          <t>VÄSTERNORRLANDS LÄN</t>
        </is>
      </c>
      <c r="E279" t="inlineStr">
        <is>
          <t>SUNDSVALL</t>
        </is>
      </c>
      <c r="G279" t="n">
        <v>13.5</v>
      </c>
      <c r="H279" t="n">
        <v>1</v>
      </c>
      <c r="I279" t="n">
        <v>0</v>
      </c>
      <c r="J279" t="n">
        <v>0</v>
      </c>
      <c r="K279" t="n">
        <v>1</v>
      </c>
      <c r="L279" t="n">
        <v>0</v>
      </c>
      <c r="M279" t="n">
        <v>0</v>
      </c>
      <c r="N279" t="n">
        <v>0</v>
      </c>
      <c r="O279" t="n">
        <v>1</v>
      </c>
      <c r="P279" t="n">
        <v>1</v>
      </c>
      <c r="Q279" t="n">
        <v>1</v>
      </c>
      <c r="R279" s="2" t="inlineStr">
        <is>
          <t>Bombmurkla</t>
        </is>
      </c>
      <c r="S279">
        <f>HYPERLINK("https://klasma.github.io/Logging_2281/artfynd/A 3819-2024 artfynd.xlsx", "A 3819-2024")</f>
        <v/>
      </c>
      <c r="T279">
        <f>HYPERLINK("https://klasma.github.io/Logging_2281/kartor/A 3819-2024 karta.png", "A 3819-2024")</f>
        <v/>
      </c>
      <c r="V279">
        <f>HYPERLINK("https://klasma.github.io/Logging_2281/klagomål/A 3819-2024 FSC-klagomål.docx", "A 3819-2024")</f>
        <v/>
      </c>
      <c r="W279">
        <f>HYPERLINK("https://klasma.github.io/Logging_2281/klagomålsmail/A 3819-2024 FSC-klagomål mail.docx", "A 3819-2024")</f>
        <v/>
      </c>
      <c r="X279">
        <f>HYPERLINK("https://klasma.github.io/Logging_2281/tillsyn/A 3819-2024 tillsynsbegäran.docx", "A 3819-2024")</f>
        <v/>
      </c>
      <c r="Y279">
        <f>HYPERLINK("https://klasma.github.io/Logging_2281/tillsynsmail/A 3819-2024 tillsynsbegäran mail.docx", "A 3819-2024")</f>
        <v/>
      </c>
    </row>
    <row r="280" ht="15" customHeight="1">
      <c r="A280" t="inlineStr">
        <is>
          <t>A 6629-2024</t>
        </is>
      </c>
      <c r="B280" s="1" t="n">
        <v>45341</v>
      </c>
      <c r="C280" s="1" t="n">
        <v>45841</v>
      </c>
      <c r="D280" t="inlineStr">
        <is>
          <t>VÄSTERNORRLANDS LÄN</t>
        </is>
      </c>
      <c r="E280" t="inlineStr">
        <is>
          <t>SUNDSVALL</t>
        </is>
      </c>
      <c r="G280" t="n">
        <v>0.7</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6629-2024 artfynd.xlsx", "A 6629-2024")</f>
        <v/>
      </c>
      <c r="T280">
        <f>HYPERLINK("https://klasma.github.io/Logging_2281/kartor/A 6629-2024 karta.png", "A 6629-2024")</f>
        <v/>
      </c>
      <c r="V280">
        <f>HYPERLINK("https://klasma.github.io/Logging_2281/klagomål/A 6629-2024 FSC-klagomål.docx", "A 6629-2024")</f>
        <v/>
      </c>
      <c r="W280">
        <f>HYPERLINK("https://klasma.github.io/Logging_2281/klagomålsmail/A 6629-2024 FSC-klagomål mail.docx", "A 6629-2024")</f>
        <v/>
      </c>
      <c r="X280">
        <f>HYPERLINK("https://klasma.github.io/Logging_2281/tillsyn/A 6629-2024 tillsynsbegäran.docx", "A 6629-2024")</f>
        <v/>
      </c>
      <c r="Y280">
        <f>HYPERLINK("https://klasma.github.io/Logging_2281/tillsynsmail/A 6629-2024 tillsynsbegäran mail.docx", "A 6629-2024")</f>
        <v/>
      </c>
      <c r="Z280">
        <f>HYPERLINK("https://klasma.github.io/Logging_2281/fåglar/A 6629-2024 prioriterade fågelarter.docx", "A 6629-2024")</f>
        <v/>
      </c>
    </row>
    <row r="281" ht="15" customHeight="1">
      <c r="A281" t="inlineStr">
        <is>
          <t>A 6897-2024</t>
        </is>
      </c>
      <c r="B281" s="1" t="n">
        <v>45342</v>
      </c>
      <c r="C281" s="1" t="n">
        <v>45841</v>
      </c>
      <c r="D281" t="inlineStr">
        <is>
          <t>VÄSTERNORRLANDS LÄN</t>
        </is>
      </c>
      <c r="E281" t="inlineStr">
        <is>
          <t>SUNDSVALL</t>
        </is>
      </c>
      <c r="G281" t="n">
        <v>22.7</v>
      </c>
      <c r="H281" t="n">
        <v>1</v>
      </c>
      <c r="I281" t="n">
        <v>0</v>
      </c>
      <c r="J281" t="n">
        <v>1</v>
      </c>
      <c r="K281" t="n">
        <v>0</v>
      </c>
      <c r="L281" t="n">
        <v>0</v>
      </c>
      <c r="M281" t="n">
        <v>0</v>
      </c>
      <c r="N281" t="n">
        <v>0</v>
      </c>
      <c r="O281" t="n">
        <v>1</v>
      </c>
      <c r="P281" t="n">
        <v>0</v>
      </c>
      <c r="Q281" t="n">
        <v>1</v>
      </c>
      <c r="R281" s="2" t="inlineStr">
        <is>
          <t>Utter</t>
        </is>
      </c>
      <c r="S281">
        <f>HYPERLINK("https://klasma.github.io/Logging_2281/artfynd/A 6897-2024 artfynd.xlsx", "A 6897-2024")</f>
        <v/>
      </c>
      <c r="T281">
        <f>HYPERLINK("https://klasma.github.io/Logging_2281/kartor/A 6897-2024 karta.png", "A 6897-2024")</f>
        <v/>
      </c>
      <c r="V281">
        <f>HYPERLINK("https://klasma.github.io/Logging_2281/klagomål/A 6897-2024 FSC-klagomål.docx", "A 6897-2024")</f>
        <v/>
      </c>
      <c r="W281">
        <f>HYPERLINK("https://klasma.github.io/Logging_2281/klagomålsmail/A 6897-2024 FSC-klagomål mail.docx", "A 6897-2024")</f>
        <v/>
      </c>
      <c r="X281">
        <f>HYPERLINK("https://klasma.github.io/Logging_2281/tillsyn/A 6897-2024 tillsynsbegäran.docx", "A 6897-2024")</f>
        <v/>
      </c>
      <c r="Y281">
        <f>HYPERLINK("https://klasma.github.io/Logging_2281/tillsynsmail/A 6897-2024 tillsynsbegäran mail.docx", "A 6897-2024")</f>
        <v/>
      </c>
    </row>
    <row r="282" ht="15" customHeight="1">
      <c r="A282" t="inlineStr">
        <is>
          <t>A 11681-2024</t>
        </is>
      </c>
      <c r="B282" s="1" t="n">
        <v>45373</v>
      </c>
      <c r="C282" s="1" t="n">
        <v>45841</v>
      </c>
      <c r="D282" t="inlineStr">
        <is>
          <t>VÄSTERNORRLANDS LÄN</t>
        </is>
      </c>
      <c r="E282" t="inlineStr">
        <is>
          <t>SUNDSVALL</t>
        </is>
      </c>
      <c r="F282" t="inlineStr">
        <is>
          <t>Holmen skog AB</t>
        </is>
      </c>
      <c r="G282" t="n">
        <v>9</v>
      </c>
      <c r="H282" t="n">
        <v>1</v>
      </c>
      <c r="I282" t="n">
        <v>0</v>
      </c>
      <c r="J282" t="n">
        <v>0</v>
      </c>
      <c r="K282" t="n">
        <v>0</v>
      </c>
      <c r="L282" t="n">
        <v>0</v>
      </c>
      <c r="M282" t="n">
        <v>0</v>
      </c>
      <c r="N282" t="n">
        <v>0</v>
      </c>
      <c r="O282" t="n">
        <v>0</v>
      </c>
      <c r="P282" t="n">
        <v>0</v>
      </c>
      <c r="Q282" t="n">
        <v>1</v>
      </c>
      <c r="R282" s="2" t="inlineStr">
        <is>
          <t>Tjäder</t>
        </is>
      </c>
      <c r="S282">
        <f>HYPERLINK("https://klasma.github.io/Logging_2281/artfynd/A 11681-2024 artfynd.xlsx", "A 11681-2024")</f>
        <v/>
      </c>
      <c r="T282">
        <f>HYPERLINK("https://klasma.github.io/Logging_2281/kartor/A 11681-2024 karta.png", "A 11681-2024")</f>
        <v/>
      </c>
      <c r="V282">
        <f>HYPERLINK("https://klasma.github.io/Logging_2281/klagomål/A 11681-2024 FSC-klagomål.docx", "A 11681-2024")</f>
        <v/>
      </c>
      <c r="W282">
        <f>HYPERLINK("https://klasma.github.io/Logging_2281/klagomålsmail/A 11681-2024 FSC-klagomål mail.docx", "A 11681-2024")</f>
        <v/>
      </c>
      <c r="X282">
        <f>HYPERLINK("https://klasma.github.io/Logging_2281/tillsyn/A 11681-2024 tillsynsbegäran.docx", "A 11681-2024")</f>
        <v/>
      </c>
      <c r="Y282">
        <f>HYPERLINK("https://klasma.github.io/Logging_2281/tillsynsmail/A 11681-2024 tillsynsbegäran mail.docx", "A 11681-2024")</f>
        <v/>
      </c>
      <c r="Z282">
        <f>HYPERLINK("https://klasma.github.io/Logging_2281/fåglar/A 11681-2024 prioriterade fågelarter.docx", "A 11681-2024")</f>
        <v/>
      </c>
    </row>
    <row r="283" ht="15" customHeight="1">
      <c r="A283" t="inlineStr">
        <is>
          <t>A 15151-2024</t>
        </is>
      </c>
      <c r="B283" s="1" t="n">
        <v>45400</v>
      </c>
      <c r="C283" s="1" t="n">
        <v>45841</v>
      </c>
      <c r="D283" t="inlineStr">
        <is>
          <t>VÄSTERNORRLANDS LÄN</t>
        </is>
      </c>
      <c r="E283" t="inlineStr">
        <is>
          <t>SUNDSVALL</t>
        </is>
      </c>
      <c r="F283" t="inlineStr">
        <is>
          <t>Naturvårdsverket</t>
        </is>
      </c>
      <c r="G283" t="n">
        <v>17.2</v>
      </c>
      <c r="H283" t="n">
        <v>1</v>
      </c>
      <c r="I283" t="n">
        <v>0</v>
      </c>
      <c r="J283" t="n">
        <v>0</v>
      </c>
      <c r="K283" t="n">
        <v>1</v>
      </c>
      <c r="L283" t="n">
        <v>0</v>
      </c>
      <c r="M283" t="n">
        <v>0</v>
      </c>
      <c r="N283" t="n">
        <v>0</v>
      </c>
      <c r="O283" t="n">
        <v>1</v>
      </c>
      <c r="P283" t="n">
        <v>1</v>
      </c>
      <c r="Q283" t="n">
        <v>1</v>
      </c>
      <c r="R283" s="2" t="inlineStr">
        <is>
          <t>Knärot</t>
        </is>
      </c>
      <c r="S283">
        <f>HYPERLINK("https://klasma.github.io/Logging_2281/artfynd/A 15151-2024 artfynd.xlsx", "A 15151-2024")</f>
        <v/>
      </c>
      <c r="T283">
        <f>HYPERLINK("https://klasma.github.io/Logging_2281/kartor/A 15151-2024 karta.png", "A 15151-2024")</f>
        <v/>
      </c>
      <c r="U283">
        <f>HYPERLINK("https://klasma.github.io/Logging_2281/knärot/A 15151-2024 karta knärot.png", "A 15151-2024")</f>
        <v/>
      </c>
      <c r="V283">
        <f>HYPERLINK("https://klasma.github.io/Logging_2281/klagomål/A 15151-2024 FSC-klagomål.docx", "A 15151-2024")</f>
        <v/>
      </c>
      <c r="W283">
        <f>HYPERLINK("https://klasma.github.io/Logging_2281/klagomålsmail/A 15151-2024 FSC-klagomål mail.docx", "A 15151-2024")</f>
        <v/>
      </c>
      <c r="X283">
        <f>HYPERLINK("https://klasma.github.io/Logging_2281/tillsyn/A 15151-2024 tillsynsbegäran.docx", "A 15151-2024")</f>
        <v/>
      </c>
      <c r="Y283">
        <f>HYPERLINK("https://klasma.github.io/Logging_2281/tillsynsmail/A 15151-2024 tillsynsbegäran mail.docx", "A 15151-2024")</f>
        <v/>
      </c>
    </row>
    <row r="284" ht="15" customHeight="1">
      <c r="A284" t="inlineStr">
        <is>
          <t>A 15376-2024</t>
        </is>
      </c>
      <c r="B284" s="1" t="n">
        <v>45400</v>
      </c>
      <c r="C284" s="1" t="n">
        <v>45841</v>
      </c>
      <c r="D284" t="inlineStr">
        <is>
          <t>VÄSTERNORRLANDS LÄN</t>
        </is>
      </c>
      <c r="E284" t="inlineStr">
        <is>
          <t>SUNDSVALL</t>
        </is>
      </c>
      <c r="F284" t="inlineStr">
        <is>
          <t>Naturvårdsverket</t>
        </is>
      </c>
      <c r="G284" t="n">
        <v>1.2</v>
      </c>
      <c r="H284" t="n">
        <v>0</v>
      </c>
      <c r="I284" t="n">
        <v>0</v>
      </c>
      <c r="J284" t="n">
        <v>1</v>
      </c>
      <c r="K284" t="n">
        <v>0</v>
      </c>
      <c r="L284" t="n">
        <v>0</v>
      </c>
      <c r="M284" t="n">
        <v>0</v>
      </c>
      <c r="N284" t="n">
        <v>0</v>
      </c>
      <c r="O284" t="n">
        <v>1</v>
      </c>
      <c r="P284" t="n">
        <v>0</v>
      </c>
      <c r="Q284" t="n">
        <v>1</v>
      </c>
      <c r="R284" s="2" t="inlineStr">
        <is>
          <t>Granticka</t>
        </is>
      </c>
      <c r="S284">
        <f>HYPERLINK("https://klasma.github.io/Logging_2281/artfynd/A 15376-2024 artfynd.xlsx", "A 15376-2024")</f>
        <v/>
      </c>
      <c r="T284">
        <f>HYPERLINK("https://klasma.github.io/Logging_2281/kartor/A 15376-2024 karta.png", "A 15376-2024")</f>
        <v/>
      </c>
      <c r="V284">
        <f>HYPERLINK("https://klasma.github.io/Logging_2281/klagomål/A 15376-2024 FSC-klagomål.docx", "A 15376-2024")</f>
        <v/>
      </c>
      <c r="W284">
        <f>HYPERLINK("https://klasma.github.io/Logging_2281/klagomålsmail/A 15376-2024 FSC-klagomål mail.docx", "A 15376-2024")</f>
        <v/>
      </c>
      <c r="X284">
        <f>HYPERLINK("https://klasma.github.io/Logging_2281/tillsyn/A 15376-2024 tillsynsbegäran.docx", "A 15376-2024")</f>
        <v/>
      </c>
      <c r="Y284">
        <f>HYPERLINK("https://klasma.github.io/Logging_2281/tillsynsmail/A 15376-2024 tillsynsbegäran mail.docx", "A 15376-2024")</f>
        <v/>
      </c>
    </row>
    <row r="285" ht="15" customHeight="1">
      <c r="A285" t="inlineStr">
        <is>
          <t>A 20277-2024</t>
        </is>
      </c>
      <c r="B285" s="1" t="n">
        <v>45434</v>
      </c>
      <c r="C285" s="1" t="n">
        <v>45841</v>
      </c>
      <c r="D285" t="inlineStr">
        <is>
          <t>VÄSTERNORRLANDS LÄN</t>
        </is>
      </c>
      <c r="E285" t="inlineStr">
        <is>
          <t>SUNDSVALL</t>
        </is>
      </c>
      <c r="F285" t="inlineStr">
        <is>
          <t>SCA</t>
        </is>
      </c>
      <c r="G285" t="n">
        <v>2.6</v>
      </c>
      <c r="H285" t="n">
        <v>0</v>
      </c>
      <c r="I285" t="n">
        <v>1</v>
      </c>
      <c r="J285" t="n">
        <v>0</v>
      </c>
      <c r="K285" t="n">
        <v>0</v>
      </c>
      <c r="L285" t="n">
        <v>0</v>
      </c>
      <c r="M285" t="n">
        <v>0</v>
      </c>
      <c r="N285" t="n">
        <v>0</v>
      </c>
      <c r="O285" t="n">
        <v>0</v>
      </c>
      <c r="P285" t="n">
        <v>0</v>
      </c>
      <c r="Q285" t="n">
        <v>1</v>
      </c>
      <c r="R285" s="2" t="inlineStr">
        <is>
          <t>Vedticka</t>
        </is>
      </c>
      <c r="S285">
        <f>HYPERLINK("https://klasma.github.io/Logging_2281/artfynd/A 20277-2024 artfynd.xlsx", "A 20277-2024")</f>
        <v/>
      </c>
      <c r="T285">
        <f>HYPERLINK("https://klasma.github.io/Logging_2281/kartor/A 20277-2024 karta.png", "A 20277-2024")</f>
        <v/>
      </c>
      <c r="V285">
        <f>HYPERLINK("https://klasma.github.io/Logging_2281/klagomål/A 20277-2024 FSC-klagomål.docx", "A 20277-2024")</f>
        <v/>
      </c>
      <c r="W285">
        <f>HYPERLINK("https://klasma.github.io/Logging_2281/klagomålsmail/A 20277-2024 FSC-klagomål mail.docx", "A 20277-2024")</f>
        <v/>
      </c>
      <c r="X285">
        <f>HYPERLINK("https://klasma.github.io/Logging_2281/tillsyn/A 20277-2024 tillsynsbegäran.docx", "A 20277-2024")</f>
        <v/>
      </c>
      <c r="Y285">
        <f>HYPERLINK("https://klasma.github.io/Logging_2281/tillsynsmail/A 20277-2024 tillsynsbegäran mail.docx", "A 20277-2024")</f>
        <v/>
      </c>
    </row>
    <row r="286" ht="15" customHeight="1">
      <c r="A286" t="inlineStr">
        <is>
          <t>A 20517-2024</t>
        </is>
      </c>
      <c r="B286" s="1" t="n">
        <v>45435</v>
      </c>
      <c r="C286" s="1" t="n">
        <v>45841</v>
      </c>
      <c r="D286" t="inlineStr">
        <is>
          <t>VÄSTERNORRLANDS LÄN</t>
        </is>
      </c>
      <c r="E286" t="inlineStr">
        <is>
          <t>SUNDSVALL</t>
        </is>
      </c>
      <c r="G286" t="n">
        <v>4.6</v>
      </c>
      <c r="H286" t="n">
        <v>0</v>
      </c>
      <c r="I286" t="n">
        <v>0</v>
      </c>
      <c r="J286" t="n">
        <v>1</v>
      </c>
      <c r="K286" t="n">
        <v>0</v>
      </c>
      <c r="L286" t="n">
        <v>0</v>
      </c>
      <c r="M286" t="n">
        <v>0</v>
      </c>
      <c r="N286" t="n">
        <v>0</v>
      </c>
      <c r="O286" t="n">
        <v>1</v>
      </c>
      <c r="P286" t="n">
        <v>0</v>
      </c>
      <c r="Q286" t="n">
        <v>1</v>
      </c>
      <c r="R286" s="2" t="inlineStr">
        <is>
          <t>Lunglav</t>
        </is>
      </c>
      <c r="S286">
        <f>HYPERLINK("https://klasma.github.io/Logging_2281/artfynd/A 20517-2024 artfynd.xlsx", "A 20517-2024")</f>
        <v/>
      </c>
      <c r="T286">
        <f>HYPERLINK("https://klasma.github.io/Logging_2281/kartor/A 20517-2024 karta.png", "A 20517-2024")</f>
        <v/>
      </c>
      <c r="V286">
        <f>HYPERLINK("https://klasma.github.io/Logging_2281/klagomål/A 20517-2024 FSC-klagomål.docx", "A 20517-2024")</f>
        <v/>
      </c>
      <c r="W286">
        <f>HYPERLINK("https://klasma.github.io/Logging_2281/klagomålsmail/A 20517-2024 FSC-klagomål mail.docx", "A 20517-2024")</f>
        <v/>
      </c>
      <c r="X286">
        <f>HYPERLINK("https://klasma.github.io/Logging_2281/tillsyn/A 20517-2024 tillsynsbegäran.docx", "A 20517-2024")</f>
        <v/>
      </c>
      <c r="Y286">
        <f>HYPERLINK("https://klasma.github.io/Logging_2281/tillsynsmail/A 20517-2024 tillsynsbegäran mail.docx", "A 20517-2024")</f>
        <v/>
      </c>
    </row>
    <row r="287" ht="15" customHeight="1">
      <c r="A287" t="inlineStr">
        <is>
          <t>A 25380-2024</t>
        </is>
      </c>
      <c r="B287" s="1" t="n">
        <v>45463</v>
      </c>
      <c r="C287" s="1" t="n">
        <v>45841</v>
      </c>
      <c r="D287" t="inlineStr">
        <is>
          <t>VÄSTERNORRLANDS LÄN</t>
        </is>
      </c>
      <c r="E287" t="inlineStr">
        <is>
          <t>SUNDSVALL</t>
        </is>
      </c>
      <c r="F287" t="inlineStr">
        <is>
          <t>SCA</t>
        </is>
      </c>
      <c r="G287" t="n">
        <v>3.3</v>
      </c>
      <c r="H287" t="n">
        <v>1</v>
      </c>
      <c r="I287" t="n">
        <v>0</v>
      </c>
      <c r="J287" t="n">
        <v>1</v>
      </c>
      <c r="K287" t="n">
        <v>0</v>
      </c>
      <c r="L287" t="n">
        <v>0</v>
      </c>
      <c r="M287" t="n">
        <v>0</v>
      </c>
      <c r="N287" t="n">
        <v>0</v>
      </c>
      <c r="O287" t="n">
        <v>1</v>
      </c>
      <c r="P287" t="n">
        <v>0</v>
      </c>
      <c r="Q287" t="n">
        <v>1</v>
      </c>
      <c r="R287" s="2" t="inlineStr">
        <is>
          <t>Nordfladdermus</t>
        </is>
      </c>
      <c r="S287">
        <f>HYPERLINK("https://klasma.github.io/Logging_2281/artfynd/A 25380-2024 artfynd.xlsx", "A 25380-2024")</f>
        <v/>
      </c>
      <c r="T287">
        <f>HYPERLINK("https://klasma.github.io/Logging_2281/kartor/A 25380-2024 karta.png", "A 25380-2024")</f>
        <v/>
      </c>
      <c r="V287">
        <f>HYPERLINK("https://klasma.github.io/Logging_2281/klagomål/A 25380-2024 FSC-klagomål.docx", "A 25380-2024")</f>
        <v/>
      </c>
      <c r="W287">
        <f>HYPERLINK("https://klasma.github.io/Logging_2281/klagomålsmail/A 25380-2024 FSC-klagomål mail.docx", "A 25380-2024")</f>
        <v/>
      </c>
      <c r="X287">
        <f>HYPERLINK("https://klasma.github.io/Logging_2281/tillsyn/A 25380-2024 tillsynsbegäran.docx", "A 25380-2024")</f>
        <v/>
      </c>
      <c r="Y287">
        <f>HYPERLINK("https://klasma.github.io/Logging_2281/tillsynsmail/A 25380-2024 tillsynsbegäran mail.docx", "A 25380-2024")</f>
        <v/>
      </c>
    </row>
    <row r="288" ht="15" customHeight="1">
      <c r="A288" t="inlineStr">
        <is>
          <t>A 26080-2024</t>
        </is>
      </c>
      <c r="B288" s="1" t="n">
        <v>45468</v>
      </c>
      <c r="C288" s="1" t="n">
        <v>45841</v>
      </c>
      <c r="D288" t="inlineStr">
        <is>
          <t>VÄSTERNORRLANDS LÄN</t>
        </is>
      </c>
      <c r="E288" t="inlineStr">
        <is>
          <t>SUNDSVALL</t>
        </is>
      </c>
      <c r="G288" t="n">
        <v>18.8</v>
      </c>
      <c r="H288" t="n">
        <v>0</v>
      </c>
      <c r="I288" t="n">
        <v>0</v>
      </c>
      <c r="J288" t="n">
        <v>1</v>
      </c>
      <c r="K288" t="n">
        <v>0</v>
      </c>
      <c r="L288" t="n">
        <v>0</v>
      </c>
      <c r="M288" t="n">
        <v>0</v>
      </c>
      <c r="N288" t="n">
        <v>0</v>
      </c>
      <c r="O288" t="n">
        <v>1</v>
      </c>
      <c r="P288" t="n">
        <v>0</v>
      </c>
      <c r="Q288" t="n">
        <v>1</v>
      </c>
      <c r="R288" s="2" t="inlineStr">
        <is>
          <t>Lunglav</t>
        </is>
      </c>
      <c r="S288">
        <f>HYPERLINK("https://klasma.github.io/Logging_2281/artfynd/A 26080-2024 artfynd.xlsx", "A 26080-2024")</f>
        <v/>
      </c>
      <c r="T288">
        <f>HYPERLINK("https://klasma.github.io/Logging_2281/kartor/A 26080-2024 karta.png", "A 26080-2024")</f>
        <v/>
      </c>
      <c r="V288">
        <f>HYPERLINK("https://klasma.github.io/Logging_2281/klagomål/A 26080-2024 FSC-klagomål.docx", "A 26080-2024")</f>
        <v/>
      </c>
      <c r="W288">
        <f>HYPERLINK("https://klasma.github.io/Logging_2281/klagomålsmail/A 26080-2024 FSC-klagomål mail.docx", "A 26080-2024")</f>
        <v/>
      </c>
      <c r="X288">
        <f>HYPERLINK("https://klasma.github.io/Logging_2281/tillsyn/A 26080-2024 tillsynsbegäran.docx", "A 26080-2024")</f>
        <v/>
      </c>
      <c r="Y288">
        <f>HYPERLINK("https://klasma.github.io/Logging_2281/tillsynsmail/A 26080-2024 tillsynsbegäran mail.docx", "A 26080-2024")</f>
        <v/>
      </c>
    </row>
    <row r="289" ht="15" customHeight="1">
      <c r="A289" t="inlineStr">
        <is>
          <t>A 27320-2024</t>
        </is>
      </c>
      <c r="B289" s="1" t="n">
        <v>45471</v>
      </c>
      <c r="C289" s="1" t="n">
        <v>45841</v>
      </c>
      <c r="D289" t="inlineStr">
        <is>
          <t>VÄSTERNORRLANDS LÄN</t>
        </is>
      </c>
      <c r="E289" t="inlineStr">
        <is>
          <t>SUNDSVALL</t>
        </is>
      </c>
      <c r="F289" t="inlineStr">
        <is>
          <t>SCA</t>
        </is>
      </c>
      <c r="G289" t="n">
        <v>4</v>
      </c>
      <c r="H289" t="n">
        <v>0</v>
      </c>
      <c r="I289" t="n">
        <v>0</v>
      </c>
      <c r="J289" t="n">
        <v>1</v>
      </c>
      <c r="K289" t="n">
        <v>0</v>
      </c>
      <c r="L289" t="n">
        <v>0</v>
      </c>
      <c r="M289" t="n">
        <v>0</v>
      </c>
      <c r="N289" t="n">
        <v>0</v>
      </c>
      <c r="O289" t="n">
        <v>1</v>
      </c>
      <c r="P289" t="n">
        <v>0</v>
      </c>
      <c r="Q289" t="n">
        <v>1</v>
      </c>
      <c r="R289" s="2" t="inlineStr">
        <is>
          <t>Småflikig brosklav</t>
        </is>
      </c>
      <c r="S289">
        <f>HYPERLINK("https://klasma.github.io/Logging_2281/artfynd/A 27320-2024 artfynd.xlsx", "A 27320-2024")</f>
        <v/>
      </c>
      <c r="T289">
        <f>HYPERLINK("https://klasma.github.io/Logging_2281/kartor/A 27320-2024 karta.png", "A 27320-2024")</f>
        <v/>
      </c>
      <c r="V289">
        <f>HYPERLINK("https://klasma.github.io/Logging_2281/klagomål/A 27320-2024 FSC-klagomål.docx", "A 27320-2024")</f>
        <v/>
      </c>
      <c r="W289">
        <f>HYPERLINK("https://klasma.github.io/Logging_2281/klagomålsmail/A 27320-2024 FSC-klagomål mail.docx", "A 27320-2024")</f>
        <v/>
      </c>
      <c r="X289">
        <f>HYPERLINK("https://klasma.github.io/Logging_2281/tillsyn/A 27320-2024 tillsynsbegäran.docx", "A 27320-2024")</f>
        <v/>
      </c>
      <c r="Y289">
        <f>HYPERLINK("https://klasma.github.io/Logging_2281/tillsynsmail/A 27320-2024 tillsynsbegäran mail.docx", "A 27320-2024")</f>
        <v/>
      </c>
    </row>
    <row r="290" ht="15" customHeight="1">
      <c r="A290" t="inlineStr">
        <is>
          <t>A 31438-2024</t>
        </is>
      </c>
      <c r="B290" s="1" t="n">
        <v>45505</v>
      </c>
      <c r="C290" s="1" t="n">
        <v>45841</v>
      </c>
      <c r="D290" t="inlineStr">
        <is>
          <t>VÄSTERNORRLANDS LÄN</t>
        </is>
      </c>
      <c r="E290" t="inlineStr">
        <is>
          <t>SUNDSVALL</t>
        </is>
      </c>
      <c r="G290" t="n">
        <v>1.2</v>
      </c>
      <c r="H290" t="n">
        <v>1</v>
      </c>
      <c r="I290" t="n">
        <v>0</v>
      </c>
      <c r="J290" t="n">
        <v>0</v>
      </c>
      <c r="K290" t="n">
        <v>0</v>
      </c>
      <c r="L290" t="n">
        <v>0</v>
      </c>
      <c r="M290" t="n">
        <v>0</v>
      </c>
      <c r="N290" t="n">
        <v>0</v>
      </c>
      <c r="O290" t="n">
        <v>0</v>
      </c>
      <c r="P290" t="n">
        <v>0</v>
      </c>
      <c r="Q290" t="n">
        <v>1</v>
      </c>
      <c r="R290" s="2" t="inlineStr">
        <is>
          <t>Fläcknycklar</t>
        </is>
      </c>
      <c r="S290">
        <f>HYPERLINK("https://klasma.github.io/Logging_2281/artfynd/A 31438-2024 artfynd.xlsx", "A 31438-2024")</f>
        <v/>
      </c>
      <c r="T290">
        <f>HYPERLINK("https://klasma.github.io/Logging_2281/kartor/A 31438-2024 karta.png", "A 31438-2024")</f>
        <v/>
      </c>
      <c r="V290">
        <f>HYPERLINK("https://klasma.github.io/Logging_2281/klagomål/A 31438-2024 FSC-klagomål.docx", "A 31438-2024")</f>
        <v/>
      </c>
      <c r="W290">
        <f>HYPERLINK("https://klasma.github.io/Logging_2281/klagomålsmail/A 31438-2024 FSC-klagomål mail.docx", "A 31438-2024")</f>
        <v/>
      </c>
      <c r="X290">
        <f>HYPERLINK("https://klasma.github.io/Logging_2281/tillsyn/A 31438-2024 tillsynsbegäran.docx", "A 31438-2024")</f>
        <v/>
      </c>
      <c r="Y290">
        <f>HYPERLINK("https://klasma.github.io/Logging_2281/tillsynsmail/A 31438-2024 tillsynsbegäran mail.docx", "A 31438-2024")</f>
        <v/>
      </c>
    </row>
    <row r="291" ht="15" customHeight="1">
      <c r="A291" t="inlineStr">
        <is>
          <t>A 31678-2024</t>
        </is>
      </c>
      <c r="B291" s="1" t="n">
        <v>45506</v>
      </c>
      <c r="C291" s="1" t="n">
        <v>45841</v>
      </c>
      <c r="D291" t="inlineStr">
        <is>
          <t>VÄSTERNORRLANDS LÄN</t>
        </is>
      </c>
      <c r="E291" t="inlineStr">
        <is>
          <t>SUNDSVALL</t>
        </is>
      </c>
      <c r="F291" t="inlineStr">
        <is>
          <t>SCA</t>
        </is>
      </c>
      <c r="G291" t="n">
        <v>4.5</v>
      </c>
      <c r="H291" t="n">
        <v>0</v>
      </c>
      <c r="I291" t="n">
        <v>1</v>
      </c>
      <c r="J291" t="n">
        <v>0</v>
      </c>
      <c r="K291" t="n">
        <v>0</v>
      </c>
      <c r="L291" t="n">
        <v>0</v>
      </c>
      <c r="M291" t="n">
        <v>0</v>
      </c>
      <c r="N291" t="n">
        <v>0</v>
      </c>
      <c r="O291" t="n">
        <v>0</v>
      </c>
      <c r="P291" t="n">
        <v>0</v>
      </c>
      <c r="Q291" t="n">
        <v>1</v>
      </c>
      <c r="R291" s="2" t="inlineStr">
        <is>
          <t>Rävticka</t>
        </is>
      </c>
      <c r="S291">
        <f>HYPERLINK("https://klasma.github.io/Logging_2281/artfynd/A 31678-2024 artfynd.xlsx", "A 31678-2024")</f>
        <v/>
      </c>
      <c r="T291">
        <f>HYPERLINK("https://klasma.github.io/Logging_2281/kartor/A 31678-2024 karta.png", "A 31678-2024")</f>
        <v/>
      </c>
      <c r="V291">
        <f>HYPERLINK("https://klasma.github.io/Logging_2281/klagomål/A 31678-2024 FSC-klagomål.docx", "A 31678-2024")</f>
        <v/>
      </c>
      <c r="W291">
        <f>HYPERLINK("https://klasma.github.io/Logging_2281/klagomålsmail/A 31678-2024 FSC-klagomål mail.docx", "A 31678-2024")</f>
        <v/>
      </c>
      <c r="X291">
        <f>HYPERLINK("https://klasma.github.io/Logging_2281/tillsyn/A 31678-2024 tillsynsbegäran.docx", "A 31678-2024")</f>
        <v/>
      </c>
      <c r="Y291">
        <f>HYPERLINK("https://klasma.github.io/Logging_2281/tillsynsmail/A 31678-2024 tillsynsbegäran mail.docx", "A 31678-2024")</f>
        <v/>
      </c>
    </row>
    <row r="292" ht="15" customHeight="1">
      <c r="A292" t="inlineStr">
        <is>
          <t>A 39004-2024</t>
        </is>
      </c>
      <c r="B292" s="1" t="n">
        <v>45548</v>
      </c>
      <c r="C292" s="1" t="n">
        <v>45841</v>
      </c>
      <c r="D292" t="inlineStr">
        <is>
          <t>VÄSTERNORRLANDS LÄN</t>
        </is>
      </c>
      <c r="E292" t="inlineStr">
        <is>
          <t>SUNDSVALL</t>
        </is>
      </c>
      <c r="G292" t="n">
        <v>6.9</v>
      </c>
      <c r="H292" t="n">
        <v>0</v>
      </c>
      <c r="I292" t="n">
        <v>0</v>
      </c>
      <c r="J292" t="n">
        <v>1</v>
      </c>
      <c r="K292" t="n">
        <v>0</v>
      </c>
      <c r="L292" t="n">
        <v>0</v>
      </c>
      <c r="M292" t="n">
        <v>0</v>
      </c>
      <c r="N292" t="n">
        <v>0</v>
      </c>
      <c r="O292" t="n">
        <v>1</v>
      </c>
      <c r="P292" t="n">
        <v>0</v>
      </c>
      <c r="Q292" t="n">
        <v>1</v>
      </c>
      <c r="R292" s="2" t="inlineStr">
        <is>
          <t>Liten parasollmossa</t>
        </is>
      </c>
      <c r="S292">
        <f>HYPERLINK("https://klasma.github.io/Logging_2281/artfynd/A 39004-2024 artfynd.xlsx", "A 39004-2024")</f>
        <v/>
      </c>
      <c r="T292">
        <f>HYPERLINK("https://klasma.github.io/Logging_2281/kartor/A 39004-2024 karta.png", "A 39004-2024")</f>
        <v/>
      </c>
      <c r="V292">
        <f>HYPERLINK("https://klasma.github.io/Logging_2281/klagomål/A 39004-2024 FSC-klagomål.docx", "A 39004-2024")</f>
        <v/>
      </c>
      <c r="W292">
        <f>HYPERLINK("https://klasma.github.io/Logging_2281/klagomålsmail/A 39004-2024 FSC-klagomål mail.docx", "A 39004-2024")</f>
        <v/>
      </c>
      <c r="X292">
        <f>HYPERLINK("https://klasma.github.io/Logging_2281/tillsyn/A 39004-2024 tillsynsbegäran.docx", "A 39004-2024")</f>
        <v/>
      </c>
      <c r="Y292">
        <f>HYPERLINK("https://klasma.github.io/Logging_2281/tillsynsmail/A 39004-2024 tillsynsbegäran mail.docx", "A 39004-2024")</f>
        <v/>
      </c>
    </row>
    <row r="293" ht="15" customHeight="1">
      <c r="A293" t="inlineStr">
        <is>
          <t>A 48315-2024</t>
        </is>
      </c>
      <c r="B293" s="1" t="n">
        <v>45590</v>
      </c>
      <c r="C293" s="1" t="n">
        <v>45841</v>
      </c>
      <c r="D293" t="inlineStr">
        <is>
          <t>VÄSTERNORRLANDS LÄN</t>
        </is>
      </c>
      <c r="E293" t="inlineStr">
        <is>
          <t>SUNDSVALL</t>
        </is>
      </c>
      <c r="F293" t="inlineStr">
        <is>
          <t>SCA</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HYPERLINK("https://klasma.github.io/Logging_2281/artfynd/A 48315-2024 artfynd.xlsx", "A 48315-2024")</f>
        <v/>
      </c>
      <c r="T293">
        <f>HYPERLINK("https://klasma.github.io/Logging_2281/kartor/A 48315-2024 karta.png", "A 48315-2024")</f>
        <v/>
      </c>
      <c r="U293">
        <f>HYPERLINK("https://klasma.github.io/Logging_2281/knärot/A 48315-2024 karta knärot.png", "A 48315-2024")</f>
        <v/>
      </c>
      <c r="V293">
        <f>HYPERLINK("https://klasma.github.io/Logging_2281/klagomål/A 48315-2024 FSC-klagomål.docx", "A 48315-2024")</f>
        <v/>
      </c>
      <c r="W293">
        <f>HYPERLINK("https://klasma.github.io/Logging_2281/klagomålsmail/A 48315-2024 FSC-klagomål mail.docx", "A 48315-2024")</f>
        <v/>
      </c>
      <c r="X293">
        <f>HYPERLINK("https://klasma.github.io/Logging_2281/tillsyn/A 48315-2024 tillsynsbegäran.docx", "A 48315-2024")</f>
        <v/>
      </c>
      <c r="Y293">
        <f>HYPERLINK("https://klasma.github.io/Logging_2281/tillsynsmail/A 48315-2024 tillsynsbegäran mail.docx", "A 48315-2024")</f>
        <v/>
      </c>
    </row>
    <row r="294" ht="15" customHeight="1">
      <c r="A294" t="inlineStr">
        <is>
          <t>A 50184-2024</t>
        </is>
      </c>
      <c r="B294" s="1" t="n">
        <v>45600</v>
      </c>
      <c r="C294" s="1" t="n">
        <v>45841</v>
      </c>
      <c r="D294" t="inlineStr">
        <is>
          <t>VÄSTERNORRLANDS LÄN</t>
        </is>
      </c>
      <c r="E294" t="inlineStr">
        <is>
          <t>SUNDSVALL</t>
        </is>
      </c>
      <c r="G294" t="n">
        <v>5.3</v>
      </c>
      <c r="H294" t="n">
        <v>0</v>
      </c>
      <c r="I294" t="n">
        <v>1</v>
      </c>
      <c r="J294" t="n">
        <v>0</v>
      </c>
      <c r="K294" t="n">
        <v>0</v>
      </c>
      <c r="L294" t="n">
        <v>0</v>
      </c>
      <c r="M294" t="n">
        <v>0</v>
      </c>
      <c r="N294" t="n">
        <v>0</v>
      </c>
      <c r="O294" t="n">
        <v>0</v>
      </c>
      <c r="P294" t="n">
        <v>0</v>
      </c>
      <c r="Q294" t="n">
        <v>1</v>
      </c>
      <c r="R294" s="2" t="inlineStr">
        <is>
          <t>Dropptaggsvamp</t>
        </is>
      </c>
      <c r="S294">
        <f>HYPERLINK("https://klasma.github.io/Logging_2281/artfynd/A 50184-2024 artfynd.xlsx", "A 50184-2024")</f>
        <v/>
      </c>
      <c r="T294">
        <f>HYPERLINK("https://klasma.github.io/Logging_2281/kartor/A 50184-2024 karta.png", "A 50184-2024")</f>
        <v/>
      </c>
      <c r="V294">
        <f>HYPERLINK("https://klasma.github.io/Logging_2281/klagomål/A 50184-2024 FSC-klagomål.docx", "A 50184-2024")</f>
        <v/>
      </c>
      <c r="W294">
        <f>HYPERLINK("https://klasma.github.io/Logging_2281/klagomålsmail/A 50184-2024 FSC-klagomål mail.docx", "A 50184-2024")</f>
        <v/>
      </c>
      <c r="X294">
        <f>HYPERLINK("https://klasma.github.io/Logging_2281/tillsyn/A 50184-2024 tillsynsbegäran.docx", "A 50184-2024")</f>
        <v/>
      </c>
      <c r="Y294">
        <f>HYPERLINK("https://klasma.github.io/Logging_2281/tillsynsmail/A 50184-2024 tillsynsbegäran mail.docx", "A 50184-2024")</f>
        <v/>
      </c>
    </row>
    <row r="295" ht="15" customHeight="1">
      <c r="A295" t="inlineStr">
        <is>
          <t>A 50396-2024</t>
        </is>
      </c>
      <c r="B295" s="1" t="n">
        <v>45601</v>
      </c>
      <c r="C295" s="1" t="n">
        <v>45841</v>
      </c>
      <c r="D295" t="inlineStr">
        <is>
          <t>VÄSTERNORRLANDS LÄN</t>
        </is>
      </c>
      <c r="E295" t="inlineStr">
        <is>
          <t>SUNDSVALL</t>
        </is>
      </c>
      <c r="F295" t="inlineStr">
        <is>
          <t>SCA</t>
        </is>
      </c>
      <c r="G295" t="n">
        <v>8</v>
      </c>
      <c r="H295" t="n">
        <v>1</v>
      </c>
      <c r="I295" t="n">
        <v>0</v>
      </c>
      <c r="J295" t="n">
        <v>1</v>
      </c>
      <c r="K295" t="n">
        <v>0</v>
      </c>
      <c r="L295" t="n">
        <v>0</v>
      </c>
      <c r="M295" t="n">
        <v>0</v>
      </c>
      <c r="N295" t="n">
        <v>0</v>
      </c>
      <c r="O295" t="n">
        <v>1</v>
      </c>
      <c r="P295" t="n">
        <v>0</v>
      </c>
      <c r="Q295" t="n">
        <v>1</v>
      </c>
      <c r="R295" s="2" t="inlineStr">
        <is>
          <t>Järpe</t>
        </is>
      </c>
      <c r="S295">
        <f>HYPERLINK("https://klasma.github.io/Logging_2281/artfynd/A 50396-2024 artfynd.xlsx", "A 50396-2024")</f>
        <v/>
      </c>
      <c r="T295">
        <f>HYPERLINK("https://klasma.github.io/Logging_2281/kartor/A 50396-2024 karta.png", "A 50396-2024")</f>
        <v/>
      </c>
      <c r="V295">
        <f>HYPERLINK("https://klasma.github.io/Logging_2281/klagomål/A 50396-2024 FSC-klagomål.docx", "A 50396-2024")</f>
        <v/>
      </c>
      <c r="W295">
        <f>HYPERLINK("https://klasma.github.io/Logging_2281/klagomålsmail/A 50396-2024 FSC-klagomål mail.docx", "A 50396-2024")</f>
        <v/>
      </c>
      <c r="X295">
        <f>HYPERLINK("https://klasma.github.io/Logging_2281/tillsyn/A 50396-2024 tillsynsbegäran.docx", "A 50396-2024")</f>
        <v/>
      </c>
      <c r="Y295">
        <f>HYPERLINK("https://klasma.github.io/Logging_2281/tillsynsmail/A 50396-2024 tillsynsbegäran mail.docx", "A 50396-2024")</f>
        <v/>
      </c>
      <c r="Z295">
        <f>HYPERLINK("https://klasma.github.io/Logging_2281/fåglar/A 50396-2024 prioriterade fågelarter.docx", "A 50396-2024")</f>
        <v/>
      </c>
    </row>
    <row r="296" ht="15" customHeight="1">
      <c r="A296" t="inlineStr">
        <is>
          <t>A 51434-2024</t>
        </is>
      </c>
      <c r="B296" s="1" t="n">
        <v>45604</v>
      </c>
      <c r="C296" s="1" t="n">
        <v>45841</v>
      </c>
      <c r="D296" t="inlineStr">
        <is>
          <t>VÄSTERNORRLANDS LÄN</t>
        </is>
      </c>
      <c r="E296" t="inlineStr">
        <is>
          <t>SUNDSVALL</t>
        </is>
      </c>
      <c r="G296" t="n">
        <v>5.4</v>
      </c>
      <c r="H296" t="n">
        <v>1</v>
      </c>
      <c r="I296" t="n">
        <v>0</v>
      </c>
      <c r="J296" t="n">
        <v>0</v>
      </c>
      <c r="K296" t="n">
        <v>0</v>
      </c>
      <c r="L296" t="n">
        <v>0</v>
      </c>
      <c r="M296" t="n">
        <v>0</v>
      </c>
      <c r="N296" t="n">
        <v>0</v>
      </c>
      <c r="O296" t="n">
        <v>0</v>
      </c>
      <c r="P296" t="n">
        <v>0</v>
      </c>
      <c r="Q296" t="n">
        <v>1</v>
      </c>
      <c r="R296" s="2" t="inlineStr">
        <is>
          <t>Fläcknycklar</t>
        </is>
      </c>
      <c r="S296">
        <f>HYPERLINK("https://klasma.github.io/Logging_2281/artfynd/A 51434-2024 artfynd.xlsx", "A 51434-2024")</f>
        <v/>
      </c>
      <c r="T296">
        <f>HYPERLINK("https://klasma.github.io/Logging_2281/kartor/A 51434-2024 karta.png", "A 51434-2024")</f>
        <v/>
      </c>
      <c r="V296">
        <f>HYPERLINK("https://klasma.github.io/Logging_2281/klagomål/A 51434-2024 FSC-klagomål.docx", "A 51434-2024")</f>
        <v/>
      </c>
      <c r="W296">
        <f>HYPERLINK("https://klasma.github.io/Logging_2281/klagomålsmail/A 51434-2024 FSC-klagomål mail.docx", "A 51434-2024")</f>
        <v/>
      </c>
      <c r="X296">
        <f>HYPERLINK("https://klasma.github.io/Logging_2281/tillsyn/A 51434-2024 tillsynsbegäran.docx", "A 51434-2024")</f>
        <v/>
      </c>
      <c r="Y296">
        <f>HYPERLINK("https://klasma.github.io/Logging_2281/tillsynsmail/A 51434-2024 tillsynsbegäran mail.docx", "A 51434-2024")</f>
        <v/>
      </c>
    </row>
    <row r="297" ht="15" customHeight="1">
      <c r="A297" t="inlineStr">
        <is>
          <t>A 52342-2024</t>
        </is>
      </c>
      <c r="B297" s="1" t="n">
        <v>45609</v>
      </c>
      <c r="C297" s="1" t="n">
        <v>45841</v>
      </c>
      <c r="D297" t="inlineStr">
        <is>
          <t>VÄSTERNORRLANDS LÄN</t>
        </is>
      </c>
      <c r="E297" t="inlineStr">
        <is>
          <t>SUNDSVALL</t>
        </is>
      </c>
      <c r="G297" t="n">
        <v>4</v>
      </c>
      <c r="H297" t="n">
        <v>1</v>
      </c>
      <c r="I297" t="n">
        <v>0</v>
      </c>
      <c r="J297" t="n">
        <v>0</v>
      </c>
      <c r="K297" t="n">
        <v>0</v>
      </c>
      <c r="L297" t="n">
        <v>0</v>
      </c>
      <c r="M297" t="n">
        <v>0</v>
      </c>
      <c r="N297" t="n">
        <v>0</v>
      </c>
      <c r="O297" t="n">
        <v>0</v>
      </c>
      <c r="P297" t="n">
        <v>0</v>
      </c>
      <c r="Q297" t="n">
        <v>1</v>
      </c>
      <c r="R297" s="2" t="inlineStr">
        <is>
          <t>Orre</t>
        </is>
      </c>
      <c r="S297">
        <f>HYPERLINK("https://klasma.github.io/Logging_2281/artfynd/A 52342-2024 artfynd.xlsx", "A 52342-2024")</f>
        <v/>
      </c>
      <c r="T297">
        <f>HYPERLINK("https://klasma.github.io/Logging_2281/kartor/A 52342-2024 karta.png", "A 52342-2024")</f>
        <v/>
      </c>
      <c r="V297">
        <f>HYPERLINK("https://klasma.github.io/Logging_2281/klagomål/A 52342-2024 FSC-klagomål.docx", "A 52342-2024")</f>
        <v/>
      </c>
      <c r="W297">
        <f>HYPERLINK("https://klasma.github.io/Logging_2281/klagomålsmail/A 52342-2024 FSC-klagomål mail.docx", "A 52342-2024")</f>
        <v/>
      </c>
      <c r="X297">
        <f>HYPERLINK("https://klasma.github.io/Logging_2281/tillsyn/A 52342-2024 tillsynsbegäran.docx", "A 52342-2024")</f>
        <v/>
      </c>
      <c r="Y297">
        <f>HYPERLINK("https://klasma.github.io/Logging_2281/tillsynsmail/A 52342-2024 tillsynsbegäran mail.docx", "A 52342-2024")</f>
        <v/>
      </c>
      <c r="Z297">
        <f>HYPERLINK("https://klasma.github.io/Logging_2281/fåglar/A 52342-2024 prioriterade fågelarter.docx", "A 52342-2024")</f>
        <v/>
      </c>
    </row>
    <row r="298" ht="15" customHeight="1">
      <c r="A298" t="inlineStr">
        <is>
          <t>A 52515-2024</t>
        </is>
      </c>
      <c r="B298" s="1" t="n">
        <v>45609</v>
      </c>
      <c r="C298" s="1" t="n">
        <v>45841</v>
      </c>
      <c r="D298" t="inlineStr">
        <is>
          <t>VÄSTERNORRLANDS LÄN</t>
        </is>
      </c>
      <c r="E298" t="inlineStr">
        <is>
          <t>SUNDSVALL</t>
        </is>
      </c>
      <c r="G298" t="n">
        <v>2.4</v>
      </c>
      <c r="H298" t="n">
        <v>0</v>
      </c>
      <c r="I298" t="n">
        <v>1</v>
      </c>
      <c r="J298" t="n">
        <v>0</v>
      </c>
      <c r="K298" t="n">
        <v>0</v>
      </c>
      <c r="L298" t="n">
        <v>0</v>
      </c>
      <c r="M298" t="n">
        <v>0</v>
      </c>
      <c r="N298" t="n">
        <v>0</v>
      </c>
      <c r="O298" t="n">
        <v>0</v>
      </c>
      <c r="P298" t="n">
        <v>0</v>
      </c>
      <c r="Q298" t="n">
        <v>1</v>
      </c>
      <c r="R298" s="2" t="inlineStr">
        <is>
          <t>Tibast</t>
        </is>
      </c>
      <c r="S298">
        <f>HYPERLINK("https://klasma.github.io/Logging_2281/artfynd/A 52515-2024 artfynd.xlsx", "A 52515-2024")</f>
        <v/>
      </c>
      <c r="T298">
        <f>HYPERLINK("https://klasma.github.io/Logging_2281/kartor/A 52515-2024 karta.png", "A 52515-2024")</f>
        <v/>
      </c>
      <c r="V298">
        <f>HYPERLINK("https://klasma.github.io/Logging_2281/klagomål/A 52515-2024 FSC-klagomål.docx", "A 52515-2024")</f>
        <v/>
      </c>
      <c r="W298">
        <f>HYPERLINK("https://klasma.github.io/Logging_2281/klagomålsmail/A 52515-2024 FSC-klagomål mail.docx", "A 52515-2024")</f>
        <v/>
      </c>
      <c r="X298">
        <f>HYPERLINK("https://klasma.github.io/Logging_2281/tillsyn/A 52515-2024 tillsynsbegäran.docx", "A 52515-2024")</f>
        <v/>
      </c>
      <c r="Y298">
        <f>HYPERLINK("https://klasma.github.io/Logging_2281/tillsynsmail/A 52515-2024 tillsynsbegäran mail.docx", "A 52515-2024")</f>
        <v/>
      </c>
    </row>
    <row r="299" ht="15" customHeight="1">
      <c r="A299" t="inlineStr">
        <is>
          <t>A 58723-2024</t>
        </is>
      </c>
      <c r="B299" s="1" t="n">
        <v>45635</v>
      </c>
      <c r="C299" s="1" t="n">
        <v>45841</v>
      </c>
      <c r="D299" t="inlineStr">
        <is>
          <t>VÄSTERNORRLANDS LÄN</t>
        </is>
      </c>
      <c r="E299" t="inlineStr">
        <is>
          <t>SUNDSVALL</t>
        </is>
      </c>
      <c r="G299" t="n">
        <v>2.2</v>
      </c>
      <c r="H299" t="n">
        <v>1</v>
      </c>
      <c r="I299" t="n">
        <v>0</v>
      </c>
      <c r="J299" t="n">
        <v>1</v>
      </c>
      <c r="K299" t="n">
        <v>0</v>
      </c>
      <c r="L299" t="n">
        <v>0</v>
      </c>
      <c r="M299" t="n">
        <v>0</v>
      </c>
      <c r="N299" t="n">
        <v>0</v>
      </c>
      <c r="O299" t="n">
        <v>1</v>
      </c>
      <c r="P299" t="n">
        <v>0</v>
      </c>
      <c r="Q299" t="n">
        <v>1</v>
      </c>
      <c r="R299" s="2" t="inlineStr">
        <is>
          <t>Talltita</t>
        </is>
      </c>
      <c r="S299">
        <f>HYPERLINK("https://klasma.github.io/Logging_2281/artfynd/A 58723-2024 artfynd.xlsx", "A 58723-2024")</f>
        <v/>
      </c>
      <c r="T299">
        <f>HYPERLINK("https://klasma.github.io/Logging_2281/kartor/A 58723-2024 karta.png", "A 58723-2024")</f>
        <v/>
      </c>
      <c r="V299">
        <f>HYPERLINK("https://klasma.github.io/Logging_2281/klagomål/A 58723-2024 FSC-klagomål.docx", "A 58723-2024")</f>
        <v/>
      </c>
      <c r="W299">
        <f>HYPERLINK("https://klasma.github.io/Logging_2281/klagomålsmail/A 58723-2024 FSC-klagomål mail.docx", "A 58723-2024")</f>
        <v/>
      </c>
      <c r="X299">
        <f>HYPERLINK("https://klasma.github.io/Logging_2281/tillsyn/A 58723-2024 tillsynsbegäran.docx", "A 58723-2024")</f>
        <v/>
      </c>
      <c r="Y299">
        <f>HYPERLINK("https://klasma.github.io/Logging_2281/tillsynsmail/A 58723-2024 tillsynsbegäran mail.docx", "A 58723-2024")</f>
        <v/>
      </c>
      <c r="Z299">
        <f>HYPERLINK("https://klasma.github.io/Logging_2281/fåglar/A 58723-2024 prioriterade fågelarter.docx", "A 58723-2024")</f>
        <v/>
      </c>
    </row>
    <row r="300" ht="15" customHeight="1">
      <c r="A300" t="inlineStr">
        <is>
          <t>A 59895-2024</t>
        </is>
      </c>
      <c r="B300" s="1" t="n">
        <v>45641</v>
      </c>
      <c r="C300" s="1" t="n">
        <v>45841</v>
      </c>
      <c r="D300" t="inlineStr">
        <is>
          <t>VÄSTERNORRLANDS LÄN</t>
        </is>
      </c>
      <c r="E300" t="inlineStr">
        <is>
          <t>SUNDSVALL</t>
        </is>
      </c>
      <c r="F300" t="inlineStr">
        <is>
          <t>SCA</t>
        </is>
      </c>
      <c r="G300" t="n">
        <v>3.4</v>
      </c>
      <c r="H300" t="n">
        <v>1</v>
      </c>
      <c r="I300" t="n">
        <v>0</v>
      </c>
      <c r="J300" t="n">
        <v>0</v>
      </c>
      <c r="K300" t="n">
        <v>1</v>
      </c>
      <c r="L300" t="n">
        <v>0</v>
      </c>
      <c r="M300" t="n">
        <v>0</v>
      </c>
      <c r="N300" t="n">
        <v>0</v>
      </c>
      <c r="O300" t="n">
        <v>1</v>
      </c>
      <c r="P300" t="n">
        <v>1</v>
      </c>
      <c r="Q300" t="n">
        <v>1</v>
      </c>
      <c r="R300" s="2" t="inlineStr">
        <is>
          <t>Knärot</t>
        </is>
      </c>
      <c r="S300">
        <f>HYPERLINK("https://klasma.github.io/Logging_2281/artfynd/A 59895-2024 artfynd.xlsx", "A 59895-2024")</f>
        <v/>
      </c>
      <c r="T300">
        <f>HYPERLINK("https://klasma.github.io/Logging_2281/kartor/A 59895-2024 karta.png", "A 59895-2024")</f>
        <v/>
      </c>
      <c r="U300">
        <f>HYPERLINK("https://klasma.github.io/Logging_2281/knärot/A 59895-2024 karta knärot.png", "A 59895-2024")</f>
        <v/>
      </c>
      <c r="V300">
        <f>HYPERLINK("https://klasma.github.io/Logging_2281/klagomål/A 59895-2024 FSC-klagomål.docx", "A 59895-2024")</f>
        <v/>
      </c>
      <c r="W300">
        <f>HYPERLINK("https://klasma.github.io/Logging_2281/klagomålsmail/A 59895-2024 FSC-klagomål mail.docx", "A 59895-2024")</f>
        <v/>
      </c>
      <c r="X300">
        <f>HYPERLINK("https://klasma.github.io/Logging_2281/tillsyn/A 59895-2024 tillsynsbegäran.docx", "A 59895-2024")</f>
        <v/>
      </c>
      <c r="Y300">
        <f>HYPERLINK("https://klasma.github.io/Logging_2281/tillsynsmail/A 59895-2024 tillsynsbegäran mail.docx", "A 59895-2024")</f>
        <v/>
      </c>
    </row>
    <row r="301" ht="15" customHeight="1">
      <c r="A301" t="inlineStr">
        <is>
          <t>A 60444-2024</t>
        </is>
      </c>
      <c r="B301" s="1" t="n">
        <v>45642</v>
      </c>
      <c r="C301" s="1" t="n">
        <v>45841</v>
      </c>
      <c r="D301" t="inlineStr">
        <is>
          <t>VÄSTERNORRLANDS LÄN</t>
        </is>
      </c>
      <c r="E301" t="inlineStr">
        <is>
          <t>SUNDSVALL</t>
        </is>
      </c>
      <c r="G301" t="n">
        <v>8.199999999999999</v>
      </c>
      <c r="H301" t="n">
        <v>1</v>
      </c>
      <c r="I301" t="n">
        <v>0</v>
      </c>
      <c r="J301" t="n">
        <v>0</v>
      </c>
      <c r="K301" t="n">
        <v>0</v>
      </c>
      <c r="L301" t="n">
        <v>0</v>
      </c>
      <c r="M301" t="n">
        <v>0</v>
      </c>
      <c r="N301" t="n">
        <v>0</v>
      </c>
      <c r="O301" t="n">
        <v>0</v>
      </c>
      <c r="P301" t="n">
        <v>0</v>
      </c>
      <c r="Q301" t="n">
        <v>1</v>
      </c>
      <c r="R301" s="2" t="inlineStr">
        <is>
          <t>Gråspett</t>
        </is>
      </c>
      <c r="S301">
        <f>HYPERLINK("https://klasma.github.io/Logging_2281/artfynd/A 60444-2024 artfynd.xlsx", "A 60444-2024")</f>
        <v/>
      </c>
      <c r="T301">
        <f>HYPERLINK("https://klasma.github.io/Logging_2281/kartor/A 60444-2024 karta.png", "A 60444-2024")</f>
        <v/>
      </c>
      <c r="V301">
        <f>HYPERLINK("https://klasma.github.io/Logging_2281/klagomål/A 60444-2024 FSC-klagomål.docx", "A 60444-2024")</f>
        <v/>
      </c>
      <c r="W301">
        <f>HYPERLINK("https://klasma.github.io/Logging_2281/klagomålsmail/A 60444-2024 FSC-klagomål mail.docx", "A 60444-2024")</f>
        <v/>
      </c>
      <c r="X301">
        <f>HYPERLINK("https://klasma.github.io/Logging_2281/tillsyn/A 60444-2024 tillsynsbegäran.docx", "A 60444-2024")</f>
        <v/>
      </c>
      <c r="Y301">
        <f>HYPERLINK("https://klasma.github.io/Logging_2281/tillsynsmail/A 60444-2024 tillsynsbegäran mail.docx", "A 60444-2024")</f>
        <v/>
      </c>
      <c r="Z301">
        <f>HYPERLINK("https://klasma.github.io/Logging_2281/fåglar/A 60444-2024 prioriterade fågelarter.docx", "A 60444-2024")</f>
        <v/>
      </c>
    </row>
    <row r="302" ht="15" customHeight="1">
      <c r="A302" t="inlineStr">
        <is>
          <t>A 3347-2025</t>
        </is>
      </c>
      <c r="B302" s="1" t="n">
        <v>45679</v>
      </c>
      <c r="C302" s="1" t="n">
        <v>45841</v>
      </c>
      <c r="D302" t="inlineStr">
        <is>
          <t>VÄSTERNORRLANDS LÄN</t>
        </is>
      </c>
      <c r="E302" t="inlineStr">
        <is>
          <t>SUNDSVALL</t>
        </is>
      </c>
      <c r="G302" t="n">
        <v>20.7</v>
      </c>
      <c r="H302" t="n">
        <v>0</v>
      </c>
      <c r="I302" t="n">
        <v>0</v>
      </c>
      <c r="J302" t="n">
        <v>1</v>
      </c>
      <c r="K302" t="n">
        <v>0</v>
      </c>
      <c r="L302" t="n">
        <v>0</v>
      </c>
      <c r="M302" t="n">
        <v>0</v>
      </c>
      <c r="N302" t="n">
        <v>0</v>
      </c>
      <c r="O302" t="n">
        <v>1</v>
      </c>
      <c r="P302" t="n">
        <v>0</v>
      </c>
      <c r="Q302" t="n">
        <v>1</v>
      </c>
      <c r="R302" s="2" t="inlineStr">
        <is>
          <t>Lunglav</t>
        </is>
      </c>
      <c r="S302">
        <f>HYPERLINK("https://klasma.github.io/Logging_2281/artfynd/A 3347-2025 artfynd.xlsx", "A 3347-2025")</f>
        <v/>
      </c>
      <c r="T302">
        <f>HYPERLINK("https://klasma.github.io/Logging_2281/kartor/A 3347-2025 karta.png", "A 3347-2025")</f>
        <v/>
      </c>
      <c r="V302">
        <f>HYPERLINK("https://klasma.github.io/Logging_2281/klagomål/A 3347-2025 FSC-klagomål.docx", "A 3347-2025")</f>
        <v/>
      </c>
      <c r="W302">
        <f>HYPERLINK("https://klasma.github.io/Logging_2281/klagomålsmail/A 3347-2025 FSC-klagomål mail.docx", "A 3347-2025")</f>
        <v/>
      </c>
      <c r="X302">
        <f>HYPERLINK("https://klasma.github.io/Logging_2281/tillsyn/A 3347-2025 tillsynsbegäran.docx", "A 3347-2025")</f>
        <v/>
      </c>
      <c r="Y302">
        <f>HYPERLINK("https://klasma.github.io/Logging_2281/tillsynsmail/A 3347-2025 tillsynsbegäran mail.docx", "A 3347-2025")</f>
        <v/>
      </c>
    </row>
    <row r="303" ht="15" customHeight="1">
      <c r="A303" t="inlineStr">
        <is>
          <t>A 3924-2025</t>
        </is>
      </c>
      <c r="B303" s="1" t="n">
        <v>45684</v>
      </c>
      <c r="C303" s="1" t="n">
        <v>45841</v>
      </c>
      <c r="D303" t="inlineStr">
        <is>
          <t>VÄSTERNORRLANDS LÄN</t>
        </is>
      </c>
      <c r="E303" t="inlineStr">
        <is>
          <t>SUNDSVALL</t>
        </is>
      </c>
      <c r="F303" t="inlineStr">
        <is>
          <t>SCA</t>
        </is>
      </c>
      <c r="G303" t="n">
        <v>5.9</v>
      </c>
      <c r="H303" t="n">
        <v>1</v>
      </c>
      <c r="I303" t="n">
        <v>0</v>
      </c>
      <c r="J303" t="n">
        <v>1</v>
      </c>
      <c r="K303" t="n">
        <v>0</v>
      </c>
      <c r="L303" t="n">
        <v>0</v>
      </c>
      <c r="M303" t="n">
        <v>0</v>
      </c>
      <c r="N303" t="n">
        <v>0</v>
      </c>
      <c r="O303" t="n">
        <v>1</v>
      </c>
      <c r="P303" t="n">
        <v>0</v>
      </c>
      <c r="Q303" t="n">
        <v>1</v>
      </c>
      <c r="R303" s="2" t="inlineStr">
        <is>
          <t>Järpe</t>
        </is>
      </c>
      <c r="S303">
        <f>HYPERLINK("https://klasma.github.io/Logging_2281/artfynd/A 3924-2025 artfynd.xlsx", "A 3924-2025")</f>
        <v/>
      </c>
      <c r="T303">
        <f>HYPERLINK("https://klasma.github.io/Logging_2281/kartor/A 3924-2025 karta.png", "A 3924-2025")</f>
        <v/>
      </c>
      <c r="V303">
        <f>HYPERLINK("https://klasma.github.io/Logging_2281/klagomål/A 3924-2025 FSC-klagomål.docx", "A 3924-2025")</f>
        <v/>
      </c>
      <c r="W303">
        <f>HYPERLINK("https://klasma.github.io/Logging_2281/klagomålsmail/A 3924-2025 FSC-klagomål mail.docx", "A 3924-2025")</f>
        <v/>
      </c>
      <c r="X303">
        <f>HYPERLINK("https://klasma.github.io/Logging_2281/tillsyn/A 3924-2025 tillsynsbegäran.docx", "A 3924-2025")</f>
        <v/>
      </c>
      <c r="Y303">
        <f>HYPERLINK("https://klasma.github.io/Logging_2281/tillsynsmail/A 3924-2025 tillsynsbegäran mail.docx", "A 3924-2025")</f>
        <v/>
      </c>
      <c r="Z303">
        <f>HYPERLINK("https://klasma.github.io/Logging_2281/fåglar/A 3924-2025 prioriterade fågelarter.docx", "A 3924-2025")</f>
        <v/>
      </c>
    </row>
    <row r="304" ht="15" customHeight="1">
      <c r="A304" t="inlineStr">
        <is>
          <t>A 7264-2025</t>
        </is>
      </c>
      <c r="B304" s="1" t="n">
        <v>45702</v>
      </c>
      <c r="C304" s="1" t="n">
        <v>45841</v>
      </c>
      <c r="D304" t="inlineStr">
        <is>
          <t>VÄSTERNORRLANDS LÄN</t>
        </is>
      </c>
      <c r="E304" t="inlineStr">
        <is>
          <t>SUNDSVALL</t>
        </is>
      </c>
      <c r="F304" t="inlineStr">
        <is>
          <t>SCA</t>
        </is>
      </c>
      <c r="G304" t="n">
        <v>2.1</v>
      </c>
      <c r="H304" t="n">
        <v>0</v>
      </c>
      <c r="I304" t="n">
        <v>0</v>
      </c>
      <c r="J304" t="n">
        <v>1</v>
      </c>
      <c r="K304" t="n">
        <v>0</v>
      </c>
      <c r="L304" t="n">
        <v>0</v>
      </c>
      <c r="M304" t="n">
        <v>0</v>
      </c>
      <c r="N304" t="n">
        <v>0</v>
      </c>
      <c r="O304" t="n">
        <v>1</v>
      </c>
      <c r="P304" t="n">
        <v>0</v>
      </c>
      <c r="Q304" t="n">
        <v>1</v>
      </c>
      <c r="R304" s="2" t="inlineStr">
        <is>
          <t>Ullticka</t>
        </is>
      </c>
      <c r="S304">
        <f>HYPERLINK("https://klasma.github.io/Logging_2281/artfynd/A 7264-2025 artfynd.xlsx", "A 7264-2025")</f>
        <v/>
      </c>
      <c r="T304">
        <f>HYPERLINK("https://klasma.github.io/Logging_2281/kartor/A 7264-2025 karta.png", "A 7264-2025")</f>
        <v/>
      </c>
      <c r="U304">
        <f>HYPERLINK("https://klasma.github.io/Logging_2281/knärot/A 7264-2025 karta knärot.png", "A 7264-2025")</f>
        <v/>
      </c>
      <c r="V304">
        <f>HYPERLINK("https://klasma.github.io/Logging_2281/klagomål/A 7264-2025 FSC-klagomål.docx", "A 7264-2025")</f>
        <v/>
      </c>
      <c r="W304">
        <f>HYPERLINK("https://klasma.github.io/Logging_2281/klagomålsmail/A 7264-2025 FSC-klagomål mail.docx", "A 7264-2025")</f>
        <v/>
      </c>
      <c r="X304">
        <f>HYPERLINK("https://klasma.github.io/Logging_2281/tillsyn/A 7264-2025 tillsynsbegäran.docx", "A 7264-2025")</f>
        <v/>
      </c>
      <c r="Y304">
        <f>HYPERLINK("https://klasma.github.io/Logging_2281/tillsynsmail/A 7264-2025 tillsynsbegäran mail.docx", "A 7264-2025")</f>
        <v/>
      </c>
    </row>
    <row r="305" ht="15" customHeight="1">
      <c r="A305" t="inlineStr">
        <is>
          <t>A 10683-2025</t>
        </is>
      </c>
      <c r="B305" s="1" t="n">
        <v>45721</v>
      </c>
      <c r="C305" s="1" t="n">
        <v>45841</v>
      </c>
      <c r="D305" t="inlineStr">
        <is>
          <t>VÄSTERNORRLANDS LÄN</t>
        </is>
      </c>
      <c r="E305" t="inlineStr">
        <is>
          <t>SUNDSVALL</t>
        </is>
      </c>
      <c r="G305" t="n">
        <v>1.5</v>
      </c>
      <c r="H305" t="n">
        <v>1</v>
      </c>
      <c r="I305" t="n">
        <v>0</v>
      </c>
      <c r="J305" t="n">
        <v>1</v>
      </c>
      <c r="K305" t="n">
        <v>0</v>
      </c>
      <c r="L305" t="n">
        <v>0</v>
      </c>
      <c r="M305" t="n">
        <v>0</v>
      </c>
      <c r="N305" t="n">
        <v>0</v>
      </c>
      <c r="O305" t="n">
        <v>1</v>
      </c>
      <c r="P305" t="n">
        <v>0</v>
      </c>
      <c r="Q305" t="n">
        <v>1</v>
      </c>
      <c r="R305" s="2" t="inlineStr">
        <is>
          <t>Björktrast</t>
        </is>
      </c>
      <c r="S305">
        <f>HYPERLINK("https://klasma.github.io/Logging_222281/artfynd/A 10683-2025 artfynd.xlsx", "A 10683-2025")</f>
        <v/>
      </c>
      <c r="T305">
        <f>HYPERLINK("https://klasma.github.io/Logging_222281/kartor/A 10683-2025 karta.png", "A 10683-2025")</f>
        <v/>
      </c>
      <c r="V305">
        <f>HYPERLINK("https://klasma.github.io/Logging_222281/klagomål/A 10683-2025 FSC-klagomål.docx", "A 10683-2025")</f>
        <v/>
      </c>
      <c r="W305">
        <f>HYPERLINK("https://klasma.github.io/Logging_222281/klagomålsmail/A 10683-2025 FSC-klagomål mail.docx", "A 10683-2025")</f>
        <v/>
      </c>
      <c r="X305">
        <f>HYPERLINK("https://klasma.github.io/Logging_222281/tillsyn/A 10683-2025 tillsynsbegäran.docx", "A 10683-2025")</f>
        <v/>
      </c>
      <c r="Y305">
        <f>HYPERLINK("https://klasma.github.io/Logging_222281/tillsynsmail/A 10683-2025 tillsynsbegäran mail.docx", "A 10683-2025")</f>
        <v/>
      </c>
      <c r="Z305">
        <f>HYPERLINK("https://klasma.github.io/Logging_222281/fåglar/A 10683-2025 prioriterade fågelarter.docx", "A 10683-2025")</f>
        <v/>
      </c>
    </row>
    <row r="306" ht="15" customHeight="1">
      <c r="A306" t="inlineStr">
        <is>
          <t>A 11146-2025</t>
        </is>
      </c>
      <c r="B306" s="1" t="n">
        <v>45723</v>
      </c>
      <c r="C306" s="1" t="n">
        <v>45841</v>
      </c>
      <c r="D306" t="inlineStr">
        <is>
          <t>VÄSTERNORRLANDS LÄN</t>
        </is>
      </c>
      <c r="E306" t="inlineStr">
        <is>
          <t>SUNDSVALL</t>
        </is>
      </c>
      <c r="F306" t="inlineStr">
        <is>
          <t>SCA</t>
        </is>
      </c>
      <c r="G306" t="n">
        <v>17.4</v>
      </c>
      <c r="H306" t="n">
        <v>0</v>
      </c>
      <c r="I306" t="n">
        <v>0</v>
      </c>
      <c r="J306" t="n">
        <v>1</v>
      </c>
      <c r="K306" t="n">
        <v>0</v>
      </c>
      <c r="L306" t="n">
        <v>0</v>
      </c>
      <c r="M306" t="n">
        <v>0</v>
      </c>
      <c r="N306" t="n">
        <v>0</v>
      </c>
      <c r="O306" t="n">
        <v>1</v>
      </c>
      <c r="P306" t="n">
        <v>0</v>
      </c>
      <c r="Q306" t="n">
        <v>1</v>
      </c>
      <c r="R306" s="2" t="inlineStr">
        <is>
          <t>Skogshare</t>
        </is>
      </c>
      <c r="S306">
        <f>HYPERLINK("https://klasma.github.io/Logging_222281/artfynd/A 11146-2025 artfynd.xlsx", "A 11146-2025")</f>
        <v/>
      </c>
      <c r="T306">
        <f>HYPERLINK("https://klasma.github.io/Logging_222281/kartor/A 11146-2025 karta.png", "A 11146-2025")</f>
        <v/>
      </c>
      <c r="V306">
        <f>HYPERLINK("https://klasma.github.io/Logging_222281/klagomål/A 11146-2025 FSC-klagomål.docx", "A 11146-2025")</f>
        <v/>
      </c>
      <c r="W306">
        <f>HYPERLINK("https://klasma.github.io/Logging_222281/klagomålsmail/A 11146-2025 FSC-klagomål mail.docx", "A 11146-2025")</f>
        <v/>
      </c>
      <c r="X306">
        <f>HYPERLINK("https://klasma.github.io/Logging_222281/tillsyn/A 11146-2025 tillsynsbegäran.docx", "A 11146-2025")</f>
        <v/>
      </c>
      <c r="Y306">
        <f>HYPERLINK("https://klasma.github.io/Logging_222281/tillsynsmail/A 11146-2025 tillsynsbegäran mail.docx", "A 11146-2025")</f>
        <v/>
      </c>
    </row>
    <row r="307" ht="15" customHeight="1">
      <c r="A307" t="inlineStr">
        <is>
          <t>A 13301-2025</t>
        </is>
      </c>
      <c r="B307" s="1" t="n">
        <v>45735</v>
      </c>
      <c r="C307" s="1" t="n">
        <v>45841</v>
      </c>
      <c r="D307" t="inlineStr">
        <is>
          <t>VÄSTERNORRLANDS LÄN</t>
        </is>
      </c>
      <c r="E307" t="inlineStr">
        <is>
          <t>SUNDSVALL</t>
        </is>
      </c>
      <c r="F307" t="inlineStr">
        <is>
          <t>SCA</t>
        </is>
      </c>
      <c r="G307" t="n">
        <v>13.4</v>
      </c>
      <c r="H307" t="n">
        <v>1</v>
      </c>
      <c r="I307" t="n">
        <v>0</v>
      </c>
      <c r="J307" t="n">
        <v>0</v>
      </c>
      <c r="K307" t="n">
        <v>0</v>
      </c>
      <c r="L307" t="n">
        <v>0</v>
      </c>
      <c r="M307" t="n">
        <v>0</v>
      </c>
      <c r="N307" t="n">
        <v>0</v>
      </c>
      <c r="O307" t="n">
        <v>0</v>
      </c>
      <c r="P307" t="n">
        <v>0</v>
      </c>
      <c r="Q307" t="n">
        <v>1</v>
      </c>
      <c r="R307" s="2" t="inlineStr">
        <is>
          <t>Blåsippa</t>
        </is>
      </c>
      <c r="S307">
        <f>HYPERLINK("https://klasma.github.io/Logging_222281/artfynd/A 13301-2025 artfynd.xlsx", "A 13301-2025")</f>
        <v/>
      </c>
      <c r="T307">
        <f>HYPERLINK("https://klasma.github.io/Logging_222281/kartor/A 13301-2025 karta.png", "A 13301-2025")</f>
        <v/>
      </c>
      <c r="V307">
        <f>HYPERLINK("https://klasma.github.io/Logging_222281/klagomål/A 13301-2025 FSC-klagomål.docx", "A 13301-2025")</f>
        <v/>
      </c>
      <c r="W307">
        <f>HYPERLINK("https://klasma.github.io/Logging_222281/klagomålsmail/A 13301-2025 FSC-klagomål mail.docx", "A 13301-2025")</f>
        <v/>
      </c>
      <c r="X307">
        <f>HYPERLINK("https://klasma.github.io/Logging_222281/tillsyn/A 13301-2025 tillsynsbegäran.docx", "A 13301-2025")</f>
        <v/>
      </c>
      <c r="Y307">
        <f>HYPERLINK("https://klasma.github.io/Logging_222281/tillsynsmail/A 13301-2025 tillsynsbegäran mail.docx", "A 13301-2025")</f>
        <v/>
      </c>
    </row>
    <row r="308" ht="15" customHeight="1">
      <c r="A308" t="inlineStr">
        <is>
          <t>A 13443-2025</t>
        </is>
      </c>
      <c r="B308" s="1" t="n">
        <v>45736</v>
      </c>
      <c r="C308" s="1" t="n">
        <v>45841</v>
      </c>
      <c r="D308" t="inlineStr">
        <is>
          <t>VÄSTERNORRLANDS LÄN</t>
        </is>
      </c>
      <c r="E308" t="inlineStr">
        <is>
          <t>SUNDSVALL</t>
        </is>
      </c>
      <c r="F308" t="inlineStr">
        <is>
          <t>SCA</t>
        </is>
      </c>
      <c r="G308" t="n">
        <v>12.5</v>
      </c>
      <c r="H308" t="n">
        <v>0</v>
      </c>
      <c r="I308" t="n">
        <v>1</v>
      </c>
      <c r="J308" t="n">
        <v>0</v>
      </c>
      <c r="K308" t="n">
        <v>0</v>
      </c>
      <c r="L308" t="n">
        <v>0</v>
      </c>
      <c r="M308" t="n">
        <v>0</v>
      </c>
      <c r="N308" t="n">
        <v>0</v>
      </c>
      <c r="O308" t="n">
        <v>0</v>
      </c>
      <c r="P308" t="n">
        <v>0</v>
      </c>
      <c r="Q308" t="n">
        <v>1</v>
      </c>
      <c r="R308" s="2" t="inlineStr">
        <is>
          <t>Kattfotslav</t>
        </is>
      </c>
      <c r="S308">
        <f>HYPERLINK("https://klasma.github.io/Logging_222281/artfynd/A 13443-2025 artfynd.xlsx", "A 13443-2025")</f>
        <v/>
      </c>
      <c r="T308">
        <f>HYPERLINK("https://klasma.github.io/Logging_222281/kartor/A 13443-2025 karta.png", "A 13443-2025")</f>
        <v/>
      </c>
      <c r="U308">
        <f>HYPERLINK("https://klasma.github.io/Logging_222281/knärot/A 13443-2025 karta knärot.png", "A 13443-2025")</f>
        <v/>
      </c>
      <c r="V308">
        <f>HYPERLINK("https://klasma.github.io/Logging_222281/klagomål/A 13443-2025 FSC-klagomål.docx", "A 13443-2025")</f>
        <v/>
      </c>
      <c r="W308">
        <f>HYPERLINK("https://klasma.github.io/Logging_222281/klagomålsmail/A 13443-2025 FSC-klagomål mail.docx", "A 13443-2025")</f>
        <v/>
      </c>
      <c r="X308">
        <f>HYPERLINK("https://klasma.github.io/Logging_222281/tillsyn/A 13443-2025 tillsynsbegäran.docx", "A 13443-2025")</f>
        <v/>
      </c>
      <c r="Y308">
        <f>HYPERLINK("https://klasma.github.io/Logging_222281/tillsynsmail/A 13443-2025 tillsynsbegäran mail.docx", "A 13443-2025")</f>
        <v/>
      </c>
    </row>
    <row r="309" ht="15" customHeight="1">
      <c r="A309" t="inlineStr">
        <is>
          <t>A 18007-2025</t>
        </is>
      </c>
      <c r="B309" s="1" t="n">
        <v>45761</v>
      </c>
      <c r="C309" s="1" t="n">
        <v>45841</v>
      </c>
      <c r="D309" t="inlineStr">
        <is>
          <t>VÄSTERNORRLANDS LÄN</t>
        </is>
      </c>
      <c r="E309" t="inlineStr">
        <is>
          <t>SUNDSVALL</t>
        </is>
      </c>
      <c r="F309" t="inlineStr">
        <is>
          <t>SCA</t>
        </is>
      </c>
      <c r="G309" t="n">
        <v>14.3</v>
      </c>
      <c r="H309" t="n">
        <v>1</v>
      </c>
      <c r="I309" t="n">
        <v>0</v>
      </c>
      <c r="J309" t="n">
        <v>0</v>
      </c>
      <c r="K309" t="n">
        <v>0</v>
      </c>
      <c r="L309" t="n">
        <v>0</v>
      </c>
      <c r="M309" t="n">
        <v>0</v>
      </c>
      <c r="N309" t="n">
        <v>0</v>
      </c>
      <c r="O309" t="n">
        <v>0</v>
      </c>
      <c r="P309" t="n">
        <v>0</v>
      </c>
      <c r="Q309" t="n">
        <v>1</v>
      </c>
      <c r="R309" s="2" t="inlineStr">
        <is>
          <t>Orre</t>
        </is>
      </c>
      <c r="S309">
        <f>HYPERLINK("https://klasma.github.io/Logging_222281/artfynd/A 18007-2025 artfynd.xlsx", "A 18007-2025")</f>
        <v/>
      </c>
      <c r="T309">
        <f>HYPERLINK("https://klasma.github.io/Logging_222281/kartor/A 18007-2025 karta.png", "A 18007-2025")</f>
        <v/>
      </c>
      <c r="V309">
        <f>HYPERLINK("https://klasma.github.io/Logging_222281/klagomål/A 18007-2025 FSC-klagomål.docx", "A 18007-2025")</f>
        <v/>
      </c>
      <c r="W309">
        <f>HYPERLINK("https://klasma.github.io/Logging_222281/klagomålsmail/A 18007-2025 FSC-klagomål mail.docx", "A 18007-2025")</f>
        <v/>
      </c>
      <c r="X309">
        <f>HYPERLINK("https://klasma.github.io/Logging_222281/tillsyn/A 18007-2025 tillsynsbegäran.docx", "A 18007-2025")</f>
        <v/>
      </c>
      <c r="Y309">
        <f>HYPERLINK("https://klasma.github.io/Logging_222281/tillsynsmail/A 18007-2025 tillsynsbegäran mail.docx", "A 18007-2025")</f>
        <v/>
      </c>
      <c r="Z309">
        <f>HYPERLINK("https://klasma.github.io/Logging_222281/fåglar/A 18007-2025 prioriterade fågelarter.docx", "A 18007-2025")</f>
        <v/>
      </c>
    </row>
    <row r="310" ht="15" customHeight="1">
      <c r="A310" t="inlineStr">
        <is>
          <t>A 19762-2025</t>
        </is>
      </c>
      <c r="B310" s="1" t="n">
        <v>45771</v>
      </c>
      <c r="C310" s="1" t="n">
        <v>45841</v>
      </c>
      <c r="D310" t="inlineStr">
        <is>
          <t>VÄSTERNORRLANDS LÄN</t>
        </is>
      </c>
      <c r="E310" t="inlineStr">
        <is>
          <t>SUNDSVALL</t>
        </is>
      </c>
      <c r="F310" t="inlineStr">
        <is>
          <t>Naturvårdsverket</t>
        </is>
      </c>
      <c r="G310" t="n">
        <v>2.3</v>
      </c>
      <c r="H310" t="n">
        <v>0</v>
      </c>
      <c r="I310" t="n">
        <v>1</v>
      </c>
      <c r="J310" t="n">
        <v>0</v>
      </c>
      <c r="K310" t="n">
        <v>0</v>
      </c>
      <c r="L310" t="n">
        <v>0</v>
      </c>
      <c r="M310" t="n">
        <v>0</v>
      </c>
      <c r="N310" t="n">
        <v>0</v>
      </c>
      <c r="O310" t="n">
        <v>0</v>
      </c>
      <c r="P310" t="n">
        <v>0</v>
      </c>
      <c r="Q310" t="n">
        <v>1</v>
      </c>
      <c r="R310" s="2" t="inlineStr">
        <is>
          <t>Barkticka</t>
        </is>
      </c>
      <c r="S310">
        <f>HYPERLINK("https://klasma.github.io/Logging_222281/artfynd/A 19762-2025 artfynd.xlsx", "A 19762-2025")</f>
        <v/>
      </c>
      <c r="T310">
        <f>HYPERLINK("https://klasma.github.io/Logging_222281/kartor/A 19762-2025 karta.png", "A 19762-2025")</f>
        <v/>
      </c>
      <c r="V310">
        <f>HYPERLINK("https://klasma.github.io/Logging_222281/klagomål/A 19762-2025 FSC-klagomål.docx", "A 19762-2025")</f>
        <v/>
      </c>
      <c r="W310">
        <f>HYPERLINK("https://klasma.github.io/Logging_222281/klagomålsmail/A 19762-2025 FSC-klagomål mail.docx", "A 19762-2025")</f>
        <v/>
      </c>
      <c r="X310">
        <f>HYPERLINK("https://klasma.github.io/Logging_222281/tillsyn/A 19762-2025 tillsynsbegäran.docx", "A 19762-2025")</f>
        <v/>
      </c>
      <c r="Y310">
        <f>HYPERLINK("https://klasma.github.io/Logging_222281/tillsynsmail/A 19762-2025 tillsynsbegäran mail.docx", "A 19762-2025")</f>
        <v/>
      </c>
    </row>
    <row r="311" ht="15" customHeight="1">
      <c r="A311" t="inlineStr">
        <is>
          <t>A 19826-2025</t>
        </is>
      </c>
      <c r="B311" s="1" t="n">
        <v>45771</v>
      </c>
      <c r="C311" s="1" t="n">
        <v>45841</v>
      </c>
      <c r="D311" t="inlineStr">
        <is>
          <t>VÄSTERNORRLANDS LÄN</t>
        </is>
      </c>
      <c r="E311" t="inlineStr">
        <is>
          <t>SUNDSVALL</t>
        </is>
      </c>
      <c r="F311" t="inlineStr">
        <is>
          <t>Naturvårdsverket</t>
        </is>
      </c>
      <c r="G311" t="n">
        <v>1.5</v>
      </c>
      <c r="H311" t="n">
        <v>0</v>
      </c>
      <c r="I311" t="n">
        <v>0</v>
      </c>
      <c r="J311" t="n">
        <v>1</v>
      </c>
      <c r="K311" t="n">
        <v>0</v>
      </c>
      <c r="L311" t="n">
        <v>0</v>
      </c>
      <c r="M311" t="n">
        <v>0</v>
      </c>
      <c r="N311" t="n">
        <v>0</v>
      </c>
      <c r="O311" t="n">
        <v>1</v>
      </c>
      <c r="P311" t="n">
        <v>0</v>
      </c>
      <c r="Q311" t="n">
        <v>1</v>
      </c>
      <c r="R311" s="2" t="inlineStr">
        <is>
          <t>Lunglav</t>
        </is>
      </c>
      <c r="S311">
        <f>HYPERLINK("https://klasma.github.io/Logging_222281/artfynd/A 19826-2025 artfynd.xlsx", "A 19826-2025")</f>
        <v/>
      </c>
      <c r="T311">
        <f>HYPERLINK("https://klasma.github.io/Logging_222281/kartor/A 19826-2025 karta.png", "A 19826-2025")</f>
        <v/>
      </c>
      <c r="V311">
        <f>HYPERLINK("https://klasma.github.io/Logging_222281/klagomål/A 19826-2025 FSC-klagomål.docx", "A 19826-2025")</f>
        <v/>
      </c>
      <c r="W311">
        <f>HYPERLINK("https://klasma.github.io/Logging_222281/klagomålsmail/A 19826-2025 FSC-klagomål mail.docx", "A 19826-2025")</f>
        <v/>
      </c>
      <c r="X311">
        <f>HYPERLINK("https://klasma.github.io/Logging_222281/tillsyn/A 19826-2025 tillsynsbegäran.docx", "A 19826-2025")</f>
        <v/>
      </c>
      <c r="Y311">
        <f>HYPERLINK("https://klasma.github.io/Logging_222281/tillsynsmail/A 19826-2025 tillsynsbegäran mail.docx", "A 19826-2025")</f>
        <v/>
      </c>
    </row>
    <row r="312" ht="15" customHeight="1">
      <c r="A312" t="inlineStr">
        <is>
          <t>A 20078-2025</t>
        </is>
      </c>
      <c r="B312" s="1" t="n">
        <v>45772</v>
      </c>
      <c r="C312" s="1" t="n">
        <v>45841</v>
      </c>
      <c r="D312" t="inlineStr">
        <is>
          <t>VÄSTERNORRLANDS LÄN</t>
        </is>
      </c>
      <c r="E312" t="inlineStr">
        <is>
          <t>SUNDSVALL</t>
        </is>
      </c>
      <c r="F312" t="inlineStr">
        <is>
          <t>Naturvårdsverket</t>
        </is>
      </c>
      <c r="G312" t="n">
        <v>6.9</v>
      </c>
      <c r="H312" t="n">
        <v>0</v>
      </c>
      <c r="I312" t="n">
        <v>0</v>
      </c>
      <c r="J312" t="n">
        <v>1</v>
      </c>
      <c r="K312" t="n">
        <v>0</v>
      </c>
      <c r="L312" t="n">
        <v>0</v>
      </c>
      <c r="M312" t="n">
        <v>0</v>
      </c>
      <c r="N312" t="n">
        <v>0</v>
      </c>
      <c r="O312" t="n">
        <v>1</v>
      </c>
      <c r="P312" t="n">
        <v>0</v>
      </c>
      <c r="Q312" t="n">
        <v>1</v>
      </c>
      <c r="R312" s="2" t="inlineStr">
        <is>
          <t>Lunglav</t>
        </is>
      </c>
      <c r="S312">
        <f>HYPERLINK("https://klasma.github.io/Logging_222281/artfynd/A 20078-2025 artfynd.xlsx", "A 20078-2025")</f>
        <v/>
      </c>
      <c r="T312">
        <f>HYPERLINK("https://klasma.github.io/Logging_222281/kartor/A 20078-2025 karta.png", "A 20078-2025")</f>
        <v/>
      </c>
      <c r="V312">
        <f>HYPERLINK("https://klasma.github.io/Logging_222281/klagomål/A 20078-2025 FSC-klagomål.docx", "A 20078-2025")</f>
        <v/>
      </c>
      <c r="W312">
        <f>HYPERLINK("https://klasma.github.io/Logging_222281/klagomålsmail/A 20078-2025 FSC-klagomål mail.docx", "A 20078-2025")</f>
        <v/>
      </c>
      <c r="X312">
        <f>HYPERLINK("https://klasma.github.io/Logging_222281/tillsyn/A 20078-2025 tillsynsbegäran.docx", "A 20078-2025")</f>
        <v/>
      </c>
      <c r="Y312">
        <f>HYPERLINK("https://klasma.github.io/Logging_222281/tillsynsmail/A 20078-2025 tillsynsbegäran mail.docx", "A 20078-2025")</f>
        <v/>
      </c>
    </row>
    <row r="313" ht="15" customHeight="1">
      <c r="A313" t="inlineStr">
        <is>
          <t>A 20075-2025</t>
        </is>
      </c>
      <c r="B313" s="1" t="n">
        <v>45772</v>
      </c>
      <c r="C313" s="1" t="n">
        <v>45841</v>
      </c>
      <c r="D313" t="inlineStr">
        <is>
          <t>VÄSTERNORRLANDS LÄN</t>
        </is>
      </c>
      <c r="E313" t="inlineStr">
        <is>
          <t>SUNDSVALL</t>
        </is>
      </c>
      <c r="F313" t="inlineStr">
        <is>
          <t>Naturvårdsverket</t>
        </is>
      </c>
      <c r="G313" t="n">
        <v>8.9</v>
      </c>
      <c r="H313" t="n">
        <v>0</v>
      </c>
      <c r="I313" t="n">
        <v>0</v>
      </c>
      <c r="J313" t="n">
        <v>1</v>
      </c>
      <c r="K313" t="n">
        <v>0</v>
      </c>
      <c r="L313" t="n">
        <v>0</v>
      </c>
      <c r="M313" t="n">
        <v>0</v>
      </c>
      <c r="N313" t="n">
        <v>0</v>
      </c>
      <c r="O313" t="n">
        <v>1</v>
      </c>
      <c r="P313" t="n">
        <v>0</v>
      </c>
      <c r="Q313" t="n">
        <v>1</v>
      </c>
      <c r="R313" s="2" t="inlineStr">
        <is>
          <t>Lunglav</t>
        </is>
      </c>
      <c r="S313">
        <f>HYPERLINK("https://klasma.github.io/Logging_222281/artfynd/A 20075-2025 artfynd.xlsx", "A 20075-2025")</f>
        <v/>
      </c>
      <c r="T313">
        <f>HYPERLINK("https://klasma.github.io/Logging_222281/kartor/A 20075-2025 karta.png", "A 20075-2025")</f>
        <v/>
      </c>
      <c r="V313">
        <f>HYPERLINK("https://klasma.github.io/Logging_222281/klagomål/A 20075-2025 FSC-klagomål.docx", "A 20075-2025")</f>
        <v/>
      </c>
      <c r="W313">
        <f>HYPERLINK("https://klasma.github.io/Logging_222281/klagomålsmail/A 20075-2025 FSC-klagomål mail.docx", "A 20075-2025")</f>
        <v/>
      </c>
      <c r="X313">
        <f>HYPERLINK("https://klasma.github.io/Logging_222281/tillsyn/A 20075-2025 tillsynsbegäran.docx", "A 20075-2025")</f>
        <v/>
      </c>
      <c r="Y313">
        <f>HYPERLINK("https://klasma.github.io/Logging_222281/tillsynsmail/A 20075-2025 tillsynsbegäran mail.docx", "A 20075-2025")</f>
        <v/>
      </c>
    </row>
    <row r="314" ht="15" customHeight="1">
      <c r="A314" t="inlineStr">
        <is>
          <t>A 20631-2025</t>
        </is>
      </c>
      <c r="B314" s="1" t="n">
        <v>45776</v>
      </c>
      <c r="C314" s="1" t="n">
        <v>45841</v>
      </c>
      <c r="D314" t="inlineStr">
        <is>
          <t>VÄSTERNORRLANDS LÄN</t>
        </is>
      </c>
      <c r="E314" t="inlineStr">
        <is>
          <t>SUNDSVALL</t>
        </is>
      </c>
      <c r="F314" t="inlineStr">
        <is>
          <t>Naturvårdsverket</t>
        </is>
      </c>
      <c r="G314" t="n">
        <v>9.6</v>
      </c>
      <c r="H314" t="n">
        <v>0</v>
      </c>
      <c r="I314" t="n">
        <v>0</v>
      </c>
      <c r="J314" t="n">
        <v>1</v>
      </c>
      <c r="K314" t="n">
        <v>0</v>
      </c>
      <c r="L314" t="n">
        <v>0</v>
      </c>
      <c r="M314" t="n">
        <v>0</v>
      </c>
      <c r="N314" t="n">
        <v>0</v>
      </c>
      <c r="O314" t="n">
        <v>1</v>
      </c>
      <c r="P314" t="n">
        <v>0</v>
      </c>
      <c r="Q314" t="n">
        <v>1</v>
      </c>
      <c r="R314" s="2" t="inlineStr">
        <is>
          <t>Nordtagging</t>
        </is>
      </c>
      <c r="S314">
        <f>HYPERLINK("https://klasma.github.io/Logging_222281/artfynd/A 20631-2025 artfynd.xlsx", "A 20631-2025")</f>
        <v/>
      </c>
      <c r="T314">
        <f>HYPERLINK("https://klasma.github.io/Logging_222281/kartor/A 20631-2025 karta.png", "A 20631-2025")</f>
        <v/>
      </c>
      <c r="V314">
        <f>HYPERLINK("https://klasma.github.io/Logging_222281/klagomål/A 20631-2025 FSC-klagomål.docx", "A 20631-2025")</f>
        <v/>
      </c>
      <c r="W314">
        <f>HYPERLINK("https://klasma.github.io/Logging_222281/klagomålsmail/A 20631-2025 FSC-klagomål mail.docx", "A 20631-2025")</f>
        <v/>
      </c>
      <c r="X314">
        <f>HYPERLINK("https://klasma.github.io/Logging_222281/tillsyn/A 20631-2025 tillsynsbegäran.docx", "A 20631-2025")</f>
        <v/>
      </c>
      <c r="Y314">
        <f>HYPERLINK("https://klasma.github.io/Logging_222281/tillsynsmail/A 20631-2025 tillsynsbegäran mail.docx", "A 20631-2025")</f>
        <v/>
      </c>
    </row>
    <row r="315" ht="15" customHeight="1">
      <c r="A315" t="inlineStr">
        <is>
          <t>A 21318-2025</t>
        </is>
      </c>
      <c r="B315" s="1" t="n">
        <v>45782</v>
      </c>
      <c r="C315" s="1" t="n">
        <v>45841</v>
      </c>
      <c r="D315" t="inlineStr">
        <is>
          <t>VÄSTERNORRLANDS LÄN</t>
        </is>
      </c>
      <c r="E315" t="inlineStr">
        <is>
          <t>SUNDSVALL</t>
        </is>
      </c>
      <c r="F315" t="inlineStr">
        <is>
          <t>Naturvårdsverket</t>
        </is>
      </c>
      <c r="G315" t="n">
        <v>3.7</v>
      </c>
      <c r="H315" t="n">
        <v>0</v>
      </c>
      <c r="I315" t="n">
        <v>0</v>
      </c>
      <c r="J315" t="n">
        <v>1</v>
      </c>
      <c r="K315" t="n">
        <v>0</v>
      </c>
      <c r="L315" t="n">
        <v>0</v>
      </c>
      <c r="M315" t="n">
        <v>0</v>
      </c>
      <c r="N315" t="n">
        <v>0</v>
      </c>
      <c r="O315" t="n">
        <v>1</v>
      </c>
      <c r="P315" t="n">
        <v>0</v>
      </c>
      <c r="Q315" t="n">
        <v>1</v>
      </c>
      <c r="R315" s="2" t="inlineStr">
        <is>
          <t>Reliktbock</t>
        </is>
      </c>
      <c r="S315">
        <f>HYPERLINK("https://klasma.github.io/Logging_222281/artfynd/A 21318-2025 artfynd.xlsx", "A 21318-2025")</f>
        <v/>
      </c>
      <c r="T315">
        <f>HYPERLINK("https://klasma.github.io/Logging_222281/kartor/A 21318-2025 karta.png", "A 21318-2025")</f>
        <v/>
      </c>
      <c r="V315">
        <f>HYPERLINK("https://klasma.github.io/Logging_222281/klagomål/A 21318-2025 FSC-klagomål.docx", "A 21318-2025")</f>
        <v/>
      </c>
      <c r="W315">
        <f>HYPERLINK("https://klasma.github.io/Logging_222281/klagomålsmail/A 21318-2025 FSC-klagomål mail.docx", "A 21318-2025")</f>
        <v/>
      </c>
      <c r="X315">
        <f>HYPERLINK("https://klasma.github.io/Logging_222281/tillsyn/A 21318-2025 tillsynsbegäran.docx", "A 21318-2025")</f>
        <v/>
      </c>
      <c r="Y315">
        <f>HYPERLINK("https://klasma.github.io/Logging_222281/tillsynsmail/A 21318-2025 tillsynsbegäran mail.docx", "A 21318-2025")</f>
        <v/>
      </c>
    </row>
    <row r="316" ht="15" customHeight="1">
      <c r="A316" t="inlineStr">
        <is>
          <t>A 21765-2025</t>
        </is>
      </c>
      <c r="B316" s="1" t="n">
        <v>45783</v>
      </c>
      <c r="C316" s="1" t="n">
        <v>45841</v>
      </c>
      <c r="D316" t="inlineStr">
        <is>
          <t>VÄSTERNORRLANDS LÄN</t>
        </is>
      </c>
      <c r="E316" t="inlineStr">
        <is>
          <t>SUNDSVALL</t>
        </is>
      </c>
      <c r="G316" t="n">
        <v>8</v>
      </c>
      <c r="H316" t="n">
        <v>1</v>
      </c>
      <c r="I316" t="n">
        <v>0</v>
      </c>
      <c r="J316" t="n">
        <v>0</v>
      </c>
      <c r="K316" t="n">
        <v>0</v>
      </c>
      <c r="L316" t="n">
        <v>0</v>
      </c>
      <c r="M316" t="n">
        <v>0</v>
      </c>
      <c r="N316" t="n">
        <v>0</v>
      </c>
      <c r="O316" t="n">
        <v>0</v>
      </c>
      <c r="P316" t="n">
        <v>0</v>
      </c>
      <c r="Q316" t="n">
        <v>1</v>
      </c>
      <c r="R316" s="2" t="inlineStr">
        <is>
          <t>Orre</t>
        </is>
      </c>
      <c r="S316">
        <f>HYPERLINK("https://klasma.github.io/Logging_222281/artfynd/A 21765-2025 artfynd.xlsx", "A 21765-2025")</f>
        <v/>
      </c>
      <c r="T316">
        <f>HYPERLINK("https://klasma.github.io/Logging_222281/kartor/A 21765-2025 karta.png", "A 21765-2025")</f>
        <v/>
      </c>
      <c r="V316">
        <f>HYPERLINK("https://klasma.github.io/Logging_222281/klagomål/A 21765-2025 FSC-klagomål.docx", "A 21765-2025")</f>
        <v/>
      </c>
      <c r="W316">
        <f>HYPERLINK("https://klasma.github.io/Logging_222281/klagomålsmail/A 21765-2025 FSC-klagomål mail.docx", "A 21765-2025")</f>
        <v/>
      </c>
      <c r="X316">
        <f>HYPERLINK("https://klasma.github.io/Logging_222281/tillsyn/A 21765-2025 tillsynsbegäran.docx", "A 21765-2025")</f>
        <v/>
      </c>
      <c r="Y316">
        <f>HYPERLINK("https://klasma.github.io/Logging_222281/tillsynsmail/A 21765-2025 tillsynsbegäran mail.docx", "A 21765-2025")</f>
        <v/>
      </c>
      <c r="Z316">
        <f>HYPERLINK("https://klasma.github.io/Logging_222281/fåglar/A 21765-2025 prioriterade fågelarter.docx", "A 21765-2025")</f>
        <v/>
      </c>
    </row>
    <row r="317" ht="15" customHeight="1">
      <c r="A317" t="inlineStr">
        <is>
          <t>A 24016-2025</t>
        </is>
      </c>
      <c r="B317" s="1" t="n">
        <v>45796</v>
      </c>
      <c r="C317" s="1" t="n">
        <v>45841</v>
      </c>
      <c r="D317" t="inlineStr">
        <is>
          <t>VÄSTERNORRLANDS LÄN</t>
        </is>
      </c>
      <c r="E317" t="inlineStr">
        <is>
          <t>SUNDSVALL</t>
        </is>
      </c>
      <c r="F317" t="inlineStr">
        <is>
          <t>Naturvårdsverket</t>
        </is>
      </c>
      <c r="G317" t="n">
        <v>4.1</v>
      </c>
      <c r="H317" t="n">
        <v>0</v>
      </c>
      <c r="I317" t="n">
        <v>0</v>
      </c>
      <c r="J317" t="n">
        <v>1</v>
      </c>
      <c r="K317" t="n">
        <v>0</v>
      </c>
      <c r="L317" t="n">
        <v>0</v>
      </c>
      <c r="M317" t="n">
        <v>0</v>
      </c>
      <c r="N317" t="n">
        <v>0</v>
      </c>
      <c r="O317" t="n">
        <v>1</v>
      </c>
      <c r="P317" t="n">
        <v>0</v>
      </c>
      <c r="Q317" t="n">
        <v>1</v>
      </c>
      <c r="R317" s="2" t="inlineStr">
        <is>
          <t>Kolflarnlav</t>
        </is>
      </c>
      <c r="S317">
        <f>HYPERLINK("https://klasma.github.io/Logging_222281/artfynd/A 24016-2025 artfynd.xlsx", "A 24016-2025")</f>
        <v/>
      </c>
      <c r="T317">
        <f>HYPERLINK("https://klasma.github.io/Logging_222281/kartor/A 24016-2025 karta.png", "A 24016-2025")</f>
        <v/>
      </c>
      <c r="V317">
        <f>HYPERLINK("https://klasma.github.io/Logging_222281/klagomål/A 24016-2025 FSC-klagomål.docx", "A 24016-2025")</f>
        <v/>
      </c>
      <c r="W317">
        <f>HYPERLINK("https://klasma.github.io/Logging_222281/klagomålsmail/A 24016-2025 FSC-klagomål mail.docx", "A 24016-2025")</f>
        <v/>
      </c>
      <c r="X317">
        <f>HYPERLINK("https://klasma.github.io/Logging_222281/tillsyn/A 24016-2025 tillsynsbegäran.docx", "A 24016-2025")</f>
        <v/>
      </c>
      <c r="Y317">
        <f>HYPERLINK("https://klasma.github.io/Logging_222281/tillsynsmail/A 24016-2025 tillsynsbegäran mail.docx", "A 24016-2025")</f>
        <v/>
      </c>
    </row>
    <row r="318" ht="15" customHeight="1">
      <c r="A318" t="inlineStr">
        <is>
          <t>A 24431-2025</t>
        </is>
      </c>
      <c r="B318" s="1" t="n">
        <v>45797</v>
      </c>
      <c r="C318" s="1" t="n">
        <v>45841</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HYPERLINK("https://klasma.github.io/Logging_222281/artfynd/A 24431-2025 artfynd.xlsx", "A 24431-2025")</f>
        <v/>
      </c>
      <c r="T318">
        <f>HYPERLINK("https://klasma.github.io/Logging_222281/kartor/A 24431-2025 karta.png", "A 24431-2025")</f>
        <v/>
      </c>
      <c r="V318">
        <f>HYPERLINK("https://klasma.github.io/Logging_222281/klagomål/A 24431-2025 FSC-klagomål.docx", "A 24431-2025")</f>
        <v/>
      </c>
      <c r="W318">
        <f>HYPERLINK("https://klasma.github.io/Logging_222281/klagomålsmail/A 24431-2025 FSC-klagomål mail.docx", "A 24431-2025")</f>
        <v/>
      </c>
      <c r="X318">
        <f>HYPERLINK("https://klasma.github.io/Logging_222281/tillsyn/A 24431-2025 tillsynsbegäran.docx", "A 24431-2025")</f>
        <v/>
      </c>
      <c r="Y318">
        <f>HYPERLINK("https://klasma.github.io/Logging_222281/tillsynsmail/A 24431-2025 tillsynsbegäran mail.docx", "A 24431-2025")</f>
        <v/>
      </c>
      <c r="Z318">
        <f>HYPERLINK("https://klasma.github.io/Logging_222281/fåglar/A 24431-2025 prioriterade fågelarter.docx", "A 24431-2025")</f>
        <v/>
      </c>
    </row>
    <row r="319" ht="15" customHeight="1">
      <c r="A319" t="inlineStr">
        <is>
          <t>A 25117-2025</t>
        </is>
      </c>
      <c r="B319" s="1" t="n">
        <v>45800</v>
      </c>
      <c r="C319" s="1" t="n">
        <v>45841</v>
      </c>
      <c r="D319" t="inlineStr">
        <is>
          <t>VÄSTERNORRLANDS LÄN</t>
        </is>
      </c>
      <c r="E319" t="inlineStr">
        <is>
          <t>SUNDSVALL</t>
        </is>
      </c>
      <c r="F319" t="inlineStr">
        <is>
          <t>SCA</t>
        </is>
      </c>
      <c r="G319" t="n">
        <v>2</v>
      </c>
      <c r="H319" t="n">
        <v>0</v>
      </c>
      <c r="I319" t="n">
        <v>0</v>
      </c>
      <c r="J319" t="n">
        <v>1</v>
      </c>
      <c r="K319" t="n">
        <v>0</v>
      </c>
      <c r="L319" t="n">
        <v>0</v>
      </c>
      <c r="M319" t="n">
        <v>0</v>
      </c>
      <c r="N319" t="n">
        <v>0</v>
      </c>
      <c r="O319" t="n">
        <v>1</v>
      </c>
      <c r="P319" t="n">
        <v>0</v>
      </c>
      <c r="Q319" t="n">
        <v>1</v>
      </c>
      <c r="R319" s="2" t="inlineStr">
        <is>
          <t>Garnlav</t>
        </is>
      </c>
      <c r="S319">
        <f>HYPERLINK("https://klasma.github.io/Logging_222281/artfynd/A 25117-2025 artfynd.xlsx", "A 25117-2025")</f>
        <v/>
      </c>
      <c r="T319">
        <f>HYPERLINK("https://klasma.github.io/Logging_222281/kartor/A 25117-2025 karta.png", "A 25117-2025")</f>
        <v/>
      </c>
      <c r="V319">
        <f>HYPERLINK("https://klasma.github.io/Logging_222281/klagomål/A 25117-2025 FSC-klagomål.docx", "A 25117-2025")</f>
        <v/>
      </c>
      <c r="W319">
        <f>HYPERLINK("https://klasma.github.io/Logging_222281/klagomålsmail/A 25117-2025 FSC-klagomål mail.docx", "A 25117-2025")</f>
        <v/>
      </c>
      <c r="X319">
        <f>HYPERLINK("https://klasma.github.io/Logging_222281/tillsyn/A 25117-2025 tillsynsbegäran.docx", "A 25117-2025")</f>
        <v/>
      </c>
      <c r="Y319">
        <f>HYPERLINK("https://klasma.github.io/Logging_222281/tillsynsmail/A 25117-2025 tillsynsbegäran mail.docx", "A 25117-2025")</f>
        <v/>
      </c>
    </row>
    <row r="320" ht="15" customHeight="1">
      <c r="A320" t="inlineStr">
        <is>
          <t>A 25791-2025</t>
        </is>
      </c>
      <c r="B320" s="1" t="n">
        <v>45804</v>
      </c>
      <c r="C320" s="1" t="n">
        <v>45841</v>
      </c>
      <c r="D320" t="inlineStr">
        <is>
          <t>VÄSTERNORRLANDS LÄN</t>
        </is>
      </c>
      <c r="E320" t="inlineStr">
        <is>
          <t>SUNDSVALL</t>
        </is>
      </c>
      <c r="G320" t="n">
        <v>2.8</v>
      </c>
      <c r="H320" t="n">
        <v>1</v>
      </c>
      <c r="I320" t="n">
        <v>0</v>
      </c>
      <c r="J320" t="n">
        <v>1</v>
      </c>
      <c r="K320" t="n">
        <v>0</v>
      </c>
      <c r="L320" t="n">
        <v>0</v>
      </c>
      <c r="M320" t="n">
        <v>0</v>
      </c>
      <c r="N320" t="n">
        <v>0</v>
      </c>
      <c r="O320" t="n">
        <v>1</v>
      </c>
      <c r="P320" t="n">
        <v>0</v>
      </c>
      <c r="Q320" t="n">
        <v>1</v>
      </c>
      <c r="R320" s="2" t="inlineStr">
        <is>
          <t>Hornuggla</t>
        </is>
      </c>
      <c r="S320">
        <f>HYPERLINK("https://klasma.github.io/Logging_222281/artfynd/A 25791-2025 artfynd.xlsx", "A 25791-2025")</f>
        <v/>
      </c>
      <c r="T320">
        <f>HYPERLINK("https://klasma.github.io/Logging_222281/kartor/A 25791-2025 karta.png", "A 25791-2025")</f>
        <v/>
      </c>
      <c r="V320">
        <f>HYPERLINK("https://klasma.github.io/Logging_222281/klagomål/A 25791-2025 FSC-klagomål.docx", "A 25791-2025")</f>
        <v/>
      </c>
      <c r="W320">
        <f>HYPERLINK("https://klasma.github.io/Logging_222281/klagomålsmail/A 25791-2025 FSC-klagomål mail.docx", "A 25791-2025")</f>
        <v/>
      </c>
      <c r="X320">
        <f>HYPERLINK("https://klasma.github.io/Logging_222281/tillsyn/A 25791-2025 tillsynsbegäran.docx", "A 25791-2025")</f>
        <v/>
      </c>
      <c r="Y320">
        <f>HYPERLINK("https://klasma.github.io/Logging_222281/tillsynsmail/A 25791-2025 tillsynsbegäran mail.docx", "A 25791-2025")</f>
        <v/>
      </c>
      <c r="Z320">
        <f>HYPERLINK("https://klasma.github.io/Logging_222281/fåglar/A 25791-2025 prioriterade fågelarter.docx", "A 25791-2025")</f>
        <v/>
      </c>
    </row>
    <row r="321" ht="15" customHeight="1">
      <c r="A321" t="inlineStr">
        <is>
          <t>A 27211-2025</t>
        </is>
      </c>
      <c r="B321" s="1" t="n">
        <v>45812</v>
      </c>
      <c r="C321" s="1" t="n">
        <v>45841</v>
      </c>
      <c r="D321" t="inlineStr">
        <is>
          <t>VÄSTERNORRLANDS LÄN</t>
        </is>
      </c>
      <c r="E321" t="inlineStr">
        <is>
          <t>SUNDSVALL</t>
        </is>
      </c>
      <c r="F321" t="inlineStr">
        <is>
          <t>SCA</t>
        </is>
      </c>
      <c r="G321" t="n">
        <v>0.6</v>
      </c>
      <c r="H321" t="n">
        <v>0</v>
      </c>
      <c r="I321" t="n">
        <v>0</v>
      </c>
      <c r="J321" t="n">
        <v>1</v>
      </c>
      <c r="K321" t="n">
        <v>0</v>
      </c>
      <c r="L321" t="n">
        <v>0</v>
      </c>
      <c r="M321" t="n">
        <v>0</v>
      </c>
      <c r="N321" t="n">
        <v>0</v>
      </c>
      <c r="O321" t="n">
        <v>1</v>
      </c>
      <c r="P321" t="n">
        <v>0</v>
      </c>
      <c r="Q321" t="n">
        <v>1</v>
      </c>
      <c r="R321" s="2" t="inlineStr">
        <is>
          <t>Garnlav</t>
        </is>
      </c>
      <c r="S321">
        <f>HYPERLINK("https://klasma.github.io/Logging_222281/artfynd/A 27211-2025 artfynd.xlsx", "A 27211-2025")</f>
        <v/>
      </c>
      <c r="T321">
        <f>HYPERLINK("https://klasma.github.io/Logging_222281/kartor/A 27211-2025 karta.png", "A 27211-2025")</f>
        <v/>
      </c>
      <c r="V321">
        <f>HYPERLINK("https://klasma.github.io/Logging_222281/klagomål/A 27211-2025 FSC-klagomål.docx", "A 27211-2025")</f>
        <v/>
      </c>
      <c r="W321">
        <f>HYPERLINK("https://klasma.github.io/Logging_222281/klagomålsmail/A 27211-2025 FSC-klagomål mail.docx", "A 27211-2025")</f>
        <v/>
      </c>
      <c r="X321">
        <f>HYPERLINK("https://klasma.github.io/Logging_222281/tillsyn/A 27211-2025 tillsynsbegäran.docx", "A 27211-2025")</f>
        <v/>
      </c>
      <c r="Y321">
        <f>HYPERLINK("https://klasma.github.io/Logging_222281/tillsynsmail/A 27211-2025 tillsynsbegäran mail.docx", "A 27211-2025")</f>
        <v/>
      </c>
    </row>
    <row r="322" ht="15" customHeight="1">
      <c r="A322" t="inlineStr">
        <is>
          <t>A 28145-2025</t>
        </is>
      </c>
      <c r="B322" s="1" t="n">
        <v>45818</v>
      </c>
      <c r="C322" s="1" t="n">
        <v>45841</v>
      </c>
      <c r="D322" t="inlineStr">
        <is>
          <t>VÄSTERNORRLANDS LÄN</t>
        </is>
      </c>
      <c r="E322" t="inlineStr">
        <is>
          <t>SUNDSVALL</t>
        </is>
      </c>
      <c r="F322" t="inlineStr">
        <is>
          <t>Naturvårdsverket</t>
        </is>
      </c>
      <c r="G322" t="n">
        <v>3.2</v>
      </c>
      <c r="H322" t="n">
        <v>0</v>
      </c>
      <c r="I322" t="n">
        <v>0</v>
      </c>
      <c r="J322" t="n">
        <v>1</v>
      </c>
      <c r="K322" t="n">
        <v>0</v>
      </c>
      <c r="L322" t="n">
        <v>0</v>
      </c>
      <c r="M322" t="n">
        <v>0</v>
      </c>
      <c r="N322" t="n">
        <v>0</v>
      </c>
      <c r="O322" t="n">
        <v>1</v>
      </c>
      <c r="P322" t="n">
        <v>0</v>
      </c>
      <c r="Q322" t="n">
        <v>1</v>
      </c>
      <c r="R322" s="2" t="inlineStr">
        <is>
          <t>Ullticka</t>
        </is>
      </c>
      <c r="S322">
        <f>HYPERLINK("https://klasma.github.io/Logging_222281/artfynd/A 28145-2025 artfynd.xlsx", "A 28145-2025")</f>
        <v/>
      </c>
      <c r="T322">
        <f>HYPERLINK("https://klasma.github.io/Logging_222281/kartor/A 28145-2025 karta.png", "A 28145-2025")</f>
        <v/>
      </c>
      <c r="V322">
        <f>HYPERLINK("https://klasma.github.io/Logging_222281/klagomål/A 28145-2025 FSC-klagomål.docx", "A 28145-2025")</f>
        <v/>
      </c>
      <c r="W322">
        <f>HYPERLINK("https://klasma.github.io/Logging_222281/klagomålsmail/A 28145-2025 FSC-klagomål mail.docx", "A 28145-2025")</f>
        <v/>
      </c>
      <c r="X322">
        <f>HYPERLINK("https://klasma.github.io/Logging_222281/tillsyn/A 28145-2025 tillsynsbegäran.docx", "A 28145-2025")</f>
        <v/>
      </c>
      <c r="Y322">
        <f>HYPERLINK("https://klasma.github.io/Logging_222281/tillsynsmail/A 28145-2025 tillsynsbegäran mail.docx", "A 28145-2025")</f>
        <v/>
      </c>
    </row>
    <row r="323" ht="15" customHeight="1">
      <c r="A323" t="inlineStr">
        <is>
          <t>A 28452-2025</t>
        </is>
      </c>
      <c r="B323" s="1" t="n">
        <v>45819</v>
      </c>
      <c r="C323" s="1" t="n">
        <v>45841</v>
      </c>
      <c r="D323" t="inlineStr">
        <is>
          <t>VÄSTERNORRLANDS LÄN</t>
        </is>
      </c>
      <c r="E323" t="inlineStr">
        <is>
          <t>SUNDSVALL</t>
        </is>
      </c>
      <c r="F323" t="inlineStr">
        <is>
          <t>Naturvårdsverket</t>
        </is>
      </c>
      <c r="G323" t="n">
        <v>11</v>
      </c>
      <c r="H323" t="n">
        <v>0</v>
      </c>
      <c r="I323" t="n">
        <v>0</v>
      </c>
      <c r="J323" t="n">
        <v>1</v>
      </c>
      <c r="K323" t="n">
        <v>0</v>
      </c>
      <c r="L323" t="n">
        <v>0</v>
      </c>
      <c r="M323" t="n">
        <v>0</v>
      </c>
      <c r="N323" t="n">
        <v>0</v>
      </c>
      <c r="O323" t="n">
        <v>1</v>
      </c>
      <c r="P323" t="n">
        <v>0</v>
      </c>
      <c r="Q323" t="n">
        <v>1</v>
      </c>
      <c r="R323" s="2" t="inlineStr">
        <is>
          <t>Lunglav</t>
        </is>
      </c>
      <c r="S323">
        <f>HYPERLINK("https://klasma.github.io/Logging_222281/artfynd/A 28452-2025 artfynd.xlsx", "A 28452-2025")</f>
        <v/>
      </c>
      <c r="T323">
        <f>HYPERLINK("https://klasma.github.io/Logging_222281/kartor/A 28452-2025 karta.png", "A 28452-2025")</f>
        <v/>
      </c>
      <c r="V323">
        <f>HYPERLINK("https://klasma.github.io/Logging_222281/klagomål/A 28452-2025 FSC-klagomål.docx", "A 28452-2025")</f>
        <v/>
      </c>
      <c r="W323">
        <f>HYPERLINK("https://klasma.github.io/Logging_222281/klagomålsmail/A 28452-2025 FSC-klagomål mail.docx", "A 28452-2025")</f>
        <v/>
      </c>
      <c r="X323">
        <f>HYPERLINK("https://klasma.github.io/Logging_222281/tillsyn/A 28452-2025 tillsynsbegäran.docx", "A 28452-2025")</f>
        <v/>
      </c>
      <c r="Y323">
        <f>HYPERLINK("https://klasma.github.io/Logging_222281/tillsynsmail/A 28452-2025 tillsynsbegäran mail.docx", "A 28452-2025")</f>
        <v/>
      </c>
    </row>
    <row r="324" ht="15" customHeight="1">
      <c r="A324" t="inlineStr">
        <is>
          <t>A 18070-2019</t>
        </is>
      </c>
      <c r="B324" s="1" t="n">
        <v>43557</v>
      </c>
      <c r="C324" s="1" t="n">
        <v>45841</v>
      </c>
      <c r="D324" t="inlineStr">
        <is>
          <t>VÄSTERNORRLANDS LÄN</t>
        </is>
      </c>
      <c r="E324" t="inlineStr">
        <is>
          <t>SUNDSVALL</t>
        </is>
      </c>
      <c r="G324" t="n">
        <v>7.5</v>
      </c>
      <c r="H324" t="n">
        <v>0</v>
      </c>
      <c r="I324" t="n">
        <v>0</v>
      </c>
      <c r="J324" t="n">
        <v>0</v>
      </c>
      <c r="K324" t="n">
        <v>0</v>
      </c>
      <c r="L324" t="n">
        <v>0</v>
      </c>
      <c r="M324" t="n">
        <v>0</v>
      </c>
      <c r="N324" t="n">
        <v>0</v>
      </c>
      <c r="O324" t="n">
        <v>0</v>
      </c>
      <c r="P324" t="n">
        <v>0</v>
      </c>
      <c r="Q324" t="n">
        <v>0</v>
      </c>
      <c r="R324" s="2" t="inlineStr"/>
    </row>
    <row r="325" ht="15" customHeight="1">
      <c r="A325" t="inlineStr">
        <is>
          <t>A 18198-2019</t>
        </is>
      </c>
      <c r="B325" s="1" t="n">
        <v>43558</v>
      </c>
      <c r="C325" s="1" t="n">
        <v>45841</v>
      </c>
      <c r="D325" t="inlineStr">
        <is>
          <t>VÄSTERNORRLANDS LÄN</t>
        </is>
      </c>
      <c r="E325" t="inlineStr">
        <is>
          <t>SUNDSVALL</t>
        </is>
      </c>
      <c r="F325" t="inlineStr">
        <is>
          <t>Holmen skog AB</t>
        </is>
      </c>
      <c r="G325" t="n">
        <v>5.4</v>
      </c>
      <c r="H325" t="n">
        <v>0</v>
      </c>
      <c r="I325" t="n">
        <v>0</v>
      </c>
      <c r="J325" t="n">
        <v>0</v>
      </c>
      <c r="K325" t="n">
        <v>0</v>
      </c>
      <c r="L325" t="n">
        <v>0</v>
      </c>
      <c r="M325" t="n">
        <v>0</v>
      </c>
      <c r="N325" t="n">
        <v>0</v>
      </c>
      <c r="O325" t="n">
        <v>0</v>
      </c>
      <c r="P325" t="n">
        <v>0</v>
      </c>
      <c r="Q325" t="n">
        <v>0</v>
      </c>
      <c r="R325" s="2" t="inlineStr"/>
    </row>
    <row r="326" ht="15" customHeight="1">
      <c r="A326" t="inlineStr">
        <is>
          <t>A 18745-2019</t>
        </is>
      </c>
      <c r="B326" s="1" t="n">
        <v>43560</v>
      </c>
      <c r="C326" s="1" t="n">
        <v>45841</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19544-2019</t>
        </is>
      </c>
      <c r="B327" s="1" t="n">
        <v>43565</v>
      </c>
      <c r="C327" s="1" t="n">
        <v>45841</v>
      </c>
      <c r="D327" t="inlineStr">
        <is>
          <t>VÄSTERNORRLANDS LÄN</t>
        </is>
      </c>
      <c r="E327" t="inlineStr">
        <is>
          <t>SUNDSVALL</t>
        </is>
      </c>
      <c r="F327" t="inlineStr">
        <is>
          <t>SCA</t>
        </is>
      </c>
      <c r="G327" t="n">
        <v>21.4</v>
      </c>
      <c r="H327" t="n">
        <v>0</v>
      </c>
      <c r="I327" t="n">
        <v>0</v>
      </c>
      <c r="J327" t="n">
        <v>0</v>
      </c>
      <c r="K327" t="n">
        <v>0</v>
      </c>
      <c r="L327" t="n">
        <v>0</v>
      </c>
      <c r="M327" t="n">
        <v>0</v>
      </c>
      <c r="N327" t="n">
        <v>0</v>
      </c>
      <c r="O327" t="n">
        <v>0</v>
      </c>
      <c r="P327" t="n">
        <v>0</v>
      </c>
      <c r="Q327" t="n">
        <v>0</v>
      </c>
      <c r="R327" s="2" t="inlineStr"/>
    </row>
    <row r="328" ht="15" customHeight="1">
      <c r="A328" t="inlineStr">
        <is>
          <t>A 19551-2019</t>
        </is>
      </c>
      <c r="B328" s="1" t="n">
        <v>43565</v>
      </c>
      <c r="C328" s="1" t="n">
        <v>45841</v>
      </c>
      <c r="D328" t="inlineStr">
        <is>
          <t>VÄSTERNORRLANDS LÄN</t>
        </is>
      </c>
      <c r="E328" t="inlineStr">
        <is>
          <t>SUNDSVALL</t>
        </is>
      </c>
      <c r="G328" t="n">
        <v>4.4</v>
      </c>
      <c r="H328" t="n">
        <v>0</v>
      </c>
      <c r="I328" t="n">
        <v>0</v>
      </c>
      <c r="J328" t="n">
        <v>0</v>
      </c>
      <c r="K328" t="n">
        <v>0</v>
      </c>
      <c r="L328" t="n">
        <v>0</v>
      </c>
      <c r="M328" t="n">
        <v>0</v>
      </c>
      <c r="N328" t="n">
        <v>0</v>
      </c>
      <c r="O328" t="n">
        <v>0</v>
      </c>
      <c r="P328" t="n">
        <v>0</v>
      </c>
      <c r="Q328" t="n">
        <v>0</v>
      </c>
      <c r="R328" s="2" t="inlineStr"/>
    </row>
    <row r="329" ht="15" customHeight="1">
      <c r="A329" t="inlineStr">
        <is>
          <t>A 19547-2019</t>
        </is>
      </c>
      <c r="B329" s="1" t="n">
        <v>43565</v>
      </c>
      <c r="C329" s="1" t="n">
        <v>45841</v>
      </c>
      <c r="D329" t="inlineStr">
        <is>
          <t>VÄSTERNORRLANDS LÄN</t>
        </is>
      </c>
      <c r="E329" t="inlineStr">
        <is>
          <t>SUNDSVALL</t>
        </is>
      </c>
      <c r="G329" t="n">
        <v>2.3</v>
      </c>
      <c r="H329" t="n">
        <v>0</v>
      </c>
      <c r="I329" t="n">
        <v>0</v>
      </c>
      <c r="J329" t="n">
        <v>0</v>
      </c>
      <c r="K329" t="n">
        <v>0</v>
      </c>
      <c r="L329" t="n">
        <v>0</v>
      </c>
      <c r="M329" t="n">
        <v>0</v>
      </c>
      <c r="N329" t="n">
        <v>0</v>
      </c>
      <c r="O329" t="n">
        <v>0</v>
      </c>
      <c r="P329" t="n">
        <v>0</v>
      </c>
      <c r="Q329" t="n">
        <v>0</v>
      </c>
      <c r="R329" s="2" t="inlineStr"/>
    </row>
    <row r="330" ht="15" customHeight="1">
      <c r="A330" t="inlineStr">
        <is>
          <t>A 19545-2019</t>
        </is>
      </c>
      <c r="B330" s="1" t="n">
        <v>43565</v>
      </c>
      <c r="C330" s="1" t="n">
        <v>45841</v>
      </c>
      <c r="D330" t="inlineStr">
        <is>
          <t>VÄSTERNORRLANDS LÄN</t>
        </is>
      </c>
      <c r="E330" t="inlineStr">
        <is>
          <t>SUNDSVALL</t>
        </is>
      </c>
      <c r="F330" t="inlineStr">
        <is>
          <t>SCA</t>
        </is>
      </c>
      <c r="G330" t="n">
        <v>28.6</v>
      </c>
      <c r="H330" t="n">
        <v>0</v>
      </c>
      <c r="I330" t="n">
        <v>0</v>
      </c>
      <c r="J330" t="n">
        <v>0</v>
      </c>
      <c r="K330" t="n">
        <v>0</v>
      </c>
      <c r="L330" t="n">
        <v>0</v>
      </c>
      <c r="M330" t="n">
        <v>0</v>
      </c>
      <c r="N330" t="n">
        <v>0</v>
      </c>
      <c r="O330" t="n">
        <v>0</v>
      </c>
      <c r="P330" t="n">
        <v>0</v>
      </c>
      <c r="Q330" t="n">
        <v>0</v>
      </c>
      <c r="R330" s="2" t="inlineStr"/>
    </row>
    <row r="331" ht="15" customHeight="1">
      <c r="A331" t="inlineStr">
        <is>
          <t>A 19548-2019</t>
        </is>
      </c>
      <c r="B331" s="1" t="n">
        <v>43565</v>
      </c>
      <c r="C331" s="1" t="n">
        <v>45841</v>
      </c>
      <c r="D331" t="inlineStr">
        <is>
          <t>VÄSTERNORRLANDS LÄN</t>
        </is>
      </c>
      <c r="E331" t="inlineStr">
        <is>
          <t>SUNDSVALL</t>
        </is>
      </c>
      <c r="G331" t="n">
        <v>4.7</v>
      </c>
      <c r="H331" t="n">
        <v>0</v>
      </c>
      <c r="I331" t="n">
        <v>0</v>
      </c>
      <c r="J331" t="n">
        <v>0</v>
      </c>
      <c r="K331" t="n">
        <v>0</v>
      </c>
      <c r="L331" t="n">
        <v>0</v>
      </c>
      <c r="M331" t="n">
        <v>0</v>
      </c>
      <c r="N331" t="n">
        <v>0</v>
      </c>
      <c r="O331" t="n">
        <v>0</v>
      </c>
      <c r="P331" t="n">
        <v>0</v>
      </c>
      <c r="Q331" t="n">
        <v>0</v>
      </c>
      <c r="R331" s="2" t="inlineStr"/>
    </row>
    <row r="332" ht="15" customHeight="1">
      <c r="A332" t="inlineStr">
        <is>
          <t>A 20563-2019</t>
        </is>
      </c>
      <c r="B332" s="1" t="n">
        <v>43572</v>
      </c>
      <c r="C332" s="1" t="n">
        <v>45841</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20651-2019</t>
        </is>
      </c>
      <c r="B333" s="1" t="n">
        <v>43572</v>
      </c>
      <c r="C333" s="1" t="n">
        <v>45841</v>
      </c>
      <c r="D333" t="inlineStr">
        <is>
          <t>VÄSTERNORRLANDS LÄN</t>
        </is>
      </c>
      <c r="E333" t="inlineStr">
        <is>
          <t>SUNDSVALL</t>
        </is>
      </c>
      <c r="G333" t="n">
        <v>4.5</v>
      </c>
      <c r="H333" t="n">
        <v>0</v>
      </c>
      <c r="I333" t="n">
        <v>0</v>
      </c>
      <c r="J333" t="n">
        <v>0</v>
      </c>
      <c r="K333" t="n">
        <v>0</v>
      </c>
      <c r="L333" t="n">
        <v>0</v>
      </c>
      <c r="M333" t="n">
        <v>0</v>
      </c>
      <c r="N333" t="n">
        <v>0</v>
      </c>
      <c r="O333" t="n">
        <v>0</v>
      </c>
      <c r="P333" t="n">
        <v>0</v>
      </c>
      <c r="Q333" t="n">
        <v>0</v>
      </c>
      <c r="R333" s="2" t="inlineStr"/>
    </row>
    <row r="334" ht="15" customHeight="1">
      <c r="A334" t="inlineStr">
        <is>
          <t>A 21698-2019</t>
        </is>
      </c>
      <c r="B334" s="1" t="n">
        <v>43581</v>
      </c>
      <c r="C334" s="1" t="n">
        <v>45841</v>
      </c>
      <c r="D334" t="inlineStr">
        <is>
          <t>VÄSTERNORRLANDS LÄN</t>
        </is>
      </c>
      <c r="E334" t="inlineStr">
        <is>
          <t>SUNDSVALL</t>
        </is>
      </c>
      <c r="G334" t="n">
        <v>3.1</v>
      </c>
      <c r="H334" t="n">
        <v>0</v>
      </c>
      <c r="I334" t="n">
        <v>0</v>
      </c>
      <c r="J334" t="n">
        <v>0</v>
      </c>
      <c r="K334" t="n">
        <v>0</v>
      </c>
      <c r="L334" t="n">
        <v>0</v>
      </c>
      <c r="M334" t="n">
        <v>0</v>
      </c>
      <c r="N334" t="n">
        <v>0</v>
      </c>
      <c r="O334" t="n">
        <v>0</v>
      </c>
      <c r="P334" t="n">
        <v>0</v>
      </c>
      <c r="Q334" t="n">
        <v>0</v>
      </c>
      <c r="R334" s="2" t="inlineStr"/>
    </row>
    <row r="335" ht="15" customHeight="1">
      <c r="A335" t="inlineStr">
        <is>
          <t>A 22089-2019</t>
        </is>
      </c>
      <c r="B335" s="1" t="n">
        <v>43584</v>
      </c>
      <c r="C335" s="1" t="n">
        <v>45841</v>
      </c>
      <c r="D335" t="inlineStr">
        <is>
          <t>VÄSTERNORRLANDS LÄN</t>
        </is>
      </c>
      <c r="E335" t="inlineStr">
        <is>
          <t>SUNDSVALL</t>
        </is>
      </c>
      <c r="G335" t="n">
        <v>12.9</v>
      </c>
      <c r="H335" t="n">
        <v>0</v>
      </c>
      <c r="I335" t="n">
        <v>0</v>
      </c>
      <c r="J335" t="n">
        <v>0</v>
      </c>
      <c r="K335" t="n">
        <v>0</v>
      </c>
      <c r="L335" t="n">
        <v>0</v>
      </c>
      <c r="M335" t="n">
        <v>0</v>
      </c>
      <c r="N335" t="n">
        <v>0</v>
      </c>
      <c r="O335" t="n">
        <v>0</v>
      </c>
      <c r="P335" t="n">
        <v>0</v>
      </c>
      <c r="Q335" t="n">
        <v>0</v>
      </c>
      <c r="R335" s="2" t="inlineStr"/>
    </row>
    <row r="336" ht="15" customHeight="1">
      <c r="A336" t="inlineStr">
        <is>
          <t>A 22603-2019</t>
        </is>
      </c>
      <c r="B336" s="1" t="n">
        <v>43588</v>
      </c>
      <c r="C336" s="1" t="n">
        <v>45841</v>
      </c>
      <c r="D336" t="inlineStr">
        <is>
          <t>VÄSTERNORRLANDS LÄN</t>
        </is>
      </c>
      <c r="E336" t="inlineStr">
        <is>
          <t>SUNDSVALL</t>
        </is>
      </c>
      <c r="G336" t="n">
        <v>23.7</v>
      </c>
      <c r="H336" t="n">
        <v>0</v>
      </c>
      <c r="I336" t="n">
        <v>0</v>
      </c>
      <c r="J336" t="n">
        <v>0</v>
      </c>
      <c r="K336" t="n">
        <v>0</v>
      </c>
      <c r="L336" t="n">
        <v>0</v>
      </c>
      <c r="M336" t="n">
        <v>0</v>
      </c>
      <c r="N336" t="n">
        <v>0</v>
      </c>
      <c r="O336" t="n">
        <v>0</v>
      </c>
      <c r="P336" t="n">
        <v>0</v>
      </c>
      <c r="Q336" t="n">
        <v>0</v>
      </c>
      <c r="R336" s="2" t="inlineStr"/>
    </row>
    <row r="337" ht="15" customHeight="1">
      <c r="A337" t="inlineStr">
        <is>
          <t>A 22782-2019</t>
        </is>
      </c>
      <c r="B337" s="1" t="n">
        <v>43589</v>
      </c>
      <c r="C337" s="1" t="n">
        <v>45841</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23077-2019</t>
        </is>
      </c>
      <c r="B338" s="1" t="n">
        <v>43591</v>
      </c>
      <c r="C338" s="1" t="n">
        <v>45841</v>
      </c>
      <c r="D338" t="inlineStr">
        <is>
          <t>VÄSTERNORRLANDS LÄN</t>
        </is>
      </c>
      <c r="E338" t="inlineStr">
        <is>
          <t>SUNDSVALL</t>
        </is>
      </c>
      <c r="G338" t="n">
        <v>1.3</v>
      </c>
      <c r="H338" t="n">
        <v>0</v>
      </c>
      <c r="I338" t="n">
        <v>0</v>
      </c>
      <c r="J338" t="n">
        <v>0</v>
      </c>
      <c r="K338" t="n">
        <v>0</v>
      </c>
      <c r="L338" t="n">
        <v>0</v>
      </c>
      <c r="M338" t="n">
        <v>0</v>
      </c>
      <c r="N338" t="n">
        <v>0</v>
      </c>
      <c r="O338" t="n">
        <v>0</v>
      </c>
      <c r="P338" t="n">
        <v>0</v>
      </c>
      <c r="Q338" t="n">
        <v>0</v>
      </c>
      <c r="R338" s="2" t="inlineStr"/>
    </row>
    <row r="339" ht="15" customHeight="1">
      <c r="A339" t="inlineStr">
        <is>
          <t>A 23073-2019</t>
        </is>
      </c>
      <c r="B339" s="1" t="n">
        <v>43591</v>
      </c>
      <c r="C339" s="1" t="n">
        <v>45841</v>
      </c>
      <c r="D339" t="inlineStr">
        <is>
          <t>VÄSTERNORRLANDS LÄN</t>
        </is>
      </c>
      <c r="E339" t="inlineStr">
        <is>
          <t>SUNDSVALL</t>
        </is>
      </c>
      <c r="G339" t="n">
        <v>1</v>
      </c>
      <c r="H339" t="n">
        <v>0</v>
      </c>
      <c r="I339" t="n">
        <v>0</v>
      </c>
      <c r="J339" t="n">
        <v>0</v>
      </c>
      <c r="K339" t="n">
        <v>0</v>
      </c>
      <c r="L339" t="n">
        <v>0</v>
      </c>
      <c r="M339" t="n">
        <v>0</v>
      </c>
      <c r="N339" t="n">
        <v>0</v>
      </c>
      <c r="O339" t="n">
        <v>0</v>
      </c>
      <c r="P339" t="n">
        <v>0</v>
      </c>
      <c r="Q339" t="n">
        <v>0</v>
      </c>
      <c r="R339" s="2" t="inlineStr"/>
    </row>
    <row r="340" ht="15" customHeight="1">
      <c r="A340" t="inlineStr">
        <is>
          <t>A 23078-2019</t>
        </is>
      </c>
      <c r="B340" s="1" t="n">
        <v>43591</v>
      </c>
      <c r="C340" s="1" t="n">
        <v>45841</v>
      </c>
      <c r="D340" t="inlineStr">
        <is>
          <t>VÄSTERNORRLANDS LÄN</t>
        </is>
      </c>
      <c r="E340" t="inlineStr">
        <is>
          <t>SUNDSVALL</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23455-2019</t>
        </is>
      </c>
      <c r="B341" s="1" t="n">
        <v>43593</v>
      </c>
      <c r="C341" s="1" t="n">
        <v>45841</v>
      </c>
      <c r="D341" t="inlineStr">
        <is>
          <t>VÄSTERNORRLANDS LÄN</t>
        </is>
      </c>
      <c r="E341" t="inlineStr">
        <is>
          <t>SUNDSVALL</t>
        </is>
      </c>
      <c r="G341" t="n">
        <v>3.9</v>
      </c>
      <c r="H341" t="n">
        <v>0</v>
      </c>
      <c r="I341" t="n">
        <v>0</v>
      </c>
      <c r="J341" t="n">
        <v>0</v>
      </c>
      <c r="K341" t="n">
        <v>0</v>
      </c>
      <c r="L341" t="n">
        <v>0</v>
      </c>
      <c r="M341" t="n">
        <v>0</v>
      </c>
      <c r="N341" t="n">
        <v>0</v>
      </c>
      <c r="O341" t="n">
        <v>0</v>
      </c>
      <c r="P341" t="n">
        <v>0</v>
      </c>
      <c r="Q341" t="n">
        <v>0</v>
      </c>
      <c r="R341" s="2" t="inlineStr"/>
    </row>
    <row r="342" ht="15" customHeight="1">
      <c r="A342" t="inlineStr">
        <is>
          <t>A 23790-2019</t>
        </is>
      </c>
      <c r="B342" s="1" t="n">
        <v>43595</v>
      </c>
      <c r="C342" s="1" t="n">
        <v>45841</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23929-2019</t>
        </is>
      </c>
      <c r="B343" s="1" t="n">
        <v>43595</v>
      </c>
      <c r="C343" s="1" t="n">
        <v>45841</v>
      </c>
      <c r="D343" t="inlineStr">
        <is>
          <t>VÄSTERNORRLANDS LÄN</t>
        </is>
      </c>
      <c r="E343" t="inlineStr">
        <is>
          <t>SUNDSVALL</t>
        </is>
      </c>
      <c r="G343" t="n">
        <v>1.1</v>
      </c>
      <c r="H343" t="n">
        <v>0</v>
      </c>
      <c r="I343" t="n">
        <v>0</v>
      </c>
      <c r="J343" t="n">
        <v>0</v>
      </c>
      <c r="K343" t="n">
        <v>0</v>
      </c>
      <c r="L343" t="n">
        <v>0</v>
      </c>
      <c r="M343" t="n">
        <v>0</v>
      </c>
      <c r="N343" t="n">
        <v>0</v>
      </c>
      <c r="O343" t="n">
        <v>0</v>
      </c>
      <c r="P343" t="n">
        <v>0</v>
      </c>
      <c r="Q343" t="n">
        <v>0</v>
      </c>
      <c r="R343" s="2" t="inlineStr"/>
    </row>
    <row r="344" ht="15" customHeight="1">
      <c r="A344" t="inlineStr">
        <is>
          <t>A 23931-2019</t>
        </is>
      </c>
      <c r="B344" s="1" t="n">
        <v>43595</v>
      </c>
      <c r="C344" s="1" t="n">
        <v>45841</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24271-2019</t>
        </is>
      </c>
      <c r="B345" s="1" t="n">
        <v>43599</v>
      </c>
      <c r="C345" s="1" t="n">
        <v>45841</v>
      </c>
      <c r="D345" t="inlineStr">
        <is>
          <t>VÄSTERNORRLANDS LÄN</t>
        </is>
      </c>
      <c r="E345" t="inlineStr">
        <is>
          <t>SUNDSVALL</t>
        </is>
      </c>
      <c r="G345" t="n">
        <v>7.8</v>
      </c>
      <c r="H345" t="n">
        <v>0</v>
      </c>
      <c r="I345" t="n">
        <v>0</v>
      </c>
      <c r="J345" t="n">
        <v>0</v>
      </c>
      <c r="K345" t="n">
        <v>0</v>
      </c>
      <c r="L345" t="n">
        <v>0</v>
      </c>
      <c r="M345" t="n">
        <v>0</v>
      </c>
      <c r="N345" t="n">
        <v>0</v>
      </c>
      <c r="O345" t="n">
        <v>0</v>
      </c>
      <c r="P345" t="n">
        <v>0</v>
      </c>
      <c r="Q345" t="n">
        <v>0</v>
      </c>
      <c r="R345" s="2" t="inlineStr"/>
    </row>
    <row r="346" ht="15" customHeight="1">
      <c r="A346" t="inlineStr">
        <is>
          <t>A 24583-2019</t>
        </is>
      </c>
      <c r="B346" s="1" t="n">
        <v>43600</v>
      </c>
      <c r="C346" s="1" t="n">
        <v>45841</v>
      </c>
      <c r="D346" t="inlineStr">
        <is>
          <t>VÄSTERNORRLANDS LÄN</t>
        </is>
      </c>
      <c r="E346" t="inlineStr">
        <is>
          <t>SUNDSVALL</t>
        </is>
      </c>
      <c r="G346" t="n">
        <v>3.1</v>
      </c>
      <c r="H346" t="n">
        <v>0</v>
      </c>
      <c r="I346" t="n">
        <v>0</v>
      </c>
      <c r="J346" t="n">
        <v>0</v>
      </c>
      <c r="K346" t="n">
        <v>0</v>
      </c>
      <c r="L346" t="n">
        <v>0</v>
      </c>
      <c r="M346" t="n">
        <v>0</v>
      </c>
      <c r="N346" t="n">
        <v>0</v>
      </c>
      <c r="O346" t="n">
        <v>0</v>
      </c>
      <c r="P346" t="n">
        <v>0</v>
      </c>
      <c r="Q346" t="n">
        <v>0</v>
      </c>
      <c r="R346" s="2" t="inlineStr"/>
    </row>
    <row r="347" ht="15" customHeight="1">
      <c r="A347" t="inlineStr">
        <is>
          <t>A 24585-2019</t>
        </is>
      </c>
      <c r="B347" s="1" t="n">
        <v>43600</v>
      </c>
      <c r="C347" s="1" t="n">
        <v>45841</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24783-2019</t>
        </is>
      </c>
      <c r="B348" s="1" t="n">
        <v>43601</v>
      </c>
      <c r="C348" s="1" t="n">
        <v>45841</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24771-2019</t>
        </is>
      </c>
      <c r="B349" s="1" t="n">
        <v>43601</v>
      </c>
      <c r="C349" s="1" t="n">
        <v>45841</v>
      </c>
      <c r="D349" t="inlineStr">
        <is>
          <t>VÄSTERNORRLANDS LÄN</t>
        </is>
      </c>
      <c r="E349" t="inlineStr">
        <is>
          <t>SUNDSVALL</t>
        </is>
      </c>
      <c r="F349" t="inlineStr">
        <is>
          <t>SCA</t>
        </is>
      </c>
      <c r="G349" t="n">
        <v>17.9</v>
      </c>
      <c r="H349" t="n">
        <v>0</v>
      </c>
      <c r="I349" t="n">
        <v>0</v>
      </c>
      <c r="J349" t="n">
        <v>0</v>
      </c>
      <c r="K349" t="n">
        <v>0</v>
      </c>
      <c r="L349" t="n">
        <v>0</v>
      </c>
      <c r="M349" t="n">
        <v>0</v>
      </c>
      <c r="N349" t="n">
        <v>0</v>
      </c>
      <c r="O349" t="n">
        <v>0</v>
      </c>
      <c r="P349" t="n">
        <v>0</v>
      </c>
      <c r="Q349" t="n">
        <v>0</v>
      </c>
      <c r="R349" s="2" t="inlineStr"/>
    </row>
    <row r="350" ht="15" customHeight="1">
      <c r="A350" t="inlineStr">
        <is>
          <t>A 24848-2019</t>
        </is>
      </c>
      <c r="B350" s="1" t="n">
        <v>43602</v>
      </c>
      <c r="C350" s="1" t="n">
        <v>45841</v>
      </c>
      <c r="D350" t="inlineStr">
        <is>
          <t>VÄSTERNORRLANDS LÄN</t>
        </is>
      </c>
      <c r="E350" t="inlineStr">
        <is>
          <t>SUNDSVALL</t>
        </is>
      </c>
      <c r="G350" t="n">
        <v>0.5</v>
      </c>
      <c r="H350" t="n">
        <v>0</v>
      </c>
      <c r="I350" t="n">
        <v>0</v>
      </c>
      <c r="J350" t="n">
        <v>0</v>
      </c>
      <c r="K350" t="n">
        <v>0</v>
      </c>
      <c r="L350" t="n">
        <v>0</v>
      </c>
      <c r="M350" t="n">
        <v>0</v>
      </c>
      <c r="N350" t="n">
        <v>0</v>
      </c>
      <c r="O350" t="n">
        <v>0</v>
      </c>
      <c r="P350" t="n">
        <v>0</v>
      </c>
      <c r="Q350" t="n">
        <v>0</v>
      </c>
      <c r="R350" s="2" t="inlineStr"/>
    </row>
    <row r="351" ht="15" customHeight="1">
      <c r="A351" t="inlineStr">
        <is>
          <t>A 25044-2019</t>
        </is>
      </c>
      <c r="B351" s="1" t="n">
        <v>43603</v>
      </c>
      <c r="C351" s="1" t="n">
        <v>45841</v>
      </c>
      <c r="D351" t="inlineStr">
        <is>
          <t>VÄSTERNORRLANDS LÄN</t>
        </is>
      </c>
      <c r="E351" t="inlineStr">
        <is>
          <t>SUNDSVALL</t>
        </is>
      </c>
      <c r="G351" t="n">
        <v>4.8</v>
      </c>
      <c r="H351" t="n">
        <v>0</v>
      </c>
      <c r="I351" t="n">
        <v>0</v>
      </c>
      <c r="J351" t="n">
        <v>0</v>
      </c>
      <c r="K351" t="n">
        <v>0</v>
      </c>
      <c r="L351" t="n">
        <v>0</v>
      </c>
      <c r="M351" t="n">
        <v>0</v>
      </c>
      <c r="N351" t="n">
        <v>0</v>
      </c>
      <c r="O351" t="n">
        <v>0</v>
      </c>
      <c r="P351" t="n">
        <v>0</v>
      </c>
      <c r="Q351" t="n">
        <v>0</v>
      </c>
      <c r="R351" s="2" t="inlineStr"/>
    </row>
    <row r="352" ht="15" customHeight="1">
      <c r="A352" t="inlineStr">
        <is>
          <t>A 25712-2019</t>
        </is>
      </c>
      <c r="B352" s="1" t="n">
        <v>43607</v>
      </c>
      <c r="C352" s="1" t="n">
        <v>45841</v>
      </c>
      <c r="D352" t="inlineStr">
        <is>
          <t>VÄSTERNORRLANDS LÄN</t>
        </is>
      </c>
      <c r="E352" t="inlineStr">
        <is>
          <t>SUNDSVALL</t>
        </is>
      </c>
      <c r="G352" t="n">
        <v>5.7</v>
      </c>
      <c r="H352" t="n">
        <v>0</v>
      </c>
      <c r="I352" t="n">
        <v>0</v>
      </c>
      <c r="J352" t="n">
        <v>0</v>
      </c>
      <c r="K352" t="n">
        <v>0</v>
      </c>
      <c r="L352" t="n">
        <v>0</v>
      </c>
      <c r="M352" t="n">
        <v>0</v>
      </c>
      <c r="N352" t="n">
        <v>0</v>
      </c>
      <c r="O352" t="n">
        <v>0</v>
      </c>
      <c r="P352" t="n">
        <v>0</v>
      </c>
      <c r="Q352" t="n">
        <v>0</v>
      </c>
      <c r="R352" s="2" t="inlineStr"/>
    </row>
    <row r="353" ht="15" customHeight="1">
      <c r="A353" t="inlineStr">
        <is>
          <t>A 25962-2019</t>
        </is>
      </c>
      <c r="B353" s="1" t="n">
        <v>43608</v>
      </c>
      <c r="C353" s="1" t="n">
        <v>45841</v>
      </c>
      <c r="D353" t="inlineStr">
        <is>
          <t>VÄSTERNORRLANDS LÄN</t>
        </is>
      </c>
      <c r="E353" t="inlineStr">
        <is>
          <t>SUNDSVALL</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26014-2019</t>
        </is>
      </c>
      <c r="B354" s="1" t="n">
        <v>43608</v>
      </c>
      <c r="C354" s="1" t="n">
        <v>45841</v>
      </c>
      <c r="D354" t="inlineStr">
        <is>
          <t>VÄSTERNORRLANDS LÄN</t>
        </is>
      </c>
      <c r="E354" t="inlineStr">
        <is>
          <t>SUNDSVALL</t>
        </is>
      </c>
      <c r="G354" t="n">
        <v>2.3</v>
      </c>
      <c r="H354" t="n">
        <v>0</v>
      </c>
      <c r="I354" t="n">
        <v>0</v>
      </c>
      <c r="J354" t="n">
        <v>0</v>
      </c>
      <c r="K354" t="n">
        <v>0</v>
      </c>
      <c r="L354" t="n">
        <v>0</v>
      </c>
      <c r="M354" t="n">
        <v>0</v>
      </c>
      <c r="N354" t="n">
        <v>0</v>
      </c>
      <c r="O354" t="n">
        <v>0</v>
      </c>
      <c r="P354" t="n">
        <v>0</v>
      </c>
      <c r="Q354" t="n">
        <v>0</v>
      </c>
      <c r="R354" s="2" t="inlineStr"/>
    </row>
    <row r="355" ht="15" customHeight="1">
      <c r="A355" t="inlineStr">
        <is>
          <t>A 27032-2019</t>
        </is>
      </c>
      <c r="B355" s="1" t="n">
        <v>43609</v>
      </c>
      <c r="C355" s="1" t="n">
        <v>45841</v>
      </c>
      <c r="D355" t="inlineStr">
        <is>
          <t>VÄSTERNORRLANDS LÄN</t>
        </is>
      </c>
      <c r="E355" t="inlineStr">
        <is>
          <t>SUNDSVALL</t>
        </is>
      </c>
      <c r="G355" t="n">
        <v>2.7</v>
      </c>
      <c r="H355" t="n">
        <v>0</v>
      </c>
      <c r="I355" t="n">
        <v>0</v>
      </c>
      <c r="J355" t="n">
        <v>0</v>
      </c>
      <c r="K355" t="n">
        <v>0</v>
      </c>
      <c r="L355" t="n">
        <v>0</v>
      </c>
      <c r="M355" t="n">
        <v>0</v>
      </c>
      <c r="N355" t="n">
        <v>0</v>
      </c>
      <c r="O355" t="n">
        <v>0</v>
      </c>
      <c r="P355" t="n">
        <v>0</v>
      </c>
      <c r="Q355" t="n">
        <v>0</v>
      </c>
      <c r="R355" s="2" t="inlineStr"/>
    </row>
    <row r="356" ht="15" customHeight="1">
      <c r="A356" t="inlineStr">
        <is>
          <t>A 28066-2019</t>
        </is>
      </c>
      <c r="B356" s="1" t="n">
        <v>43613</v>
      </c>
      <c r="C356" s="1" t="n">
        <v>45841</v>
      </c>
      <c r="D356" t="inlineStr">
        <is>
          <t>VÄSTERNORRLANDS LÄN</t>
        </is>
      </c>
      <c r="E356" t="inlineStr">
        <is>
          <t>SUNDSVALL</t>
        </is>
      </c>
      <c r="G356" t="n">
        <v>0.9</v>
      </c>
      <c r="H356" t="n">
        <v>0</v>
      </c>
      <c r="I356" t="n">
        <v>0</v>
      </c>
      <c r="J356" t="n">
        <v>0</v>
      </c>
      <c r="K356" t="n">
        <v>0</v>
      </c>
      <c r="L356" t="n">
        <v>0</v>
      </c>
      <c r="M356" t="n">
        <v>0</v>
      </c>
      <c r="N356" t="n">
        <v>0</v>
      </c>
      <c r="O356" t="n">
        <v>0</v>
      </c>
      <c r="P356" t="n">
        <v>0</v>
      </c>
      <c r="Q356" t="n">
        <v>0</v>
      </c>
      <c r="R356" s="2" t="inlineStr"/>
    </row>
    <row r="357" ht="15" customHeight="1">
      <c r="A357" t="inlineStr">
        <is>
          <t>A 27419-2019</t>
        </is>
      </c>
      <c r="B357" s="1" t="n">
        <v>43616</v>
      </c>
      <c r="C357" s="1" t="n">
        <v>45841</v>
      </c>
      <c r="D357" t="inlineStr">
        <is>
          <t>VÄSTERNORRLANDS LÄN</t>
        </is>
      </c>
      <c r="E357" t="inlineStr">
        <is>
          <t>SUNDSVALL</t>
        </is>
      </c>
      <c r="G357" t="n">
        <v>3.5</v>
      </c>
      <c r="H357" t="n">
        <v>0</v>
      </c>
      <c r="I357" t="n">
        <v>0</v>
      </c>
      <c r="J357" t="n">
        <v>0</v>
      </c>
      <c r="K357" t="n">
        <v>0</v>
      </c>
      <c r="L357" t="n">
        <v>0</v>
      </c>
      <c r="M357" t="n">
        <v>0</v>
      </c>
      <c r="N357" t="n">
        <v>0</v>
      </c>
      <c r="O357" t="n">
        <v>0</v>
      </c>
      <c r="P357" t="n">
        <v>0</v>
      </c>
      <c r="Q357" t="n">
        <v>0</v>
      </c>
      <c r="R357" s="2" t="inlineStr"/>
    </row>
    <row r="358" ht="15" customHeight="1">
      <c r="A358" t="inlineStr">
        <is>
          <t>A 27775-2019</t>
        </is>
      </c>
      <c r="B358" s="1" t="n">
        <v>43619</v>
      </c>
      <c r="C358" s="1" t="n">
        <v>45841</v>
      </c>
      <c r="D358" t="inlineStr">
        <is>
          <t>VÄSTERNORRLANDS LÄN</t>
        </is>
      </c>
      <c r="E358" t="inlineStr">
        <is>
          <t>SUNDSVALL</t>
        </is>
      </c>
      <c r="F358" t="inlineStr">
        <is>
          <t>SCA</t>
        </is>
      </c>
      <c r="G358" t="n">
        <v>13.8</v>
      </c>
      <c r="H358" t="n">
        <v>0</v>
      </c>
      <c r="I358" t="n">
        <v>0</v>
      </c>
      <c r="J358" t="n">
        <v>0</v>
      </c>
      <c r="K358" t="n">
        <v>0</v>
      </c>
      <c r="L358" t="n">
        <v>0</v>
      </c>
      <c r="M358" t="n">
        <v>0</v>
      </c>
      <c r="N358" t="n">
        <v>0</v>
      </c>
      <c r="O358" t="n">
        <v>0</v>
      </c>
      <c r="P358" t="n">
        <v>0</v>
      </c>
      <c r="Q358" t="n">
        <v>0</v>
      </c>
      <c r="R358" s="2" t="inlineStr"/>
    </row>
    <row r="359" ht="15" customHeight="1">
      <c r="A359" t="inlineStr">
        <is>
          <t>A 27981-2019</t>
        </is>
      </c>
      <c r="B359" s="1" t="n">
        <v>43620</v>
      </c>
      <c r="C359" s="1" t="n">
        <v>45841</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27983-2019</t>
        </is>
      </c>
      <c r="B360" s="1" t="n">
        <v>43620</v>
      </c>
      <c r="C360" s="1" t="n">
        <v>45841</v>
      </c>
      <c r="D360" t="inlineStr">
        <is>
          <t>VÄSTERNORRLANDS LÄN</t>
        </is>
      </c>
      <c r="E360" t="inlineStr">
        <is>
          <t>SUNDSVALL</t>
        </is>
      </c>
      <c r="G360" t="n">
        <v>2.5</v>
      </c>
      <c r="H360" t="n">
        <v>0</v>
      </c>
      <c r="I360" t="n">
        <v>0</v>
      </c>
      <c r="J360" t="n">
        <v>0</v>
      </c>
      <c r="K360" t="n">
        <v>0</v>
      </c>
      <c r="L360" t="n">
        <v>0</v>
      </c>
      <c r="M360" t="n">
        <v>0</v>
      </c>
      <c r="N360" t="n">
        <v>0</v>
      </c>
      <c r="O360" t="n">
        <v>0</v>
      </c>
      <c r="P360" t="n">
        <v>0</v>
      </c>
      <c r="Q360" t="n">
        <v>0</v>
      </c>
      <c r="R360" s="2" t="inlineStr"/>
    </row>
    <row r="361" ht="15" customHeight="1">
      <c r="A361" t="inlineStr">
        <is>
          <t>A 27982-2019</t>
        </is>
      </c>
      <c r="B361" s="1" t="n">
        <v>43620</v>
      </c>
      <c r="C361" s="1" t="n">
        <v>45841</v>
      </c>
      <c r="D361" t="inlineStr">
        <is>
          <t>VÄSTERNORRLANDS LÄN</t>
        </is>
      </c>
      <c r="E361" t="inlineStr">
        <is>
          <t>SUNDSVALL</t>
        </is>
      </c>
      <c r="G361" t="n">
        <v>5.7</v>
      </c>
      <c r="H361" t="n">
        <v>0</v>
      </c>
      <c r="I361" t="n">
        <v>0</v>
      </c>
      <c r="J361" t="n">
        <v>0</v>
      </c>
      <c r="K361" t="n">
        <v>0</v>
      </c>
      <c r="L361" t="n">
        <v>0</v>
      </c>
      <c r="M361" t="n">
        <v>0</v>
      </c>
      <c r="N361" t="n">
        <v>0</v>
      </c>
      <c r="O361" t="n">
        <v>0</v>
      </c>
      <c r="P361" t="n">
        <v>0</v>
      </c>
      <c r="Q361" t="n">
        <v>0</v>
      </c>
      <c r="R361" s="2" t="inlineStr"/>
    </row>
    <row r="362" ht="15" customHeight="1">
      <c r="A362" t="inlineStr">
        <is>
          <t>A 27986-2019</t>
        </is>
      </c>
      <c r="B362" s="1" t="n">
        <v>43620</v>
      </c>
      <c r="C362" s="1" t="n">
        <v>45841</v>
      </c>
      <c r="D362" t="inlineStr">
        <is>
          <t>VÄSTERNORRLANDS LÄN</t>
        </is>
      </c>
      <c r="E362" t="inlineStr">
        <is>
          <t>SUNDSVALL</t>
        </is>
      </c>
      <c r="G362" t="n">
        <v>4.9</v>
      </c>
      <c r="H362" t="n">
        <v>0</v>
      </c>
      <c r="I362" t="n">
        <v>0</v>
      </c>
      <c r="J362" t="n">
        <v>0</v>
      </c>
      <c r="K362" t="n">
        <v>0</v>
      </c>
      <c r="L362" t="n">
        <v>0</v>
      </c>
      <c r="M362" t="n">
        <v>0</v>
      </c>
      <c r="N362" t="n">
        <v>0</v>
      </c>
      <c r="O362" t="n">
        <v>0</v>
      </c>
      <c r="P362" t="n">
        <v>0</v>
      </c>
      <c r="Q362" t="n">
        <v>0</v>
      </c>
      <c r="R362" s="2" t="inlineStr"/>
    </row>
    <row r="363" ht="15" customHeight="1">
      <c r="A363" t="inlineStr">
        <is>
          <t>A 29168-2019</t>
        </is>
      </c>
      <c r="B363" s="1" t="n">
        <v>43628</v>
      </c>
      <c r="C363" s="1" t="n">
        <v>45841</v>
      </c>
      <c r="D363" t="inlineStr">
        <is>
          <t>VÄSTERNORRLANDS LÄN</t>
        </is>
      </c>
      <c r="E363" t="inlineStr">
        <is>
          <t>SUNDSVALL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29978-2019</t>
        </is>
      </c>
      <c r="B364" s="1" t="n">
        <v>43630</v>
      </c>
      <c r="C364" s="1" t="n">
        <v>45841</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29985-2019</t>
        </is>
      </c>
      <c r="B365" s="1" t="n">
        <v>43630</v>
      </c>
      <c r="C365" s="1" t="n">
        <v>45841</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29813-2019</t>
        </is>
      </c>
      <c r="B366" s="1" t="n">
        <v>43633</v>
      </c>
      <c r="C366" s="1" t="n">
        <v>45841</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30253-2019</t>
        </is>
      </c>
      <c r="B367" s="1" t="n">
        <v>43634</v>
      </c>
      <c r="C367" s="1" t="n">
        <v>45841</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30608-2019</t>
        </is>
      </c>
      <c r="B368" s="1" t="n">
        <v>43635</v>
      </c>
      <c r="C368" s="1" t="n">
        <v>45841</v>
      </c>
      <c r="D368" t="inlineStr">
        <is>
          <t>VÄSTERNORRLANDS LÄN</t>
        </is>
      </c>
      <c r="E368" t="inlineStr">
        <is>
          <t>SUNDSVALL</t>
        </is>
      </c>
      <c r="G368" t="n">
        <v>2.8</v>
      </c>
      <c r="H368" t="n">
        <v>0</v>
      </c>
      <c r="I368" t="n">
        <v>0</v>
      </c>
      <c r="J368" t="n">
        <v>0</v>
      </c>
      <c r="K368" t="n">
        <v>0</v>
      </c>
      <c r="L368" t="n">
        <v>0</v>
      </c>
      <c r="M368" t="n">
        <v>0</v>
      </c>
      <c r="N368" t="n">
        <v>0</v>
      </c>
      <c r="O368" t="n">
        <v>0</v>
      </c>
      <c r="P368" t="n">
        <v>0</v>
      </c>
      <c r="Q368" t="n">
        <v>0</v>
      </c>
      <c r="R368" s="2" t="inlineStr"/>
    </row>
    <row r="369" ht="15" customHeight="1">
      <c r="A369" t="inlineStr">
        <is>
          <t>A 31064-2019</t>
        </is>
      </c>
      <c r="B369" s="1" t="n">
        <v>43636</v>
      </c>
      <c r="C369" s="1" t="n">
        <v>45841</v>
      </c>
      <c r="D369" t="inlineStr">
        <is>
          <t>VÄSTERNORRLANDS LÄN</t>
        </is>
      </c>
      <c r="E369" t="inlineStr">
        <is>
          <t>SUNDSVALL</t>
        </is>
      </c>
      <c r="G369" t="n">
        <v>5.4</v>
      </c>
      <c r="H369" t="n">
        <v>0</v>
      </c>
      <c r="I369" t="n">
        <v>0</v>
      </c>
      <c r="J369" t="n">
        <v>0</v>
      </c>
      <c r="K369" t="n">
        <v>0</v>
      </c>
      <c r="L369" t="n">
        <v>0</v>
      </c>
      <c r="M369" t="n">
        <v>0</v>
      </c>
      <c r="N369" t="n">
        <v>0</v>
      </c>
      <c r="O369" t="n">
        <v>0</v>
      </c>
      <c r="P369" t="n">
        <v>0</v>
      </c>
      <c r="Q369" t="n">
        <v>0</v>
      </c>
      <c r="R369" s="2" t="inlineStr"/>
    </row>
    <row r="370" ht="15" customHeight="1">
      <c r="A370" t="inlineStr">
        <is>
          <t>A 31285-2019</t>
        </is>
      </c>
      <c r="B370" s="1" t="n">
        <v>43640</v>
      </c>
      <c r="C370" s="1" t="n">
        <v>45841</v>
      </c>
      <c r="D370" t="inlineStr">
        <is>
          <t>VÄSTERNORRLANDS LÄN</t>
        </is>
      </c>
      <c r="E370" t="inlineStr">
        <is>
          <t>SUNDSVALL</t>
        </is>
      </c>
      <c r="G370" t="n">
        <v>3.4</v>
      </c>
      <c r="H370" t="n">
        <v>0</v>
      </c>
      <c r="I370" t="n">
        <v>0</v>
      </c>
      <c r="J370" t="n">
        <v>0</v>
      </c>
      <c r="K370" t="n">
        <v>0</v>
      </c>
      <c r="L370" t="n">
        <v>0</v>
      </c>
      <c r="M370" t="n">
        <v>0</v>
      </c>
      <c r="N370" t="n">
        <v>0</v>
      </c>
      <c r="O370" t="n">
        <v>0</v>
      </c>
      <c r="P370" t="n">
        <v>0</v>
      </c>
      <c r="Q370" t="n">
        <v>0</v>
      </c>
      <c r="R370" s="2" t="inlineStr"/>
    </row>
    <row r="371" ht="15" customHeight="1">
      <c r="A371" t="inlineStr">
        <is>
          <t>A 31578-2019</t>
        </is>
      </c>
      <c r="B371" s="1" t="n">
        <v>43641</v>
      </c>
      <c r="C371" s="1" t="n">
        <v>45841</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31572-2019</t>
        </is>
      </c>
      <c r="B372" s="1" t="n">
        <v>43641</v>
      </c>
      <c r="C372" s="1" t="n">
        <v>45841</v>
      </c>
      <c r="D372" t="inlineStr">
        <is>
          <t>VÄSTERNORRLANDS LÄN</t>
        </is>
      </c>
      <c r="E372" t="inlineStr">
        <is>
          <t>SUNDSVALL</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32207-2019</t>
        </is>
      </c>
      <c r="B373" s="1" t="n">
        <v>43643</v>
      </c>
      <c r="C373" s="1" t="n">
        <v>45841</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32259-2019</t>
        </is>
      </c>
      <c r="B374" s="1" t="n">
        <v>43644</v>
      </c>
      <c r="C374" s="1" t="n">
        <v>45841</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32268-2019</t>
        </is>
      </c>
      <c r="B375" s="1" t="n">
        <v>43644</v>
      </c>
      <c r="C375" s="1" t="n">
        <v>45841</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34006-2019</t>
        </is>
      </c>
      <c r="B376" s="1" t="n">
        <v>43647</v>
      </c>
      <c r="C376" s="1" t="n">
        <v>45841</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33993-2019</t>
        </is>
      </c>
      <c r="B377" s="1" t="n">
        <v>43647</v>
      </c>
      <c r="C377" s="1" t="n">
        <v>45841</v>
      </c>
      <c r="D377" t="inlineStr">
        <is>
          <t>VÄSTERNORRLANDS LÄN</t>
        </is>
      </c>
      <c r="E377" t="inlineStr">
        <is>
          <t>SUNDSVALL</t>
        </is>
      </c>
      <c r="G377" t="n">
        <v>2.9</v>
      </c>
      <c r="H377" t="n">
        <v>0</v>
      </c>
      <c r="I377" t="n">
        <v>0</v>
      </c>
      <c r="J377" t="n">
        <v>0</v>
      </c>
      <c r="K377" t="n">
        <v>0</v>
      </c>
      <c r="L377" t="n">
        <v>0</v>
      </c>
      <c r="M377" t="n">
        <v>0</v>
      </c>
      <c r="N377" t="n">
        <v>0</v>
      </c>
      <c r="O377" t="n">
        <v>0</v>
      </c>
      <c r="P377" t="n">
        <v>0</v>
      </c>
      <c r="Q377" t="n">
        <v>0</v>
      </c>
      <c r="R377" s="2" t="inlineStr"/>
    </row>
    <row r="378" ht="15" customHeight="1">
      <c r="A378" t="inlineStr">
        <is>
          <t>A 33486-2019</t>
        </is>
      </c>
      <c r="B378" s="1" t="n">
        <v>43650</v>
      </c>
      <c r="C378" s="1" t="n">
        <v>45841</v>
      </c>
      <c r="D378" t="inlineStr">
        <is>
          <t>VÄSTERNORRLANDS LÄN</t>
        </is>
      </c>
      <c r="E378" t="inlineStr">
        <is>
          <t>SUNDSVALL</t>
        </is>
      </c>
      <c r="G378" t="n">
        <v>3.5</v>
      </c>
      <c r="H378" t="n">
        <v>0</v>
      </c>
      <c r="I378" t="n">
        <v>0</v>
      </c>
      <c r="J378" t="n">
        <v>0</v>
      </c>
      <c r="K378" t="n">
        <v>0</v>
      </c>
      <c r="L378" t="n">
        <v>0</v>
      </c>
      <c r="M378" t="n">
        <v>0</v>
      </c>
      <c r="N378" t="n">
        <v>0</v>
      </c>
      <c r="O378" t="n">
        <v>0</v>
      </c>
      <c r="P378" t="n">
        <v>0</v>
      </c>
      <c r="Q378" t="n">
        <v>0</v>
      </c>
      <c r="R378" s="2" t="inlineStr"/>
    </row>
    <row r="379" ht="15" customHeight="1">
      <c r="A379" t="inlineStr">
        <is>
          <t>A 34136-2019</t>
        </is>
      </c>
      <c r="B379" s="1" t="n">
        <v>43654</v>
      </c>
      <c r="C379" s="1" t="n">
        <v>45841</v>
      </c>
      <c r="D379" t="inlineStr">
        <is>
          <t>VÄSTERNORRLANDS LÄN</t>
        </is>
      </c>
      <c r="E379" t="inlineStr">
        <is>
          <t>SUNDSVALL</t>
        </is>
      </c>
      <c r="G379" t="n">
        <v>6.4</v>
      </c>
      <c r="H379" t="n">
        <v>0</v>
      </c>
      <c r="I379" t="n">
        <v>0</v>
      </c>
      <c r="J379" t="n">
        <v>0</v>
      </c>
      <c r="K379" t="n">
        <v>0</v>
      </c>
      <c r="L379" t="n">
        <v>0</v>
      </c>
      <c r="M379" t="n">
        <v>0</v>
      </c>
      <c r="N379" t="n">
        <v>0</v>
      </c>
      <c r="O379" t="n">
        <v>0</v>
      </c>
      <c r="P379" t="n">
        <v>0</v>
      </c>
      <c r="Q379" t="n">
        <v>0</v>
      </c>
      <c r="R379" s="2" t="inlineStr"/>
    </row>
    <row r="380" ht="15" customHeight="1">
      <c r="A380" t="inlineStr">
        <is>
          <t>A 36074-2019</t>
        </is>
      </c>
      <c r="B380" s="1" t="n">
        <v>43657</v>
      </c>
      <c r="C380" s="1" t="n">
        <v>45841</v>
      </c>
      <c r="D380" t="inlineStr">
        <is>
          <t>VÄSTERNORRLANDS LÄN</t>
        </is>
      </c>
      <c r="E380" t="inlineStr">
        <is>
          <t>SUNDSVALL</t>
        </is>
      </c>
      <c r="G380" t="n">
        <v>1.1</v>
      </c>
      <c r="H380" t="n">
        <v>0</v>
      </c>
      <c r="I380" t="n">
        <v>0</v>
      </c>
      <c r="J380" t="n">
        <v>0</v>
      </c>
      <c r="K380" t="n">
        <v>0</v>
      </c>
      <c r="L380" t="n">
        <v>0</v>
      </c>
      <c r="M380" t="n">
        <v>0</v>
      </c>
      <c r="N380" t="n">
        <v>0</v>
      </c>
      <c r="O380" t="n">
        <v>0</v>
      </c>
      <c r="P380" t="n">
        <v>0</v>
      </c>
      <c r="Q380" t="n">
        <v>0</v>
      </c>
      <c r="R380" s="2" t="inlineStr"/>
    </row>
    <row r="381" ht="15" customHeight="1">
      <c r="A381" t="inlineStr">
        <is>
          <t>A 36077-2019</t>
        </is>
      </c>
      <c r="B381" s="1" t="n">
        <v>43657</v>
      </c>
      <c r="C381" s="1" t="n">
        <v>45841</v>
      </c>
      <c r="D381" t="inlineStr">
        <is>
          <t>VÄSTERNORRLANDS LÄN</t>
        </is>
      </c>
      <c r="E381" t="inlineStr">
        <is>
          <t>SUNDSVALL</t>
        </is>
      </c>
      <c r="G381" t="n">
        <v>5.1</v>
      </c>
      <c r="H381" t="n">
        <v>0</v>
      </c>
      <c r="I381" t="n">
        <v>0</v>
      </c>
      <c r="J381" t="n">
        <v>0</v>
      </c>
      <c r="K381" t="n">
        <v>0</v>
      </c>
      <c r="L381" t="n">
        <v>0</v>
      </c>
      <c r="M381" t="n">
        <v>0</v>
      </c>
      <c r="N381" t="n">
        <v>0</v>
      </c>
      <c r="O381" t="n">
        <v>0</v>
      </c>
      <c r="P381" t="n">
        <v>0</v>
      </c>
      <c r="Q381" t="n">
        <v>0</v>
      </c>
      <c r="R381" s="2" t="inlineStr"/>
    </row>
    <row r="382" ht="15" customHeight="1">
      <c r="A382" t="inlineStr">
        <is>
          <t>A 35171-2019</t>
        </is>
      </c>
      <c r="B382" s="1" t="n">
        <v>43661</v>
      </c>
      <c r="C382" s="1" t="n">
        <v>45841</v>
      </c>
      <c r="D382" t="inlineStr">
        <is>
          <t>VÄSTERNORRLANDS LÄN</t>
        </is>
      </c>
      <c r="E382" t="inlineStr">
        <is>
          <t>SUNDSVALL</t>
        </is>
      </c>
      <c r="G382" t="n">
        <v>2.3</v>
      </c>
      <c r="H382" t="n">
        <v>0</v>
      </c>
      <c r="I382" t="n">
        <v>0</v>
      </c>
      <c r="J382" t="n">
        <v>0</v>
      </c>
      <c r="K382" t="n">
        <v>0</v>
      </c>
      <c r="L382" t="n">
        <v>0</v>
      </c>
      <c r="M382" t="n">
        <v>0</v>
      </c>
      <c r="N382" t="n">
        <v>0</v>
      </c>
      <c r="O382" t="n">
        <v>0</v>
      </c>
      <c r="P382" t="n">
        <v>0</v>
      </c>
      <c r="Q382" t="n">
        <v>0</v>
      </c>
      <c r="R382" s="2" t="inlineStr"/>
    </row>
    <row r="383" ht="15" customHeight="1">
      <c r="A383" t="inlineStr">
        <is>
          <t>A 35170-2019</t>
        </is>
      </c>
      <c r="B383" s="1" t="n">
        <v>43661</v>
      </c>
      <c r="C383" s="1" t="n">
        <v>45841</v>
      </c>
      <c r="D383" t="inlineStr">
        <is>
          <t>VÄSTERNORRLANDS LÄN</t>
        </is>
      </c>
      <c r="E383" t="inlineStr">
        <is>
          <t>SUNDSVALL</t>
        </is>
      </c>
      <c r="G383" t="n">
        <v>1.8</v>
      </c>
      <c r="H383" t="n">
        <v>0</v>
      </c>
      <c r="I383" t="n">
        <v>0</v>
      </c>
      <c r="J383" t="n">
        <v>0</v>
      </c>
      <c r="K383" t="n">
        <v>0</v>
      </c>
      <c r="L383" t="n">
        <v>0</v>
      </c>
      <c r="M383" t="n">
        <v>0</v>
      </c>
      <c r="N383" t="n">
        <v>0</v>
      </c>
      <c r="O383" t="n">
        <v>0</v>
      </c>
      <c r="P383" t="n">
        <v>0</v>
      </c>
      <c r="Q383" t="n">
        <v>0</v>
      </c>
      <c r="R383" s="2" t="inlineStr"/>
    </row>
    <row r="384" ht="15" customHeight="1">
      <c r="A384" t="inlineStr">
        <is>
          <t>A 35966-2019</t>
        </is>
      </c>
      <c r="B384" s="1" t="n">
        <v>43665</v>
      </c>
      <c r="C384" s="1" t="n">
        <v>45841</v>
      </c>
      <c r="D384" t="inlineStr">
        <is>
          <t>VÄSTERNORRLANDS LÄN</t>
        </is>
      </c>
      <c r="E384" t="inlineStr">
        <is>
          <t>SUNDSVALL</t>
        </is>
      </c>
      <c r="G384" t="n">
        <v>2.7</v>
      </c>
      <c r="H384" t="n">
        <v>0</v>
      </c>
      <c r="I384" t="n">
        <v>0</v>
      </c>
      <c r="J384" t="n">
        <v>0</v>
      </c>
      <c r="K384" t="n">
        <v>0</v>
      </c>
      <c r="L384" t="n">
        <v>0</v>
      </c>
      <c r="M384" t="n">
        <v>0</v>
      </c>
      <c r="N384" t="n">
        <v>0</v>
      </c>
      <c r="O384" t="n">
        <v>0</v>
      </c>
      <c r="P384" t="n">
        <v>0</v>
      </c>
      <c r="Q384" t="n">
        <v>0</v>
      </c>
      <c r="R384" s="2" t="inlineStr"/>
    </row>
    <row r="385" ht="15" customHeight="1">
      <c r="A385" t="inlineStr">
        <is>
          <t>A 36026-2019</t>
        </is>
      </c>
      <c r="B385" s="1" t="n">
        <v>43668</v>
      </c>
      <c r="C385" s="1" t="n">
        <v>45841</v>
      </c>
      <c r="D385" t="inlineStr">
        <is>
          <t>VÄSTERNORRLANDS LÄN</t>
        </is>
      </c>
      <c r="E385" t="inlineStr">
        <is>
          <t>SUNDSVALL</t>
        </is>
      </c>
      <c r="G385" t="n">
        <v>4.4</v>
      </c>
      <c r="H385" t="n">
        <v>0</v>
      </c>
      <c r="I385" t="n">
        <v>0</v>
      </c>
      <c r="J385" t="n">
        <v>0</v>
      </c>
      <c r="K385" t="n">
        <v>0</v>
      </c>
      <c r="L385" t="n">
        <v>0</v>
      </c>
      <c r="M385" t="n">
        <v>0</v>
      </c>
      <c r="N385" t="n">
        <v>0</v>
      </c>
      <c r="O385" t="n">
        <v>0</v>
      </c>
      <c r="P385" t="n">
        <v>0</v>
      </c>
      <c r="Q385" t="n">
        <v>0</v>
      </c>
      <c r="R385" s="2" t="inlineStr"/>
    </row>
    <row r="386" ht="15" customHeight="1">
      <c r="A386" t="inlineStr">
        <is>
          <t>A 37069-2019</t>
        </is>
      </c>
      <c r="B386" s="1" t="n">
        <v>43676</v>
      </c>
      <c r="C386" s="1" t="n">
        <v>45841</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37378-2019</t>
        </is>
      </c>
      <c r="B387" s="1" t="n">
        <v>43678</v>
      </c>
      <c r="C387" s="1" t="n">
        <v>45841</v>
      </c>
      <c r="D387" t="inlineStr">
        <is>
          <t>VÄSTERNORRLANDS LÄN</t>
        </is>
      </c>
      <c r="E387" t="inlineStr">
        <is>
          <t>SUNDSVALL</t>
        </is>
      </c>
      <c r="G387" t="n">
        <v>6.5</v>
      </c>
      <c r="H387" t="n">
        <v>0</v>
      </c>
      <c r="I387" t="n">
        <v>0</v>
      </c>
      <c r="J387" t="n">
        <v>0</v>
      </c>
      <c r="K387" t="n">
        <v>0</v>
      </c>
      <c r="L387" t="n">
        <v>0</v>
      </c>
      <c r="M387" t="n">
        <v>0</v>
      </c>
      <c r="N387" t="n">
        <v>0</v>
      </c>
      <c r="O387" t="n">
        <v>0</v>
      </c>
      <c r="P387" t="n">
        <v>0</v>
      </c>
      <c r="Q387" t="n">
        <v>0</v>
      </c>
      <c r="R387" s="2" t="inlineStr"/>
    </row>
    <row r="388" ht="15" customHeight="1">
      <c r="A388" t="inlineStr">
        <is>
          <t>A 37891-2019</t>
        </is>
      </c>
      <c r="B388" s="1" t="n">
        <v>43682</v>
      </c>
      <c r="C388" s="1" t="n">
        <v>45841</v>
      </c>
      <c r="D388" t="inlineStr">
        <is>
          <t>VÄSTERNORRLANDS LÄN</t>
        </is>
      </c>
      <c r="E388" t="inlineStr">
        <is>
          <t>SUNDSVALL</t>
        </is>
      </c>
      <c r="F388" t="inlineStr">
        <is>
          <t>SCA</t>
        </is>
      </c>
      <c r="G388" t="n">
        <v>40.1</v>
      </c>
      <c r="H388" t="n">
        <v>0</v>
      </c>
      <c r="I388" t="n">
        <v>0</v>
      </c>
      <c r="J388" t="n">
        <v>0</v>
      </c>
      <c r="K388" t="n">
        <v>0</v>
      </c>
      <c r="L388" t="n">
        <v>0</v>
      </c>
      <c r="M388" t="n">
        <v>0</v>
      </c>
      <c r="N388" t="n">
        <v>0</v>
      </c>
      <c r="O388" t="n">
        <v>0</v>
      </c>
      <c r="P388" t="n">
        <v>0</v>
      </c>
      <c r="Q388" t="n">
        <v>0</v>
      </c>
      <c r="R388" s="2" t="inlineStr"/>
    </row>
    <row r="389" ht="15" customHeight="1">
      <c r="A389" t="inlineStr">
        <is>
          <t>A 37907-2019</t>
        </is>
      </c>
      <c r="B389" s="1" t="n">
        <v>43683</v>
      </c>
      <c r="C389" s="1" t="n">
        <v>45841</v>
      </c>
      <c r="D389" t="inlineStr">
        <is>
          <t>VÄSTERNORRLANDS LÄN</t>
        </is>
      </c>
      <c r="E389" t="inlineStr">
        <is>
          <t>SUNDSVALL</t>
        </is>
      </c>
      <c r="G389" t="n">
        <v>4.7</v>
      </c>
      <c r="H389" t="n">
        <v>0</v>
      </c>
      <c r="I389" t="n">
        <v>0</v>
      </c>
      <c r="J389" t="n">
        <v>0</v>
      </c>
      <c r="K389" t="n">
        <v>0</v>
      </c>
      <c r="L389" t="n">
        <v>0</v>
      </c>
      <c r="M389" t="n">
        <v>0</v>
      </c>
      <c r="N389" t="n">
        <v>0</v>
      </c>
      <c r="O389" t="n">
        <v>0</v>
      </c>
      <c r="P389" t="n">
        <v>0</v>
      </c>
      <c r="Q389" t="n">
        <v>0</v>
      </c>
      <c r="R389" s="2" t="inlineStr"/>
    </row>
    <row r="390" ht="15" customHeight="1">
      <c r="A390" t="inlineStr">
        <is>
          <t>A 38290-2019</t>
        </is>
      </c>
      <c r="B390" s="1" t="n">
        <v>43684</v>
      </c>
      <c r="C390" s="1" t="n">
        <v>45841</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40526-2019</t>
        </is>
      </c>
      <c r="B391" s="1" t="n">
        <v>43696</v>
      </c>
      <c r="C391" s="1" t="n">
        <v>45841</v>
      </c>
      <c r="D391" t="inlineStr">
        <is>
          <t>VÄSTERNORRLANDS LÄN</t>
        </is>
      </c>
      <c r="E391" t="inlineStr">
        <is>
          <t>SUNDSVALL</t>
        </is>
      </c>
      <c r="F391" t="inlineStr">
        <is>
          <t>SCA</t>
        </is>
      </c>
      <c r="G391" t="n">
        <v>13.1</v>
      </c>
      <c r="H391" t="n">
        <v>0</v>
      </c>
      <c r="I391" t="n">
        <v>0</v>
      </c>
      <c r="J391" t="n">
        <v>0</v>
      </c>
      <c r="K391" t="n">
        <v>0</v>
      </c>
      <c r="L391" t="n">
        <v>0</v>
      </c>
      <c r="M391" t="n">
        <v>0</v>
      </c>
      <c r="N391" t="n">
        <v>0</v>
      </c>
      <c r="O391" t="n">
        <v>0</v>
      </c>
      <c r="P391" t="n">
        <v>0</v>
      </c>
      <c r="Q391" t="n">
        <v>0</v>
      </c>
      <c r="R391" s="2" t="inlineStr"/>
    </row>
    <row r="392" ht="15" customHeight="1">
      <c r="A392" t="inlineStr">
        <is>
          <t>A 40549-2019</t>
        </is>
      </c>
      <c r="B392" s="1" t="n">
        <v>43696</v>
      </c>
      <c r="C392" s="1" t="n">
        <v>45841</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40487-2019</t>
        </is>
      </c>
      <c r="B393" s="1" t="n">
        <v>43696</v>
      </c>
      <c r="C393" s="1" t="n">
        <v>45841</v>
      </c>
      <c r="D393" t="inlineStr">
        <is>
          <t>VÄSTERNORRLANDS LÄN</t>
        </is>
      </c>
      <c r="E393" t="inlineStr">
        <is>
          <t>SUNDSVALL</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41895-2019</t>
        </is>
      </c>
      <c r="B394" s="1" t="n">
        <v>43697</v>
      </c>
      <c r="C394" s="1" t="n">
        <v>45841</v>
      </c>
      <c r="D394" t="inlineStr">
        <is>
          <t>VÄSTERNORRLANDS LÄN</t>
        </is>
      </c>
      <c r="E394" t="inlineStr">
        <is>
          <t>SUNDSVALL</t>
        </is>
      </c>
      <c r="F394" t="inlineStr">
        <is>
          <t>Kyrkan</t>
        </is>
      </c>
      <c r="G394" t="n">
        <v>6.8</v>
      </c>
      <c r="H394" t="n">
        <v>0</v>
      </c>
      <c r="I394" t="n">
        <v>0</v>
      </c>
      <c r="J394" t="n">
        <v>0</v>
      </c>
      <c r="K394" t="n">
        <v>0</v>
      </c>
      <c r="L394" t="n">
        <v>0</v>
      </c>
      <c r="M394" t="n">
        <v>0</v>
      </c>
      <c r="N394" t="n">
        <v>0</v>
      </c>
      <c r="O394" t="n">
        <v>0</v>
      </c>
      <c r="P394" t="n">
        <v>0</v>
      </c>
      <c r="Q394" t="n">
        <v>0</v>
      </c>
      <c r="R394" s="2" t="inlineStr"/>
    </row>
    <row r="395" ht="15" customHeight="1">
      <c r="A395" t="inlineStr">
        <is>
          <t>A 42217-2019</t>
        </is>
      </c>
      <c r="B395" s="1" t="n">
        <v>43699</v>
      </c>
      <c r="C395" s="1" t="n">
        <v>45841</v>
      </c>
      <c r="D395" t="inlineStr">
        <is>
          <t>VÄSTERNORRLANDS LÄN</t>
        </is>
      </c>
      <c r="E395" t="inlineStr">
        <is>
          <t>SUNDSVALL</t>
        </is>
      </c>
      <c r="G395" t="n">
        <v>10.7</v>
      </c>
      <c r="H395" t="n">
        <v>0</v>
      </c>
      <c r="I395" t="n">
        <v>0</v>
      </c>
      <c r="J395" t="n">
        <v>0</v>
      </c>
      <c r="K395" t="n">
        <v>0</v>
      </c>
      <c r="L395" t="n">
        <v>0</v>
      </c>
      <c r="M395" t="n">
        <v>0</v>
      </c>
      <c r="N395" t="n">
        <v>0</v>
      </c>
      <c r="O395" t="n">
        <v>0</v>
      </c>
      <c r="P395" t="n">
        <v>0</v>
      </c>
      <c r="Q395" t="n">
        <v>0</v>
      </c>
      <c r="R395" s="2" t="inlineStr"/>
    </row>
    <row r="396" ht="15" customHeight="1">
      <c r="A396" t="inlineStr">
        <is>
          <t>A 42361-2019</t>
        </is>
      </c>
      <c r="B396" s="1" t="n">
        <v>43703</v>
      </c>
      <c r="C396" s="1" t="n">
        <v>45841</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42305-2019</t>
        </is>
      </c>
      <c r="B397" s="1" t="n">
        <v>43703</v>
      </c>
      <c r="C397" s="1" t="n">
        <v>45841</v>
      </c>
      <c r="D397" t="inlineStr">
        <is>
          <t>VÄSTERNORRLANDS LÄN</t>
        </is>
      </c>
      <c r="E397" t="inlineStr">
        <is>
          <t>SUNDSVALL</t>
        </is>
      </c>
      <c r="G397" t="n">
        <v>3</v>
      </c>
      <c r="H397" t="n">
        <v>0</v>
      </c>
      <c r="I397" t="n">
        <v>0</v>
      </c>
      <c r="J397" t="n">
        <v>0</v>
      </c>
      <c r="K397" t="n">
        <v>0</v>
      </c>
      <c r="L397" t="n">
        <v>0</v>
      </c>
      <c r="M397" t="n">
        <v>0</v>
      </c>
      <c r="N397" t="n">
        <v>0</v>
      </c>
      <c r="O397" t="n">
        <v>0</v>
      </c>
      <c r="P397" t="n">
        <v>0</v>
      </c>
      <c r="Q397" t="n">
        <v>0</v>
      </c>
      <c r="R397" s="2" t="inlineStr"/>
    </row>
    <row r="398" ht="15" customHeight="1">
      <c r="A398" t="inlineStr">
        <is>
          <t>A 42375-2019</t>
        </is>
      </c>
      <c r="B398" s="1" t="n">
        <v>43703</v>
      </c>
      <c r="C398" s="1" t="n">
        <v>45841</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42372-2019</t>
        </is>
      </c>
      <c r="B399" s="1" t="n">
        <v>43703</v>
      </c>
      <c r="C399" s="1" t="n">
        <v>45841</v>
      </c>
      <c r="D399" t="inlineStr">
        <is>
          <t>VÄSTERNORRLANDS LÄN</t>
        </is>
      </c>
      <c r="E399" t="inlineStr">
        <is>
          <t>SUNDSVALL</t>
        </is>
      </c>
      <c r="G399" t="n">
        <v>3.4</v>
      </c>
      <c r="H399" t="n">
        <v>0</v>
      </c>
      <c r="I399" t="n">
        <v>0</v>
      </c>
      <c r="J399" t="n">
        <v>0</v>
      </c>
      <c r="K399" t="n">
        <v>0</v>
      </c>
      <c r="L399" t="n">
        <v>0</v>
      </c>
      <c r="M399" t="n">
        <v>0</v>
      </c>
      <c r="N399" t="n">
        <v>0</v>
      </c>
      <c r="O399" t="n">
        <v>0</v>
      </c>
      <c r="P399" t="n">
        <v>0</v>
      </c>
      <c r="Q399" t="n">
        <v>0</v>
      </c>
      <c r="R399" s="2" t="inlineStr"/>
    </row>
    <row r="400" ht="15" customHeight="1">
      <c r="A400" t="inlineStr">
        <is>
          <t>A 43193-2019</t>
        </is>
      </c>
      <c r="B400" s="1" t="n">
        <v>43705</v>
      </c>
      <c r="C400" s="1" t="n">
        <v>45841</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43880-2019</t>
        </is>
      </c>
      <c r="B401" s="1" t="n">
        <v>43707</v>
      </c>
      <c r="C401" s="1" t="n">
        <v>45841</v>
      </c>
      <c r="D401" t="inlineStr">
        <is>
          <t>VÄSTERNORRLANDS LÄN</t>
        </is>
      </c>
      <c r="E401" t="inlineStr">
        <is>
          <t>SUNDSVALL</t>
        </is>
      </c>
      <c r="G401" t="n">
        <v>2.9</v>
      </c>
      <c r="H401" t="n">
        <v>0</v>
      </c>
      <c r="I401" t="n">
        <v>0</v>
      </c>
      <c r="J401" t="n">
        <v>0</v>
      </c>
      <c r="K401" t="n">
        <v>0</v>
      </c>
      <c r="L401" t="n">
        <v>0</v>
      </c>
      <c r="M401" t="n">
        <v>0</v>
      </c>
      <c r="N401" t="n">
        <v>0</v>
      </c>
      <c r="O401" t="n">
        <v>0</v>
      </c>
      <c r="P401" t="n">
        <v>0</v>
      </c>
      <c r="Q401" t="n">
        <v>0</v>
      </c>
      <c r="R401" s="2" t="inlineStr"/>
    </row>
    <row r="402" ht="15" customHeight="1">
      <c r="A402" t="inlineStr">
        <is>
          <t>A 43796-2019</t>
        </is>
      </c>
      <c r="B402" s="1" t="n">
        <v>43707</v>
      </c>
      <c r="C402" s="1" t="n">
        <v>45841</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44321-2019</t>
        </is>
      </c>
      <c r="B403" s="1" t="n">
        <v>43710</v>
      </c>
      <c r="C403" s="1" t="n">
        <v>45841</v>
      </c>
      <c r="D403" t="inlineStr">
        <is>
          <t>VÄSTERNORRLANDS LÄN</t>
        </is>
      </c>
      <c r="E403" t="inlineStr">
        <is>
          <t>SUNDSVALL</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44325-2019</t>
        </is>
      </c>
      <c r="B404" s="1" t="n">
        <v>43710</v>
      </c>
      <c r="C404" s="1" t="n">
        <v>45841</v>
      </c>
      <c r="D404" t="inlineStr">
        <is>
          <t>VÄSTERNORRLANDS LÄN</t>
        </is>
      </c>
      <c r="E404" t="inlineStr">
        <is>
          <t>SUNDSVALL</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44416-2019</t>
        </is>
      </c>
      <c r="B405" s="1" t="n">
        <v>43711</v>
      </c>
      <c r="C405" s="1" t="n">
        <v>45841</v>
      </c>
      <c r="D405" t="inlineStr">
        <is>
          <t>VÄSTERNORRLANDS LÄN</t>
        </is>
      </c>
      <c r="E405" t="inlineStr">
        <is>
          <t>SUNDSVALL</t>
        </is>
      </c>
      <c r="G405" t="n">
        <v>7.8</v>
      </c>
      <c r="H405" t="n">
        <v>0</v>
      </c>
      <c r="I405" t="n">
        <v>0</v>
      </c>
      <c r="J405" t="n">
        <v>0</v>
      </c>
      <c r="K405" t="n">
        <v>0</v>
      </c>
      <c r="L405" t="n">
        <v>0</v>
      </c>
      <c r="M405" t="n">
        <v>0</v>
      </c>
      <c r="N405" t="n">
        <v>0</v>
      </c>
      <c r="O405" t="n">
        <v>0</v>
      </c>
      <c r="P405" t="n">
        <v>0</v>
      </c>
      <c r="Q405" t="n">
        <v>0</v>
      </c>
      <c r="R405" s="2" t="inlineStr"/>
      <c r="U405">
        <f>HYPERLINK("https://klasma.github.io/Logging_2281/knärot/A 44416-2019 karta knärot.png", "A 44416-2019")</f>
        <v/>
      </c>
      <c r="V405">
        <f>HYPERLINK("https://klasma.github.io/Logging_2281/klagomål/A 44416-2019 FSC-klagomål.docx", "A 44416-2019")</f>
        <v/>
      </c>
      <c r="W405">
        <f>HYPERLINK("https://klasma.github.io/Logging_2281/klagomålsmail/A 44416-2019 FSC-klagomål mail.docx", "A 44416-2019")</f>
        <v/>
      </c>
      <c r="X405">
        <f>HYPERLINK("https://klasma.github.io/Logging_2281/tillsyn/A 44416-2019 tillsynsbegäran.docx", "A 44416-2019")</f>
        <v/>
      </c>
      <c r="Y405">
        <f>HYPERLINK("https://klasma.github.io/Logging_2281/tillsynsmail/A 44416-2019 tillsynsbegäran mail.docx", "A 44416-2019")</f>
        <v/>
      </c>
    </row>
    <row r="406" ht="15" customHeight="1">
      <c r="A406" t="inlineStr">
        <is>
          <t>A 44608-2019</t>
        </is>
      </c>
      <c r="B406" s="1" t="n">
        <v>43711</v>
      </c>
      <c r="C406" s="1" t="n">
        <v>45841</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44610-2019</t>
        </is>
      </c>
      <c r="B407" s="1" t="n">
        <v>43711</v>
      </c>
      <c r="C407" s="1" t="n">
        <v>45841</v>
      </c>
      <c r="D407" t="inlineStr">
        <is>
          <t>VÄSTERNORRLANDS LÄN</t>
        </is>
      </c>
      <c r="E407" t="inlineStr">
        <is>
          <t>SUNDSVALL</t>
        </is>
      </c>
      <c r="G407" t="n">
        <v>1.3</v>
      </c>
      <c r="H407" t="n">
        <v>0</v>
      </c>
      <c r="I407" t="n">
        <v>0</v>
      </c>
      <c r="J407" t="n">
        <v>0</v>
      </c>
      <c r="K407" t="n">
        <v>0</v>
      </c>
      <c r="L407" t="n">
        <v>0</v>
      </c>
      <c r="M407" t="n">
        <v>0</v>
      </c>
      <c r="N407" t="n">
        <v>0</v>
      </c>
      <c r="O407" t="n">
        <v>0</v>
      </c>
      <c r="P407" t="n">
        <v>0</v>
      </c>
      <c r="Q407" t="n">
        <v>0</v>
      </c>
      <c r="R407" s="2" t="inlineStr"/>
    </row>
    <row r="408" ht="15" customHeight="1">
      <c r="A408" t="inlineStr">
        <is>
          <t>A 45960-2019</t>
        </is>
      </c>
      <c r="B408" s="1" t="n">
        <v>43712</v>
      </c>
      <c r="C408" s="1" t="n">
        <v>45841</v>
      </c>
      <c r="D408" t="inlineStr">
        <is>
          <t>VÄSTERNORRLANDS LÄN</t>
        </is>
      </c>
      <c r="E408" t="inlineStr">
        <is>
          <t>SUNDSVALL</t>
        </is>
      </c>
      <c r="F408" t="inlineStr">
        <is>
          <t>Kyrkan</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45964-2019</t>
        </is>
      </c>
      <c r="B409" s="1" t="n">
        <v>43712</v>
      </c>
      <c r="C409" s="1" t="n">
        <v>45841</v>
      </c>
      <c r="D409" t="inlineStr">
        <is>
          <t>VÄSTERNORRLANDS LÄN</t>
        </is>
      </c>
      <c r="E409" t="inlineStr">
        <is>
          <t>SUNDSVALL</t>
        </is>
      </c>
      <c r="F409" t="inlineStr">
        <is>
          <t>Kyrkan</t>
        </is>
      </c>
      <c r="G409" t="n">
        <v>1.9</v>
      </c>
      <c r="H409" t="n">
        <v>0</v>
      </c>
      <c r="I409" t="n">
        <v>0</v>
      </c>
      <c r="J409" t="n">
        <v>0</v>
      </c>
      <c r="K409" t="n">
        <v>0</v>
      </c>
      <c r="L409" t="n">
        <v>0</v>
      </c>
      <c r="M409" t="n">
        <v>0</v>
      </c>
      <c r="N409" t="n">
        <v>0</v>
      </c>
      <c r="O409" t="n">
        <v>0</v>
      </c>
      <c r="P409" t="n">
        <v>0</v>
      </c>
      <c r="Q409" t="n">
        <v>0</v>
      </c>
      <c r="R409" s="2" t="inlineStr"/>
    </row>
    <row r="410" ht="15" customHeight="1">
      <c r="A410" t="inlineStr">
        <is>
          <t>A 44967-2019</t>
        </is>
      </c>
      <c r="B410" s="1" t="n">
        <v>43713</v>
      </c>
      <c r="C410" s="1" t="n">
        <v>45841</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44971-2019</t>
        </is>
      </c>
      <c r="B411" s="1" t="n">
        <v>43713</v>
      </c>
      <c r="C411" s="1" t="n">
        <v>45841</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44922-2019</t>
        </is>
      </c>
      <c r="B412" s="1" t="n">
        <v>43713</v>
      </c>
      <c r="C412" s="1" t="n">
        <v>45841</v>
      </c>
      <c r="D412" t="inlineStr">
        <is>
          <t>VÄSTERNORRLANDS LÄN</t>
        </is>
      </c>
      <c r="E412" t="inlineStr">
        <is>
          <t>SUNDSVALL</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47076-2019</t>
        </is>
      </c>
      <c r="B413" s="1" t="n">
        <v>43720</v>
      </c>
      <c r="C413" s="1" t="n">
        <v>45841</v>
      </c>
      <c r="D413" t="inlineStr">
        <is>
          <t>VÄSTERNORRLANDS LÄN</t>
        </is>
      </c>
      <c r="E413" t="inlineStr">
        <is>
          <t>SUNDSVALL</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47807-2019</t>
        </is>
      </c>
      <c r="B414" s="1" t="n">
        <v>43724</v>
      </c>
      <c r="C414" s="1" t="n">
        <v>45841</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47809-2019</t>
        </is>
      </c>
      <c r="B415" s="1" t="n">
        <v>43724</v>
      </c>
      <c r="C415" s="1" t="n">
        <v>45841</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48715-2019</t>
        </is>
      </c>
      <c r="B416" s="1" t="n">
        <v>43727</v>
      </c>
      <c r="C416" s="1" t="n">
        <v>45841</v>
      </c>
      <c r="D416" t="inlineStr">
        <is>
          <t>VÄSTERNORRLANDS LÄN</t>
        </is>
      </c>
      <c r="E416" t="inlineStr">
        <is>
          <t>SUNDSVALL</t>
        </is>
      </c>
      <c r="F416" t="inlineStr">
        <is>
          <t>SCA</t>
        </is>
      </c>
      <c r="G416" t="n">
        <v>76.40000000000001</v>
      </c>
      <c r="H416" t="n">
        <v>0</v>
      </c>
      <c r="I416" t="n">
        <v>0</v>
      </c>
      <c r="J416" t="n">
        <v>0</v>
      </c>
      <c r="K416" t="n">
        <v>0</v>
      </c>
      <c r="L416" t="n">
        <v>0</v>
      </c>
      <c r="M416" t="n">
        <v>0</v>
      </c>
      <c r="N416" t="n">
        <v>0</v>
      </c>
      <c r="O416" t="n">
        <v>0</v>
      </c>
      <c r="P416" t="n">
        <v>0</v>
      </c>
      <c r="Q416" t="n">
        <v>0</v>
      </c>
      <c r="R416" s="2" t="inlineStr"/>
    </row>
    <row r="417" ht="15" customHeight="1">
      <c r="A417" t="inlineStr">
        <is>
          <t>A 49676-2019</t>
        </is>
      </c>
      <c r="B417" s="1" t="n">
        <v>43732</v>
      </c>
      <c r="C417" s="1" t="n">
        <v>45841</v>
      </c>
      <c r="D417" t="inlineStr">
        <is>
          <t>VÄSTERNORRLANDS LÄN</t>
        </is>
      </c>
      <c r="E417" t="inlineStr">
        <is>
          <t>SUNDSVALL</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49978-2019</t>
        </is>
      </c>
      <c r="B418" s="1" t="n">
        <v>43733</v>
      </c>
      <c r="C418" s="1" t="n">
        <v>45841</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49990-2019</t>
        </is>
      </c>
      <c r="B419" s="1" t="n">
        <v>43733</v>
      </c>
      <c r="C419" s="1" t="n">
        <v>45841</v>
      </c>
      <c r="D419" t="inlineStr">
        <is>
          <t>VÄSTERNORRLANDS LÄN</t>
        </is>
      </c>
      <c r="E419" t="inlineStr">
        <is>
          <t>SUNDSVALL</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49984-2019</t>
        </is>
      </c>
      <c r="B420" s="1" t="n">
        <v>43733</v>
      </c>
      <c r="C420" s="1" t="n">
        <v>45841</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50118-2019</t>
        </is>
      </c>
      <c r="B421" s="1" t="n">
        <v>43734</v>
      </c>
      <c r="C421" s="1" t="n">
        <v>45841</v>
      </c>
      <c r="D421" t="inlineStr">
        <is>
          <t>VÄSTERNORRLANDS LÄN</t>
        </is>
      </c>
      <c r="E421" t="inlineStr">
        <is>
          <t>SUNDSVALL</t>
        </is>
      </c>
      <c r="G421" t="n">
        <v>1.4</v>
      </c>
      <c r="H421" t="n">
        <v>0</v>
      </c>
      <c r="I421" t="n">
        <v>0</v>
      </c>
      <c r="J421" t="n">
        <v>0</v>
      </c>
      <c r="K421" t="n">
        <v>0</v>
      </c>
      <c r="L421" t="n">
        <v>0</v>
      </c>
      <c r="M421" t="n">
        <v>0</v>
      </c>
      <c r="N421" t="n">
        <v>0</v>
      </c>
      <c r="O421" t="n">
        <v>0</v>
      </c>
      <c r="P421" t="n">
        <v>0</v>
      </c>
      <c r="Q421" t="n">
        <v>0</v>
      </c>
      <c r="R421" s="2" t="inlineStr"/>
    </row>
    <row r="422" ht="15" customHeight="1">
      <c r="A422" t="inlineStr">
        <is>
          <t>A 50530-2019</t>
        </is>
      </c>
      <c r="B422" s="1" t="n">
        <v>43735</v>
      </c>
      <c r="C422" s="1" t="n">
        <v>45841</v>
      </c>
      <c r="D422" t="inlineStr">
        <is>
          <t>VÄSTERNORRLANDS LÄN</t>
        </is>
      </c>
      <c r="E422" t="inlineStr">
        <is>
          <t>SUNDSVALL</t>
        </is>
      </c>
      <c r="G422" t="n">
        <v>3</v>
      </c>
      <c r="H422" t="n">
        <v>0</v>
      </c>
      <c r="I422" t="n">
        <v>0</v>
      </c>
      <c r="J422" t="n">
        <v>0</v>
      </c>
      <c r="K422" t="n">
        <v>0</v>
      </c>
      <c r="L422" t="n">
        <v>0</v>
      </c>
      <c r="M422" t="n">
        <v>0</v>
      </c>
      <c r="N422" t="n">
        <v>0</v>
      </c>
      <c r="O422" t="n">
        <v>0</v>
      </c>
      <c r="P422" t="n">
        <v>0</v>
      </c>
      <c r="Q422" t="n">
        <v>0</v>
      </c>
      <c r="R422" s="2" t="inlineStr"/>
    </row>
    <row r="423" ht="15" customHeight="1">
      <c r="A423" t="inlineStr">
        <is>
          <t>A 50605-2019</t>
        </is>
      </c>
      <c r="B423" s="1" t="n">
        <v>43735</v>
      </c>
      <c r="C423" s="1" t="n">
        <v>45841</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50965-2019</t>
        </is>
      </c>
      <c r="B424" s="1" t="n">
        <v>43738</v>
      </c>
      <c r="C424" s="1" t="n">
        <v>45841</v>
      </c>
      <c r="D424" t="inlineStr">
        <is>
          <t>VÄSTERNORRLANDS LÄN</t>
        </is>
      </c>
      <c r="E424" t="inlineStr">
        <is>
          <t>SUNDSVALL</t>
        </is>
      </c>
      <c r="G424" t="n">
        <v>7.8</v>
      </c>
      <c r="H424" t="n">
        <v>0</v>
      </c>
      <c r="I424" t="n">
        <v>0</v>
      </c>
      <c r="J424" t="n">
        <v>0</v>
      </c>
      <c r="K424" t="n">
        <v>0</v>
      </c>
      <c r="L424" t="n">
        <v>0</v>
      </c>
      <c r="M424" t="n">
        <v>0</v>
      </c>
      <c r="N424" t="n">
        <v>0</v>
      </c>
      <c r="O424" t="n">
        <v>0</v>
      </c>
      <c r="P424" t="n">
        <v>0</v>
      </c>
      <c r="Q424" t="n">
        <v>0</v>
      </c>
      <c r="R424" s="2" t="inlineStr"/>
    </row>
    <row r="425" ht="15" customHeight="1">
      <c r="A425" t="inlineStr">
        <is>
          <t>A 50992-2019</t>
        </is>
      </c>
      <c r="B425" s="1" t="n">
        <v>43738</v>
      </c>
      <c r="C425" s="1" t="n">
        <v>45841</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51072-2019</t>
        </is>
      </c>
      <c r="B426" s="1" t="n">
        <v>43738</v>
      </c>
      <c r="C426" s="1" t="n">
        <v>45841</v>
      </c>
      <c r="D426" t="inlineStr">
        <is>
          <t>VÄSTERNORRLANDS LÄN</t>
        </is>
      </c>
      <c r="E426" t="inlineStr">
        <is>
          <t>SUNDSVALL</t>
        </is>
      </c>
      <c r="F426" t="inlineStr">
        <is>
          <t>Kommuner</t>
        </is>
      </c>
      <c r="G426" t="n">
        <v>1.3</v>
      </c>
      <c r="H426" t="n">
        <v>0</v>
      </c>
      <c r="I426" t="n">
        <v>0</v>
      </c>
      <c r="J426" t="n">
        <v>0</v>
      </c>
      <c r="K426" t="n">
        <v>0</v>
      </c>
      <c r="L426" t="n">
        <v>0</v>
      </c>
      <c r="M426" t="n">
        <v>0</v>
      </c>
      <c r="N426" t="n">
        <v>0</v>
      </c>
      <c r="O426" t="n">
        <v>0</v>
      </c>
      <c r="P426" t="n">
        <v>0</v>
      </c>
      <c r="Q426" t="n">
        <v>0</v>
      </c>
      <c r="R426" s="2" t="inlineStr"/>
    </row>
    <row r="427" ht="15" customHeight="1">
      <c r="A427" t="inlineStr">
        <is>
          <t>A 51685-2019</t>
        </is>
      </c>
      <c r="B427" s="1" t="n">
        <v>43740</v>
      </c>
      <c r="C427" s="1" t="n">
        <v>45841</v>
      </c>
      <c r="D427" t="inlineStr">
        <is>
          <t>VÄSTERNORRLANDS LÄN</t>
        </is>
      </c>
      <c r="E427" t="inlineStr">
        <is>
          <t>SUNDSVALL</t>
        </is>
      </c>
      <c r="G427" t="n">
        <v>8.6</v>
      </c>
      <c r="H427" t="n">
        <v>0</v>
      </c>
      <c r="I427" t="n">
        <v>0</v>
      </c>
      <c r="J427" t="n">
        <v>0</v>
      </c>
      <c r="K427" t="n">
        <v>0</v>
      </c>
      <c r="L427" t="n">
        <v>0</v>
      </c>
      <c r="M427" t="n">
        <v>0</v>
      </c>
      <c r="N427" t="n">
        <v>0</v>
      </c>
      <c r="O427" t="n">
        <v>0</v>
      </c>
      <c r="P427" t="n">
        <v>0</v>
      </c>
      <c r="Q427" t="n">
        <v>0</v>
      </c>
      <c r="R427" s="2" t="inlineStr"/>
    </row>
    <row r="428" ht="15" customHeight="1">
      <c r="A428" t="inlineStr">
        <is>
          <t>A 52576-2019</t>
        </is>
      </c>
      <c r="B428" s="1" t="n">
        <v>43745</v>
      </c>
      <c r="C428" s="1" t="n">
        <v>45841</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53087-2019</t>
        </is>
      </c>
      <c r="B429" s="1" t="n">
        <v>43747</v>
      </c>
      <c r="C429" s="1" t="n">
        <v>45841</v>
      </c>
      <c r="D429" t="inlineStr">
        <is>
          <t>VÄSTERNORRLANDS LÄN</t>
        </is>
      </c>
      <c r="E429" t="inlineStr">
        <is>
          <t>SUNDSVALL</t>
        </is>
      </c>
      <c r="G429" t="n">
        <v>2.6</v>
      </c>
      <c r="H429" t="n">
        <v>0</v>
      </c>
      <c r="I429" t="n">
        <v>0</v>
      </c>
      <c r="J429" t="n">
        <v>0</v>
      </c>
      <c r="K429" t="n">
        <v>0</v>
      </c>
      <c r="L429" t="n">
        <v>0</v>
      </c>
      <c r="M429" t="n">
        <v>0</v>
      </c>
      <c r="N429" t="n">
        <v>0</v>
      </c>
      <c r="O429" t="n">
        <v>0</v>
      </c>
      <c r="P429" t="n">
        <v>0</v>
      </c>
      <c r="Q429" t="n">
        <v>0</v>
      </c>
      <c r="R429" s="2" t="inlineStr"/>
    </row>
    <row r="430" ht="15" customHeight="1">
      <c r="A430" t="inlineStr">
        <is>
          <t>A 52952-2019</t>
        </is>
      </c>
      <c r="B430" s="1" t="n">
        <v>43747</v>
      </c>
      <c r="C430" s="1" t="n">
        <v>45841</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54030-2019</t>
        </is>
      </c>
      <c r="B431" s="1" t="n">
        <v>43752</v>
      </c>
      <c r="C431" s="1" t="n">
        <v>45841</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55268-2019</t>
        </is>
      </c>
      <c r="B432" s="1" t="n">
        <v>43753</v>
      </c>
      <c r="C432" s="1" t="n">
        <v>45841</v>
      </c>
      <c r="D432" t="inlineStr">
        <is>
          <t>VÄSTERNORRLANDS LÄN</t>
        </is>
      </c>
      <c r="E432" t="inlineStr">
        <is>
          <t>SUNDSVALL</t>
        </is>
      </c>
      <c r="G432" t="n">
        <v>6.2</v>
      </c>
      <c r="H432" t="n">
        <v>0</v>
      </c>
      <c r="I432" t="n">
        <v>0</v>
      </c>
      <c r="J432" t="n">
        <v>0</v>
      </c>
      <c r="K432" t="n">
        <v>0</v>
      </c>
      <c r="L432" t="n">
        <v>0</v>
      </c>
      <c r="M432" t="n">
        <v>0</v>
      </c>
      <c r="N432" t="n">
        <v>0</v>
      </c>
      <c r="O432" t="n">
        <v>0</v>
      </c>
      <c r="P432" t="n">
        <v>0</v>
      </c>
      <c r="Q432" t="n">
        <v>0</v>
      </c>
      <c r="R432" s="2" t="inlineStr"/>
    </row>
    <row r="433" ht="15" customHeight="1">
      <c r="A433" t="inlineStr">
        <is>
          <t>A 55420-2019</t>
        </is>
      </c>
      <c r="B433" s="1" t="n">
        <v>43758</v>
      </c>
      <c r="C433" s="1" t="n">
        <v>45841</v>
      </c>
      <c r="D433" t="inlineStr">
        <is>
          <t>VÄSTERNORRLANDS LÄN</t>
        </is>
      </c>
      <c r="E433" t="inlineStr">
        <is>
          <t>SUNDSVALL</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56751-2019</t>
        </is>
      </c>
      <c r="B434" s="1" t="n">
        <v>43759</v>
      </c>
      <c r="C434" s="1" t="n">
        <v>45841</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56701-2019</t>
        </is>
      </c>
      <c r="B435" s="1" t="n">
        <v>43759</v>
      </c>
      <c r="C435" s="1" t="n">
        <v>45841</v>
      </c>
      <c r="D435" t="inlineStr">
        <is>
          <t>VÄSTERNORRLANDS LÄN</t>
        </is>
      </c>
      <c r="E435" t="inlineStr">
        <is>
          <t>SUNDSVALL</t>
        </is>
      </c>
      <c r="G435" t="n">
        <v>1.7</v>
      </c>
      <c r="H435" t="n">
        <v>0</v>
      </c>
      <c r="I435" t="n">
        <v>0</v>
      </c>
      <c r="J435" t="n">
        <v>0</v>
      </c>
      <c r="K435" t="n">
        <v>0</v>
      </c>
      <c r="L435" t="n">
        <v>0</v>
      </c>
      <c r="M435" t="n">
        <v>0</v>
      </c>
      <c r="N435" t="n">
        <v>0</v>
      </c>
      <c r="O435" t="n">
        <v>0</v>
      </c>
      <c r="P435" t="n">
        <v>0</v>
      </c>
      <c r="Q435" t="n">
        <v>0</v>
      </c>
      <c r="R435" s="2" t="inlineStr"/>
    </row>
    <row r="436" ht="15" customHeight="1">
      <c r="A436" t="inlineStr">
        <is>
          <t>A 55600-2019</t>
        </is>
      </c>
      <c r="B436" s="1" t="n">
        <v>43760</v>
      </c>
      <c r="C436" s="1" t="n">
        <v>45841</v>
      </c>
      <c r="D436" t="inlineStr">
        <is>
          <t>VÄSTERNORRLANDS LÄN</t>
        </is>
      </c>
      <c r="E436" t="inlineStr">
        <is>
          <t>SUNDSVALL</t>
        </is>
      </c>
      <c r="G436" t="n">
        <v>13.4</v>
      </c>
      <c r="H436" t="n">
        <v>0</v>
      </c>
      <c r="I436" t="n">
        <v>0</v>
      </c>
      <c r="J436" t="n">
        <v>0</v>
      </c>
      <c r="K436" t="n">
        <v>0</v>
      </c>
      <c r="L436" t="n">
        <v>0</v>
      </c>
      <c r="M436" t="n">
        <v>0</v>
      </c>
      <c r="N436" t="n">
        <v>0</v>
      </c>
      <c r="O436" t="n">
        <v>0</v>
      </c>
      <c r="P436" t="n">
        <v>0</v>
      </c>
      <c r="Q436" t="n">
        <v>0</v>
      </c>
      <c r="R436" s="2" t="inlineStr"/>
    </row>
    <row r="437" ht="15" customHeight="1">
      <c r="A437" t="inlineStr">
        <is>
          <t>A 55603-2019</t>
        </is>
      </c>
      <c r="B437" s="1" t="n">
        <v>43760</v>
      </c>
      <c r="C437" s="1" t="n">
        <v>45841</v>
      </c>
      <c r="D437" t="inlineStr">
        <is>
          <t>VÄSTERNORRLANDS LÄN</t>
        </is>
      </c>
      <c r="E437" t="inlineStr">
        <is>
          <t>SUNDSVALL</t>
        </is>
      </c>
      <c r="G437" t="n">
        <v>13.1</v>
      </c>
      <c r="H437" t="n">
        <v>0</v>
      </c>
      <c r="I437" t="n">
        <v>0</v>
      </c>
      <c r="J437" t="n">
        <v>0</v>
      </c>
      <c r="K437" t="n">
        <v>0</v>
      </c>
      <c r="L437" t="n">
        <v>0</v>
      </c>
      <c r="M437" t="n">
        <v>0</v>
      </c>
      <c r="N437" t="n">
        <v>0</v>
      </c>
      <c r="O437" t="n">
        <v>0</v>
      </c>
      <c r="P437" t="n">
        <v>0</v>
      </c>
      <c r="Q437" t="n">
        <v>0</v>
      </c>
      <c r="R437" s="2" t="inlineStr"/>
    </row>
    <row r="438" ht="15" customHeight="1">
      <c r="A438" t="inlineStr">
        <is>
          <t>A 56016-2019</t>
        </is>
      </c>
      <c r="B438" s="1" t="n">
        <v>43761</v>
      </c>
      <c r="C438" s="1" t="n">
        <v>45841</v>
      </c>
      <c r="D438" t="inlineStr">
        <is>
          <t>VÄSTERNORRLANDS LÄN</t>
        </is>
      </c>
      <c r="E438" t="inlineStr">
        <is>
          <t>SUNDSVALL</t>
        </is>
      </c>
      <c r="G438" t="n">
        <v>7.4</v>
      </c>
      <c r="H438" t="n">
        <v>0</v>
      </c>
      <c r="I438" t="n">
        <v>0</v>
      </c>
      <c r="J438" t="n">
        <v>0</v>
      </c>
      <c r="K438" t="n">
        <v>0</v>
      </c>
      <c r="L438" t="n">
        <v>0</v>
      </c>
      <c r="M438" t="n">
        <v>0</v>
      </c>
      <c r="N438" t="n">
        <v>0</v>
      </c>
      <c r="O438" t="n">
        <v>0</v>
      </c>
      <c r="P438" t="n">
        <v>0</v>
      </c>
      <c r="Q438" t="n">
        <v>0</v>
      </c>
      <c r="R438" s="2" t="inlineStr"/>
    </row>
    <row r="439" ht="15" customHeight="1">
      <c r="A439" t="inlineStr">
        <is>
          <t>A 56071-2019</t>
        </is>
      </c>
      <c r="B439" s="1" t="n">
        <v>43761</v>
      </c>
      <c r="C439" s="1" t="n">
        <v>45841</v>
      </c>
      <c r="D439" t="inlineStr">
        <is>
          <t>VÄSTERNORRLANDS LÄN</t>
        </is>
      </c>
      <c r="E439" t="inlineStr">
        <is>
          <t>SUNDSVALL</t>
        </is>
      </c>
      <c r="G439" t="n">
        <v>12.1</v>
      </c>
      <c r="H439" t="n">
        <v>0</v>
      </c>
      <c r="I439" t="n">
        <v>0</v>
      </c>
      <c r="J439" t="n">
        <v>0</v>
      </c>
      <c r="K439" t="n">
        <v>0</v>
      </c>
      <c r="L439" t="n">
        <v>0</v>
      </c>
      <c r="M439" t="n">
        <v>0</v>
      </c>
      <c r="N439" t="n">
        <v>0</v>
      </c>
      <c r="O439" t="n">
        <v>0</v>
      </c>
      <c r="P439" t="n">
        <v>0</v>
      </c>
      <c r="Q439" t="n">
        <v>0</v>
      </c>
      <c r="R439" s="2" t="inlineStr"/>
    </row>
    <row r="440" ht="15" customHeight="1">
      <c r="A440" t="inlineStr">
        <is>
          <t>A 56180-2019</t>
        </is>
      </c>
      <c r="B440" s="1" t="n">
        <v>43761</v>
      </c>
      <c r="C440" s="1" t="n">
        <v>45841</v>
      </c>
      <c r="D440" t="inlineStr">
        <is>
          <t>VÄSTERNORRLANDS LÄN</t>
        </is>
      </c>
      <c r="E440" t="inlineStr">
        <is>
          <t>SUNDSVALL</t>
        </is>
      </c>
      <c r="G440" t="n">
        <v>2.8</v>
      </c>
      <c r="H440" t="n">
        <v>0</v>
      </c>
      <c r="I440" t="n">
        <v>0</v>
      </c>
      <c r="J440" t="n">
        <v>0</v>
      </c>
      <c r="K440" t="n">
        <v>0</v>
      </c>
      <c r="L440" t="n">
        <v>0</v>
      </c>
      <c r="M440" t="n">
        <v>0</v>
      </c>
      <c r="N440" t="n">
        <v>0</v>
      </c>
      <c r="O440" t="n">
        <v>0</v>
      </c>
      <c r="P440" t="n">
        <v>0</v>
      </c>
      <c r="Q440" t="n">
        <v>0</v>
      </c>
      <c r="R440" s="2" t="inlineStr"/>
    </row>
    <row r="441" ht="15" customHeight="1">
      <c r="A441" t="inlineStr">
        <is>
          <t>A 56185-2019</t>
        </is>
      </c>
      <c r="B441" s="1" t="n">
        <v>43761</v>
      </c>
      <c r="C441" s="1" t="n">
        <v>45841</v>
      </c>
      <c r="D441" t="inlineStr">
        <is>
          <t>VÄSTERNORRLANDS LÄN</t>
        </is>
      </c>
      <c r="E441" t="inlineStr">
        <is>
          <t>SUNDSVALL</t>
        </is>
      </c>
      <c r="G441" t="n">
        <v>5</v>
      </c>
      <c r="H441" t="n">
        <v>0</v>
      </c>
      <c r="I441" t="n">
        <v>0</v>
      </c>
      <c r="J441" t="n">
        <v>0</v>
      </c>
      <c r="K441" t="n">
        <v>0</v>
      </c>
      <c r="L441" t="n">
        <v>0</v>
      </c>
      <c r="M441" t="n">
        <v>0</v>
      </c>
      <c r="N441" t="n">
        <v>0</v>
      </c>
      <c r="O441" t="n">
        <v>0</v>
      </c>
      <c r="P441" t="n">
        <v>0</v>
      </c>
      <c r="Q441" t="n">
        <v>0</v>
      </c>
      <c r="R441" s="2" t="inlineStr"/>
    </row>
    <row r="442" ht="15" customHeight="1">
      <c r="A442" t="inlineStr">
        <is>
          <t>A 56024-2019</t>
        </is>
      </c>
      <c r="B442" s="1" t="n">
        <v>43761</v>
      </c>
      <c r="C442" s="1" t="n">
        <v>45841</v>
      </c>
      <c r="D442" t="inlineStr">
        <is>
          <t>VÄSTERNORRLANDS LÄN</t>
        </is>
      </c>
      <c r="E442" t="inlineStr">
        <is>
          <t>SUNDSVALL</t>
        </is>
      </c>
      <c r="G442" t="n">
        <v>7.6</v>
      </c>
      <c r="H442" t="n">
        <v>0</v>
      </c>
      <c r="I442" t="n">
        <v>0</v>
      </c>
      <c r="J442" t="n">
        <v>0</v>
      </c>
      <c r="K442" t="n">
        <v>0</v>
      </c>
      <c r="L442" t="n">
        <v>0</v>
      </c>
      <c r="M442" t="n">
        <v>0</v>
      </c>
      <c r="N442" t="n">
        <v>0</v>
      </c>
      <c r="O442" t="n">
        <v>0</v>
      </c>
      <c r="P442" t="n">
        <v>0</v>
      </c>
      <c r="Q442" t="n">
        <v>0</v>
      </c>
      <c r="R442" s="2" t="inlineStr"/>
    </row>
    <row r="443" ht="15" customHeight="1">
      <c r="A443" t="inlineStr">
        <is>
          <t>A 56274-2019</t>
        </is>
      </c>
      <c r="B443" s="1" t="n">
        <v>43762</v>
      </c>
      <c r="C443" s="1" t="n">
        <v>45841</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57797-2019</t>
        </is>
      </c>
      <c r="B444" s="1" t="n">
        <v>43762</v>
      </c>
      <c r="C444" s="1" t="n">
        <v>45841</v>
      </c>
      <c r="D444" t="inlineStr">
        <is>
          <t>VÄSTERNORRLANDS LÄN</t>
        </is>
      </c>
      <c r="E444" t="inlineStr">
        <is>
          <t>SUNDSVALL</t>
        </is>
      </c>
      <c r="G444" t="n">
        <v>2</v>
      </c>
      <c r="H444" t="n">
        <v>0</v>
      </c>
      <c r="I444" t="n">
        <v>0</v>
      </c>
      <c r="J444" t="n">
        <v>0</v>
      </c>
      <c r="K444" t="n">
        <v>0</v>
      </c>
      <c r="L444" t="n">
        <v>0</v>
      </c>
      <c r="M444" t="n">
        <v>0</v>
      </c>
      <c r="N444" t="n">
        <v>0</v>
      </c>
      <c r="O444" t="n">
        <v>0</v>
      </c>
      <c r="P444" t="n">
        <v>0</v>
      </c>
      <c r="Q444" t="n">
        <v>0</v>
      </c>
      <c r="R444" s="2" t="inlineStr"/>
    </row>
    <row r="445" ht="15" customHeight="1">
      <c r="A445" t="inlineStr">
        <is>
          <t>A 57758-2019</t>
        </is>
      </c>
      <c r="B445" s="1" t="n">
        <v>43762</v>
      </c>
      <c r="C445" s="1" t="n">
        <v>45841</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56534-2019</t>
        </is>
      </c>
      <c r="B446" s="1" t="n">
        <v>43763</v>
      </c>
      <c r="C446" s="1" t="n">
        <v>45841</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57177-2019</t>
        </is>
      </c>
      <c r="B447" s="1" t="n">
        <v>43766</v>
      </c>
      <c r="C447" s="1" t="n">
        <v>45841</v>
      </c>
      <c r="D447" t="inlineStr">
        <is>
          <t>VÄSTERNORRLANDS LÄN</t>
        </is>
      </c>
      <c r="E447" t="inlineStr">
        <is>
          <t>SUNDSVALL</t>
        </is>
      </c>
      <c r="G447" t="n">
        <v>2.2</v>
      </c>
      <c r="H447" t="n">
        <v>0</v>
      </c>
      <c r="I447" t="n">
        <v>0</v>
      </c>
      <c r="J447" t="n">
        <v>0</v>
      </c>
      <c r="K447" t="n">
        <v>0</v>
      </c>
      <c r="L447" t="n">
        <v>0</v>
      </c>
      <c r="M447" t="n">
        <v>0</v>
      </c>
      <c r="N447" t="n">
        <v>0</v>
      </c>
      <c r="O447" t="n">
        <v>0</v>
      </c>
      <c r="P447" t="n">
        <v>0</v>
      </c>
      <c r="Q447" t="n">
        <v>0</v>
      </c>
      <c r="R447" s="2" t="inlineStr"/>
    </row>
    <row r="448" ht="15" customHeight="1">
      <c r="A448" t="inlineStr">
        <is>
          <t>A 57175-2019</t>
        </is>
      </c>
      <c r="B448" s="1" t="n">
        <v>43766</v>
      </c>
      <c r="C448" s="1" t="n">
        <v>45841</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57180-2019</t>
        </is>
      </c>
      <c r="B449" s="1" t="n">
        <v>43766</v>
      </c>
      <c r="C449" s="1" t="n">
        <v>45841</v>
      </c>
      <c r="D449" t="inlineStr">
        <is>
          <t>VÄSTERNORRLANDS LÄN</t>
        </is>
      </c>
      <c r="E449" t="inlineStr">
        <is>
          <t>SUNDSVALL</t>
        </is>
      </c>
      <c r="G449" t="n">
        <v>3.4</v>
      </c>
      <c r="H449" t="n">
        <v>0</v>
      </c>
      <c r="I449" t="n">
        <v>0</v>
      </c>
      <c r="J449" t="n">
        <v>0</v>
      </c>
      <c r="K449" t="n">
        <v>0</v>
      </c>
      <c r="L449" t="n">
        <v>0</v>
      </c>
      <c r="M449" t="n">
        <v>0</v>
      </c>
      <c r="N449" t="n">
        <v>0</v>
      </c>
      <c r="O449" t="n">
        <v>0</v>
      </c>
      <c r="P449" t="n">
        <v>0</v>
      </c>
      <c r="Q449" t="n">
        <v>0</v>
      </c>
      <c r="R449" s="2" t="inlineStr"/>
    </row>
    <row r="450" ht="15" customHeight="1">
      <c r="A450" t="inlineStr">
        <is>
          <t>A 57866-2019</t>
        </is>
      </c>
      <c r="B450" s="1" t="n">
        <v>43768</v>
      </c>
      <c r="C450" s="1" t="n">
        <v>45841</v>
      </c>
      <c r="D450" t="inlineStr">
        <is>
          <t>VÄSTERNORRLANDS LÄN</t>
        </is>
      </c>
      <c r="E450" t="inlineStr">
        <is>
          <t>SUNDSVALL</t>
        </is>
      </c>
      <c r="G450" t="n">
        <v>3.3</v>
      </c>
      <c r="H450" t="n">
        <v>0</v>
      </c>
      <c r="I450" t="n">
        <v>0</v>
      </c>
      <c r="J450" t="n">
        <v>0</v>
      </c>
      <c r="K450" t="n">
        <v>0</v>
      </c>
      <c r="L450" t="n">
        <v>0</v>
      </c>
      <c r="M450" t="n">
        <v>0</v>
      </c>
      <c r="N450" t="n">
        <v>0</v>
      </c>
      <c r="O450" t="n">
        <v>0</v>
      </c>
      <c r="P450" t="n">
        <v>0</v>
      </c>
      <c r="Q450" t="n">
        <v>0</v>
      </c>
      <c r="R450" s="2" t="inlineStr"/>
    </row>
    <row r="451" ht="15" customHeight="1">
      <c r="A451" t="inlineStr">
        <is>
          <t>A 58171-2019</t>
        </is>
      </c>
      <c r="B451" s="1" t="n">
        <v>43769</v>
      </c>
      <c r="C451" s="1" t="n">
        <v>45841</v>
      </c>
      <c r="D451" t="inlineStr">
        <is>
          <t>VÄSTERNORRLANDS LÄN</t>
        </is>
      </c>
      <c r="E451" t="inlineStr">
        <is>
          <t>SUNDSVALL</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59523-2019</t>
        </is>
      </c>
      <c r="B452" s="1" t="n">
        <v>43773</v>
      </c>
      <c r="C452" s="1" t="n">
        <v>45841</v>
      </c>
      <c r="D452" t="inlineStr">
        <is>
          <t>VÄSTERNORRLANDS LÄN</t>
        </is>
      </c>
      <c r="E452" t="inlineStr">
        <is>
          <t>SUNDSVALL</t>
        </is>
      </c>
      <c r="F452" t="inlineStr">
        <is>
          <t>Kyrkan</t>
        </is>
      </c>
      <c r="G452" t="n">
        <v>16.6</v>
      </c>
      <c r="H452" t="n">
        <v>0</v>
      </c>
      <c r="I452" t="n">
        <v>0</v>
      </c>
      <c r="J452" t="n">
        <v>0</v>
      </c>
      <c r="K452" t="n">
        <v>0</v>
      </c>
      <c r="L452" t="n">
        <v>0</v>
      </c>
      <c r="M452" t="n">
        <v>0</v>
      </c>
      <c r="N452" t="n">
        <v>0</v>
      </c>
      <c r="O452" t="n">
        <v>0</v>
      </c>
      <c r="P452" t="n">
        <v>0</v>
      </c>
      <c r="Q452" t="n">
        <v>0</v>
      </c>
      <c r="R452" s="2" t="inlineStr"/>
    </row>
    <row r="453" ht="15" customHeight="1">
      <c r="A453" t="inlineStr">
        <is>
          <t>A 58866-2019</t>
        </is>
      </c>
      <c r="B453" s="1" t="n">
        <v>43774</v>
      </c>
      <c r="C453" s="1" t="n">
        <v>45841</v>
      </c>
      <c r="D453" t="inlineStr">
        <is>
          <t>VÄSTERNORRLANDS LÄN</t>
        </is>
      </c>
      <c r="E453" t="inlineStr">
        <is>
          <t>SUNDSVALL</t>
        </is>
      </c>
      <c r="G453" t="n">
        <v>7.8</v>
      </c>
      <c r="H453" t="n">
        <v>0</v>
      </c>
      <c r="I453" t="n">
        <v>0</v>
      </c>
      <c r="J453" t="n">
        <v>0</v>
      </c>
      <c r="K453" t="n">
        <v>0</v>
      </c>
      <c r="L453" t="n">
        <v>0</v>
      </c>
      <c r="M453" t="n">
        <v>0</v>
      </c>
      <c r="N453" t="n">
        <v>0</v>
      </c>
      <c r="O453" t="n">
        <v>0</v>
      </c>
      <c r="P453" t="n">
        <v>0</v>
      </c>
      <c r="Q453" t="n">
        <v>0</v>
      </c>
      <c r="R453" s="2" t="inlineStr"/>
    </row>
    <row r="454" ht="15" customHeight="1">
      <c r="A454" t="inlineStr">
        <is>
          <t>A 59770-2019</t>
        </is>
      </c>
      <c r="B454" s="1" t="n">
        <v>43776</v>
      </c>
      <c r="C454" s="1" t="n">
        <v>45841</v>
      </c>
      <c r="D454" t="inlineStr">
        <is>
          <t>VÄSTERNORRLANDS LÄN</t>
        </is>
      </c>
      <c r="E454" t="inlineStr">
        <is>
          <t>SUNDSVALL</t>
        </is>
      </c>
      <c r="G454" t="n">
        <v>3.6</v>
      </c>
      <c r="H454" t="n">
        <v>0</v>
      </c>
      <c r="I454" t="n">
        <v>0</v>
      </c>
      <c r="J454" t="n">
        <v>0</v>
      </c>
      <c r="K454" t="n">
        <v>0</v>
      </c>
      <c r="L454" t="n">
        <v>0</v>
      </c>
      <c r="M454" t="n">
        <v>0</v>
      </c>
      <c r="N454" t="n">
        <v>0</v>
      </c>
      <c r="O454" t="n">
        <v>0</v>
      </c>
      <c r="P454" t="n">
        <v>0</v>
      </c>
      <c r="Q454" t="n">
        <v>0</v>
      </c>
      <c r="R454" s="2" t="inlineStr"/>
    </row>
    <row r="455" ht="15" customHeight="1">
      <c r="A455" t="inlineStr">
        <is>
          <t>A 59771-2019</t>
        </is>
      </c>
      <c r="B455" s="1" t="n">
        <v>43776</v>
      </c>
      <c r="C455" s="1" t="n">
        <v>45841</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59772-2019</t>
        </is>
      </c>
      <c r="B456" s="1" t="n">
        <v>43776</v>
      </c>
      <c r="C456" s="1" t="n">
        <v>45841</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60115-2019</t>
        </is>
      </c>
      <c r="B457" s="1" t="n">
        <v>43777</v>
      </c>
      <c r="C457" s="1" t="n">
        <v>45841</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60341-2019</t>
        </is>
      </c>
      <c r="B458" s="1" t="n">
        <v>43780</v>
      </c>
      <c r="C458" s="1" t="n">
        <v>45841</v>
      </c>
      <c r="D458" t="inlineStr">
        <is>
          <t>VÄSTERNORRLANDS LÄN</t>
        </is>
      </c>
      <c r="E458" t="inlineStr">
        <is>
          <t>SUNDSVALL</t>
        </is>
      </c>
      <c r="G458" t="n">
        <v>5</v>
      </c>
      <c r="H458" t="n">
        <v>0</v>
      </c>
      <c r="I458" t="n">
        <v>0</v>
      </c>
      <c r="J458" t="n">
        <v>0</v>
      </c>
      <c r="K458" t="n">
        <v>0</v>
      </c>
      <c r="L458" t="n">
        <v>0</v>
      </c>
      <c r="M458" t="n">
        <v>0</v>
      </c>
      <c r="N458" t="n">
        <v>0</v>
      </c>
      <c r="O458" t="n">
        <v>0</v>
      </c>
      <c r="P458" t="n">
        <v>0</v>
      </c>
      <c r="Q458" t="n">
        <v>0</v>
      </c>
      <c r="R458" s="2" t="inlineStr"/>
    </row>
    <row r="459" ht="15" customHeight="1">
      <c r="A459" t="inlineStr">
        <is>
          <t>A 60588-2019</t>
        </is>
      </c>
      <c r="B459" s="1" t="n">
        <v>43781</v>
      </c>
      <c r="C459" s="1" t="n">
        <v>45841</v>
      </c>
      <c r="D459" t="inlineStr">
        <is>
          <t>VÄSTERNORRLANDS LÄN</t>
        </is>
      </c>
      <c r="E459" t="inlineStr">
        <is>
          <t>SUNDSVALL</t>
        </is>
      </c>
      <c r="G459" t="n">
        <v>5.4</v>
      </c>
      <c r="H459" t="n">
        <v>0</v>
      </c>
      <c r="I459" t="n">
        <v>0</v>
      </c>
      <c r="J459" t="n">
        <v>0</v>
      </c>
      <c r="K459" t="n">
        <v>0</v>
      </c>
      <c r="L459" t="n">
        <v>0</v>
      </c>
      <c r="M459" t="n">
        <v>0</v>
      </c>
      <c r="N459" t="n">
        <v>0</v>
      </c>
      <c r="O459" t="n">
        <v>0</v>
      </c>
      <c r="P459" t="n">
        <v>0</v>
      </c>
      <c r="Q459" t="n">
        <v>0</v>
      </c>
      <c r="R459" s="2" t="inlineStr"/>
    </row>
    <row r="460" ht="15" customHeight="1">
      <c r="A460" t="inlineStr">
        <is>
          <t>A 61197-2019</t>
        </is>
      </c>
      <c r="B460" s="1" t="n">
        <v>43782</v>
      </c>
      <c r="C460" s="1" t="n">
        <v>45841</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61966-2019</t>
        </is>
      </c>
      <c r="B461" s="1" t="n">
        <v>43787</v>
      </c>
      <c r="C461" s="1" t="n">
        <v>45841</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62715-2019</t>
        </is>
      </c>
      <c r="B462" s="1" t="n">
        <v>43789</v>
      </c>
      <c r="C462" s="1" t="n">
        <v>45841</v>
      </c>
      <c r="D462" t="inlineStr">
        <is>
          <t>VÄSTERNORRLANDS LÄN</t>
        </is>
      </c>
      <c r="E462" t="inlineStr">
        <is>
          <t>SUNDSVALL</t>
        </is>
      </c>
      <c r="G462" t="n">
        <v>1.9</v>
      </c>
      <c r="H462" t="n">
        <v>0</v>
      </c>
      <c r="I462" t="n">
        <v>0</v>
      </c>
      <c r="J462" t="n">
        <v>0</v>
      </c>
      <c r="K462" t="n">
        <v>0</v>
      </c>
      <c r="L462" t="n">
        <v>0</v>
      </c>
      <c r="M462" t="n">
        <v>0</v>
      </c>
      <c r="N462" t="n">
        <v>0</v>
      </c>
      <c r="O462" t="n">
        <v>0</v>
      </c>
      <c r="P462" t="n">
        <v>0</v>
      </c>
      <c r="Q462" t="n">
        <v>0</v>
      </c>
      <c r="R462" s="2" t="inlineStr"/>
    </row>
    <row r="463" ht="15" customHeight="1">
      <c r="A463" t="inlineStr">
        <is>
          <t>A 62833-2019</t>
        </is>
      </c>
      <c r="B463" s="1" t="n">
        <v>43790</v>
      </c>
      <c r="C463" s="1" t="n">
        <v>45841</v>
      </c>
      <c r="D463" t="inlineStr">
        <is>
          <t>VÄSTERNORRLANDS LÄN</t>
        </is>
      </c>
      <c r="E463" t="inlineStr">
        <is>
          <t>SUNDSVALL</t>
        </is>
      </c>
      <c r="G463" t="n">
        <v>1.2</v>
      </c>
      <c r="H463" t="n">
        <v>0</v>
      </c>
      <c r="I463" t="n">
        <v>0</v>
      </c>
      <c r="J463" t="n">
        <v>0</v>
      </c>
      <c r="K463" t="n">
        <v>0</v>
      </c>
      <c r="L463" t="n">
        <v>0</v>
      </c>
      <c r="M463" t="n">
        <v>0</v>
      </c>
      <c r="N463" t="n">
        <v>0</v>
      </c>
      <c r="O463" t="n">
        <v>0</v>
      </c>
      <c r="P463" t="n">
        <v>0</v>
      </c>
      <c r="Q463" t="n">
        <v>0</v>
      </c>
      <c r="R463" s="2" t="inlineStr"/>
    </row>
    <row r="464" ht="15" customHeight="1">
      <c r="A464" t="inlineStr">
        <is>
          <t>A 62826-2019</t>
        </is>
      </c>
      <c r="B464" s="1" t="n">
        <v>43790</v>
      </c>
      <c r="C464" s="1" t="n">
        <v>45841</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63007-2019</t>
        </is>
      </c>
      <c r="B465" s="1" t="n">
        <v>43790</v>
      </c>
      <c r="C465" s="1" t="n">
        <v>45841</v>
      </c>
      <c r="D465" t="inlineStr">
        <is>
          <t>VÄSTERNORRLANDS LÄN</t>
        </is>
      </c>
      <c r="E465" t="inlineStr">
        <is>
          <t>SUNDSVALL</t>
        </is>
      </c>
      <c r="F465" t="inlineStr">
        <is>
          <t>Naturvårdsverket</t>
        </is>
      </c>
      <c r="G465" t="n">
        <v>23.6</v>
      </c>
      <c r="H465" t="n">
        <v>0</v>
      </c>
      <c r="I465" t="n">
        <v>0</v>
      </c>
      <c r="J465" t="n">
        <v>0</v>
      </c>
      <c r="K465" t="n">
        <v>0</v>
      </c>
      <c r="L465" t="n">
        <v>0</v>
      </c>
      <c r="M465" t="n">
        <v>0</v>
      </c>
      <c r="N465" t="n">
        <v>0</v>
      </c>
      <c r="O465" t="n">
        <v>0</v>
      </c>
      <c r="P465" t="n">
        <v>0</v>
      </c>
      <c r="Q465" t="n">
        <v>0</v>
      </c>
      <c r="R465" s="2" t="inlineStr"/>
    </row>
    <row r="466" ht="15" customHeight="1">
      <c r="A466" t="inlineStr">
        <is>
          <t>A 63175-2019</t>
        </is>
      </c>
      <c r="B466" s="1" t="n">
        <v>43791</v>
      </c>
      <c r="C466" s="1" t="n">
        <v>45841</v>
      </c>
      <c r="D466" t="inlineStr">
        <is>
          <t>VÄSTERNORRLANDS LÄN</t>
        </is>
      </c>
      <c r="E466" t="inlineStr">
        <is>
          <t>SUNDSVALL</t>
        </is>
      </c>
      <c r="G466" t="n">
        <v>1.5</v>
      </c>
      <c r="H466" t="n">
        <v>0</v>
      </c>
      <c r="I466" t="n">
        <v>0</v>
      </c>
      <c r="J466" t="n">
        <v>0</v>
      </c>
      <c r="K466" t="n">
        <v>0</v>
      </c>
      <c r="L466" t="n">
        <v>0</v>
      </c>
      <c r="M466" t="n">
        <v>0</v>
      </c>
      <c r="N466" t="n">
        <v>0</v>
      </c>
      <c r="O466" t="n">
        <v>0</v>
      </c>
      <c r="P466" t="n">
        <v>0</v>
      </c>
      <c r="Q466" t="n">
        <v>0</v>
      </c>
      <c r="R466" s="2" t="inlineStr"/>
    </row>
    <row r="467" ht="15" customHeight="1">
      <c r="A467" t="inlineStr">
        <is>
          <t>A 63111-2019</t>
        </is>
      </c>
      <c r="B467" s="1" t="n">
        <v>43791</v>
      </c>
      <c r="C467" s="1" t="n">
        <v>45841</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63315-2019</t>
        </is>
      </c>
      <c r="B468" s="1" t="n">
        <v>43794</v>
      </c>
      <c r="C468" s="1" t="n">
        <v>45841</v>
      </c>
      <c r="D468" t="inlineStr">
        <is>
          <t>VÄSTERNORRLANDS LÄN</t>
        </is>
      </c>
      <c r="E468" t="inlineStr">
        <is>
          <t>SUNDSVALL</t>
        </is>
      </c>
      <c r="G468" t="n">
        <v>2.9</v>
      </c>
      <c r="H468" t="n">
        <v>0</v>
      </c>
      <c r="I468" t="n">
        <v>0</v>
      </c>
      <c r="J468" t="n">
        <v>0</v>
      </c>
      <c r="K468" t="n">
        <v>0</v>
      </c>
      <c r="L468" t="n">
        <v>0</v>
      </c>
      <c r="M468" t="n">
        <v>0</v>
      </c>
      <c r="N468" t="n">
        <v>0</v>
      </c>
      <c r="O468" t="n">
        <v>0</v>
      </c>
      <c r="P468" t="n">
        <v>0</v>
      </c>
      <c r="Q468" t="n">
        <v>0</v>
      </c>
      <c r="R468" s="2" t="inlineStr"/>
    </row>
    <row r="469" ht="15" customHeight="1">
      <c r="A469" t="inlineStr">
        <is>
          <t>A 63427-2019</t>
        </is>
      </c>
      <c r="B469" s="1" t="n">
        <v>43794</v>
      </c>
      <c r="C469" s="1" t="n">
        <v>45841</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64130-2019</t>
        </is>
      </c>
      <c r="B470" s="1" t="n">
        <v>43796</v>
      </c>
      <c r="C470" s="1" t="n">
        <v>45841</v>
      </c>
      <c r="D470" t="inlineStr">
        <is>
          <t>VÄSTERNORRLANDS LÄN</t>
        </is>
      </c>
      <c r="E470" t="inlineStr">
        <is>
          <t>SUNDSVALL</t>
        </is>
      </c>
      <c r="G470" t="n">
        <v>2.2</v>
      </c>
      <c r="H470" t="n">
        <v>0</v>
      </c>
      <c r="I470" t="n">
        <v>0</v>
      </c>
      <c r="J470" t="n">
        <v>0</v>
      </c>
      <c r="K470" t="n">
        <v>0</v>
      </c>
      <c r="L470" t="n">
        <v>0</v>
      </c>
      <c r="M470" t="n">
        <v>0</v>
      </c>
      <c r="N470" t="n">
        <v>0</v>
      </c>
      <c r="O470" t="n">
        <v>0</v>
      </c>
      <c r="P470" t="n">
        <v>0</v>
      </c>
      <c r="Q470" t="n">
        <v>0</v>
      </c>
      <c r="R470" s="2" t="inlineStr"/>
    </row>
    <row r="471" ht="15" customHeight="1">
      <c r="A471" t="inlineStr">
        <is>
          <t>A 64245-2019</t>
        </is>
      </c>
      <c r="B471" s="1" t="n">
        <v>43797</v>
      </c>
      <c r="C471" s="1" t="n">
        <v>45841</v>
      </c>
      <c r="D471" t="inlineStr">
        <is>
          <t>VÄSTERNORRLANDS LÄN</t>
        </is>
      </c>
      <c r="E471" t="inlineStr">
        <is>
          <t>SUNDSVALL</t>
        </is>
      </c>
      <c r="G471" t="n">
        <v>4.5</v>
      </c>
      <c r="H471" t="n">
        <v>0</v>
      </c>
      <c r="I471" t="n">
        <v>0</v>
      </c>
      <c r="J471" t="n">
        <v>0</v>
      </c>
      <c r="K471" t="n">
        <v>0</v>
      </c>
      <c r="L471" t="n">
        <v>0</v>
      </c>
      <c r="M471" t="n">
        <v>0</v>
      </c>
      <c r="N471" t="n">
        <v>0</v>
      </c>
      <c r="O471" t="n">
        <v>0</v>
      </c>
      <c r="P471" t="n">
        <v>0</v>
      </c>
      <c r="Q471" t="n">
        <v>0</v>
      </c>
      <c r="R471" s="2" t="inlineStr"/>
    </row>
    <row r="472" ht="15" customHeight="1">
      <c r="A472" t="inlineStr">
        <is>
          <t>A 64405-2019</t>
        </is>
      </c>
      <c r="B472" s="1" t="n">
        <v>43797</v>
      </c>
      <c r="C472" s="1" t="n">
        <v>45841</v>
      </c>
      <c r="D472" t="inlineStr">
        <is>
          <t>VÄSTERNORRLANDS LÄN</t>
        </is>
      </c>
      <c r="E472" t="inlineStr">
        <is>
          <t>SUNDSVALL</t>
        </is>
      </c>
      <c r="F472" t="inlineStr">
        <is>
          <t>Holmen skog AB</t>
        </is>
      </c>
      <c r="G472" t="n">
        <v>2.5</v>
      </c>
      <c r="H472" t="n">
        <v>0</v>
      </c>
      <c r="I472" t="n">
        <v>0</v>
      </c>
      <c r="J472" t="n">
        <v>0</v>
      </c>
      <c r="K472" t="n">
        <v>0</v>
      </c>
      <c r="L472" t="n">
        <v>0</v>
      </c>
      <c r="M472" t="n">
        <v>0</v>
      </c>
      <c r="N472" t="n">
        <v>0</v>
      </c>
      <c r="O472" t="n">
        <v>0</v>
      </c>
      <c r="P472" t="n">
        <v>0</v>
      </c>
      <c r="Q472" t="n">
        <v>0</v>
      </c>
      <c r="R472" s="2" t="inlineStr"/>
    </row>
    <row r="473" ht="15" customHeight="1">
      <c r="A473" t="inlineStr">
        <is>
          <t>A 64473-2019</t>
        </is>
      </c>
      <c r="B473" s="1" t="n">
        <v>43797</v>
      </c>
      <c r="C473" s="1" t="n">
        <v>45841</v>
      </c>
      <c r="D473" t="inlineStr">
        <is>
          <t>VÄSTERNORRLANDS LÄN</t>
        </is>
      </c>
      <c r="E473" t="inlineStr">
        <is>
          <t>SUNDSVALL</t>
        </is>
      </c>
      <c r="G473" t="n">
        <v>3.3</v>
      </c>
      <c r="H473" t="n">
        <v>0</v>
      </c>
      <c r="I473" t="n">
        <v>0</v>
      </c>
      <c r="J473" t="n">
        <v>0</v>
      </c>
      <c r="K473" t="n">
        <v>0</v>
      </c>
      <c r="L473" t="n">
        <v>0</v>
      </c>
      <c r="M473" t="n">
        <v>0</v>
      </c>
      <c r="N473" t="n">
        <v>0</v>
      </c>
      <c r="O473" t="n">
        <v>0</v>
      </c>
      <c r="P473" t="n">
        <v>0</v>
      </c>
      <c r="Q473" t="n">
        <v>0</v>
      </c>
      <c r="R473" s="2" t="inlineStr"/>
    </row>
    <row r="474" ht="15" customHeight="1">
      <c r="A474" t="inlineStr">
        <is>
          <t>A 64474-2019</t>
        </is>
      </c>
      <c r="B474" s="1" t="n">
        <v>43797</v>
      </c>
      <c r="C474" s="1" t="n">
        <v>45841</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64558-2019</t>
        </is>
      </c>
      <c r="B475" s="1" t="n">
        <v>43798</v>
      </c>
      <c r="C475" s="1" t="n">
        <v>45841</v>
      </c>
      <c r="D475" t="inlineStr">
        <is>
          <t>VÄSTERNORRLANDS LÄN</t>
        </is>
      </c>
      <c r="E475" t="inlineStr">
        <is>
          <t>SUNDSVALL</t>
        </is>
      </c>
      <c r="G475" t="n">
        <v>3.1</v>
      </c>
      <c r="H475" t="n">
        <v>0</v>
      </c>
      <c r="I475" t="n">
        <v>0</v>
      </c>
      <c r="J475" t="n">
        <v>0</v>
      </c>
      <c r="K475" t="n">
        <v>0</v>
      </c>
      <c r="L475" t="n">
        <v>0</v>
      </c>
      <c r="M475" t="n">
        <v>0</v>
      </c>
      <c r="N475" t="n">
        <v>0</v>
      </c>
      <c r="O475" t="n">
        <v>0</v>
      </c>
      <c r="P475" t="n">
        <v>0</v>
      </c>
      <c r="Q475" t="n">
        <v>0</v>
      </c>
      <c r="R475" s="2" t="inlineStr"/>
    </row>
    <row r="476" ht="15" customHeight="1">
      <c r="A476" t="inlineStr">
        <is>
          <t>A 65039-2019</t>
        </is>
      </c>
      <c r="B476" s="1" t="n">
        <v>43801</v>
      </c>
      <c r="C476" s="1" t="n">
        <v>45841</v>
      </c>
      <c r="D476" t="inlineStr">
        <is>
          <t>VÄSTERNORRLANDS LÄN</t>
        </is>
      </c>
      <c r="E476" t="inlineStr">
        <is>
          <t>SUNDSVALL</t>
        </is>
      </c>
      <c r="G476" t="n">
        <v>4</v>
      </c>
      <c r="H476" t="n">
        <v>0</v>
      </c>
      <c r="I476" t="n">
        <v>0</v>
      </c>
      <c r="J476" t="n">
        <v>0</v>
      </c>
      <c r="K476" t="n">
        <v>0</v>
      </c>
      <c r="L476" t="n">
        <v>0</v>
      </c>
      <c r="M476" t="n">
        <v>0</v>
      </c>
      <c r="N476" t="n">
        <v>0</v>
      </c>
      <c r="O476" t="n">
        <v>0</v>
      </c>
      <c r="P476" t="n">
        <v>0</v>
      </c>
      <c r="Q476" t="n">
        <v>0</v>
      </c>
      <c r="R476" s="2" t="inlineStr"/>
    </row>
    <row r="477" ht="15" customHeight="1">
      <c r="A477" t="inlineStr">
        <is>
          <t>A 65030-2019</t>
        </is>
      </c>
      <c r="B477" s="1" t="n">
        <v>43801</v>
      </c>
      <c r="C477" s="1" t="n">
        <v>45841</v>
      </c>
      <c r="D477" t="inlineStr">
        <is>
          <t>VÄSTERNORRLANDS LÄN</t>
        </is>
      </c>
      <c r="E477" t="inlineStr">
        <is>
          <t>SUNDSVALL</t>
        </is>
      </c>
      <c r="G477" t="n">
        <v>4.7</v>
      </c>
      <c r="H477" t="n">
        <v>0</v>
      </c>
      <c r="I477" t="n">
        <v>0</v>
      </c>
      <c r="J477" t="n">
        <v>0</v>
      </c>
      <c r="K477" t="n">
        <v>0</v>
      </c>
      <c r="L477" t="n">
        <v>0</v>
      </c>
      <c r="M477" t="n">
        <v>0</v>
      </c>
      <c r="N477" t="n">
        <v>0</v>
      </c>
      <c r="O477" t="n">
        <v>0</v>
      </c>
      <c r="P477" t="n">
        <v>0</v>
      </c>
      <c r="Q477" t="n">
        <v>0</v>
      </c>
      <c r="R477" s="2" t="inlineStr"/>
    </row>
    <row r="478" ht="15" customHeight="1">
      <c r="A478" t="inlineStr">
        <is>
          <t>A 66000-2019</t>
        </is>
      </c>
      <c r="B478" s="1" t="n">
        <v>43801</v>
      </c>
      <c r="C478" s="1" t="n">
        <v>45841</v>
      </c>
      <c r="D478" t="inlineStr">
        <is>
          <t>VÄSTERNORRLANDS LÄN</t>
        </is>
      </c>
      <c r="E478" t="inlineStr">
        <is>
          <t>SUNDSVALL</t>
        </is>
      </c>
      <c r="F478" t="inlineStr">
        <is>
          <t>Övriga statliga verk och myndigheter</t>
        </is>
      </c>
      <c r="G478" t="n">
        <v>1.8</v>
      </c>
      <c r="H478" t="n">
        <v>0</v>
      </c>
      <c r="I478" t="n">
        <v>0</v>
      </c>
      <c r="J478" t="n">
        <v>0</v>
      </c>
      <c r="K478" t="n">
        <v>0</v>
      </c>
      <c r="L478" t="n">
        <v>0</v>
      </c>
      <c r="M478" t="n">
        <v>0</v>
      </c>
      <c r="N478" t="n">
        <v>0</v>
      </c>
      <c r="O478" t="n">
        <v>0</v>
      </c>
      <c r="P478" t="n">
        <v>0</v>
      </c>
      <c r="Q478" t="n">
        <v>0</v>
      </c>
      <c r="R478" s="2" t="inlineStr"/>
    </row>
    <row r="479" ht="15" customHeight="1">
      <c r="A479" t="inlineStr">
        <is>
          <t>A 65458-2019</t>
        </is>
      </c>
      <c r="B479" s="1" t="n">
        <v>43803</v>
      </c>
      <c r="C479" s="1" t="n">
        <v>45841</v>
      </c>
      <c r="D479" t="inlineStr">
        <is>
          <t>VÄSTERNORRLANDS LÄN</t>
        </is>
      </c>
      <c r="E479" t="inlineStr">
        <is>
          <t>SUNDSVALL</t>
        </is>
      </c>
      <c r="G479" t="n">
        <v>5</v>
      </c>
      <c r="H479" t="n">
        <v>0</v>
      </c>
      <c r="I479" t="n">
        <v>0</v>
      </c>
      <c r="J479" t="n">
        <v>0</v>
      </c>
      <c r="K479" t="n">
        <v>0</v>
      </c>
      <c r="L479" t="n">
        <v>0</v>
      </c>
      <c r="M479" t="n">
        <v>0</v>
      </c>
      <c r="N479" t="n">
        <v>0</v>
      </c>
      <c r="O479" t="n">
        <v>0</v>
      </c>
      <c r="P479" t="n">
        <v>0</v>
      </c>
      <c r="Q479" t="n">
        <v>0</v>
      </c>
      <c r="R479" s="2" t="inlineStr"/>
    </row>
    <row r="480" ht="15" customHeight="1">
      <c r="A480" t="inlineStr">
        <is>
          <t>A 65919-2019</t>
        </is>
      </c>
      <c r="B480" s="1" t="n">
        <v>43804</v>
      </c>
      <c r="C480" s="1" t="n">
        <v>45841</v>
      </c>
      <c r="D480" t="inlineStr">
        <is>
          <t>VÄSTERNORRLANDS LÄN</t>
        </is>
      </c>
      <c r="E480" t="inlineStr">
        <is>
          <t>SUNDSVALL</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66704-2019</t>
        </is>
      </c>
      <c r="B481" s="1" t="n">
        <v>43809</v>
      </c>
      <c r="C481" s="1" t="n">
        <v>45841</v>
      </c>
      <c r="D481" t="inlineStr">
        <is>
          <t>VÄSTERNORRLANDS LÄN</t>
        </is>
      </c>
      <c r="E481" t="inlineStr">
        <is>
          <t>SUNDSVALL</t>
        </is>
      </c>
      <c r="F481" t="inlineStr">
        <is>
          <t>Naturvårdsverket</t>
        </is>
      </c>
      <c r="G481" t="n">
        <v>3.7</v>
      </c>
      <c r="H481" t="n">
        <v>0</v>
      </c>
      <c r="I481" t="n">
        <v>0</v>
      </c>
      <c r="J481" t="n">
        <v>0</v>
      </c>
      <c r="K481" t="n">
        <v>0</v>
      </c>
      <c r="L481" t="n">
        <v>0</v>
      </c>
      <c r="M481" t="n">
        <v>0</v>
      </c>
      <c r="N481" t="n">
        <v>0</v>
      </c>
      <c r="O481" t="n">
        <v>0</v>
      </c>
      <c r="P481" t="n">
        <v>0</v>
      </c>
      <c r="Q481" t="n">
        <v>0</v>
      </c>
      <c r="R481" s="2" t="inlineStr"/>
    </row>
    <row r="482" ht="15" customHeight="1">
      <c r="A482" t="inlineStr">
        <is>
          <t>A 66699-2019</t>
        </is>
      </c>
      <c r="B482" s="1" t="n">
        <v>43809</v>
      </c>
      <c r="C482" s="1" t="n">
        <v>45841</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66707-2019</t>
        </is>
      </c>
      <c r="B483" s="1" t="n">
        <v>43809</v>
      </c>
      <c r="C483" s="1" t="n">
        <v>45841</v>
      </c>
      <c r="D483" t="inlineStr">
        <is>
          <t>VÄSTERNORRLANDS LÄN</t>
        </is>
      </c>
      <c r="E483" t="inlineStr">
        <is>
          <t>SUNDSVALL</t>
        </is>
      </c>
      <c r="F483" t="inlineStr">
        <is>
          <t>Naturvårdsverket</t>
        </is>
      </c>
      <c r="G483" t="n">
        <v>1.1</v>
      </c>
      <c r="H483" t="n">
        <v>0</v>
      </c>
      <c r="I483" t="n">
        <v>0</v>
      </c>
      <c r="J483" t="n">
        <v>0</v>
      </c>
      <c r="K483" t="n">
        <v>0</v>
      </c>
      <c r="L483" t="n">
        <v>0</v>
      </c>
      <c r="M483" t="n">
        <v>0</v>
      </c>
      <c r="N483" t="n">
        <v>0</v>
      </c>
      <c r="O483" t="n">
        <v>0</v>
      </c>
      <c r="P483" t="n">
        <v>0</v>
      </c>
      <c r="Q483" t="n">
        <v>0</v>
      </c>
      <c r="R483" s="2" t="inlineStr"/>
    </row>
    <row r="484" ht="15" customHeight="1">
      <c r="A484" t="inlineStr">
        <is>
          <t>A 66706-2019</t>
        </is>
      </c>
      <c r="B484" s="1" t="n">
        <v>43809</v>
      </c>
      <c r="C484" s="1" t="n">
        <v>45841</v>
      </c>
      <c r="D484" t="inlineStr">
        <is>
          <t>VÄSTERNORRLANDS LÄN</t>
        </is>
      </c>
      <c r="E484" t="inlineStr">
        <is>
          <t>SUNDSVALL</t>
        </is>
      </c>
      <c r="F484" t="inlineStr">
        <is>
          <t>Naturvårdsverket</t>
        </is>
      </c>
      <c r="G484" t="n">
        <v>3</v>
      </c>
      <c r="H484" t="n">
        <v>0</v>
      </c>
      <c r="I484" t="n">
        <v>0</v>
      </c>
      <c r="J484" t="n">
        <v>0</v>
      </c>
      <c r="K484" t="n">
        <v>0</v>
      </c>
      <c r="L484" t="n">
        <v>0</v>
      </c>
      <c r="M484" t="n">
        <v>0</v>
      </c>
      <c r="N484" t="n">
        <v>0</v>
      </c>
      <c r="O484" t="n">
        <v>0</v>
      </c>
      <c r="P484" t="n">
        <v>0</v>
      </c>
      <c r="Q484" t="n">
        <v>0</v>
      </c>
      <c r="R484" s="2" t="inlineStr"/>
    </row>
    <row r="485" ht="15" customHeight="1">
      <c r="A485" t="inlineStr">
        <is>
          <t>A 66708-2019</t>
        </is>
      </c>
      <c r="B485" s="1" t="n">
        <v>43809</v>
      </c>
      <c r="C485" s="1" t="n">
        <v>45841</v>
      </c>
      <c r="D485" t="inlineStr">
        <is>
          <t>VÄSTERNORRLANDS LÄN</t>
        </is>
      </c>
      <c r="E485" t="inlineStr">
        <is>
          <t>SUNDSVALL</t>
        </is>
      </c>
      <c r="F485" t="inlineStr">
        <is>
          <t>Naturvårdsverket</t>
        </is>
      </c>
      <c r="G485" t="n">
        <v>0.9</v>
      </c>
      <c r="H485" t="n">
        <v>0</v>
      </c>
      <c r="I485" t="n">
        <v>0</v>
      </c>
      <c r="J485" t="n">
        <v>0</v>
      </c>
      <c r="K485" t="n">
        <v>0</v>
      </c>
      <c r="L485" t="n">
        <v>0</v>
      </c>
      <c r="M485" t="n">
        <v>0</v>
      </c>
      <c r="N485" t="n">
        <v>0</v>
      </c>
      <c r="O485" t="n">
        <v>0</v>
      </c>
      <c r="P485" t="n">
        <v>0</v>
      </c>
      <c r="Q485" t="n">
        <v>0</v>
      </c>
      <c r="R485" s="2" t="inlineStr"/>
    </row>
    <row r="486" ht="15" customHeight="1">
      <c r="A486" t="inlineStr">
        <is>
          <t>A 66705-2019</t>
        </is>
      </c>
      <c r="B486" s="1" t="n">
        <v>43809</v>
      </c>
      <c r="C486" s="1" t="n">
        <v>45841</v>
      </c>
      <c r="D486" t="inlineStr">
        <is>
          <t>VÄSTERNORRLANDS LÄN</t>
        </is>
      </c>
      <c r="E486" t="inlineStr">
        <is>
          <t>SUNDSVALL</t>
        </is>
      </c>
      <c r="F486" t="inlineStr">
        <is>
          <t>Naturvårdsverket</t>
        </is>
      </c>
      <c r="G486" t="n">
        <v>1.4</v>
      </c>
      <c r="H486" t="n">
        <v>0</v>
      </c>
      <c r="I486" t="n">
        <v>0</v>
      </c>
      <c r="J486" t="n">
        <v>0</v>
      </c>
      <c r="K486" t="n">
        <v>0</v>
      </c>
      <c r="L486" t="n">
        <v>0</v>
      </c>
      <c r="M486" t="n">
        <v>0</v>
      </c>
      <c r="N486" t="n">
        <v>0</v>
      </c>
      <c r="O486" t="n">
        <v>0</v>
      </c>
      <c r="P486" t="n">
        <v>0</v>
      </c>
      <c r="Q486" t="n">
        <v>0</v>
      </c>
      <c r="R486" s="2" t="inlineStr"/>
    </row>
    <row r="487" ht="15" customHeight="1">
      <c r="A487" t="inlineStr">
        <is>
          <t>A 66969-2019</t>
        </is>
      </c>
      <c r="B487" s="1" t="n">
        <v>43810</v>
      </c>
      <c r="C487" s="1" t="n">
        <v>45841</v>
      </c>
      <c r="D487" t="inlineStr">
        <is>
          <t>VÄSTERNORRLANDS LÄN</t>
        </is>
      </c>
      <c r="E487" t="inlineStr">
        <is>
          <t>SUNDSVALL</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66998-2019</t>
        </is>
      </c>
      <c r="B488" s="1" t="n">
        <v>43811</v>
      </c>
      <c r="C488" s="1" t="n">
        <v>45841</v>
      </c>
      <c r="D488" t="inlineStr">
        <is>
          <t>VÄSTERNORRLANDS LÄN</t>
        </is>
      </c>
      <c r="E488" t="inlineStr">
        <is>
          <t>SUNDSVALL</t>
        </is>
      </c>
      <c r="G488" t="n">
        <v>3.7</v>
      </c>
      <c r="H488" t="n">
        <v>0</v>
      </c>
      <c r="I488" t="n">
        <v>0</v>
      </c>
      <c r="J488" t="n">
        <v>0</v>
      </c>
      <c r="K488" t="n">
        <v>0</v>
      </c>
      <c r="L488" t="n">
        <v>0</v>
      </c>
      <c r="M488" t="n">
        <v>0</v>
      </c>
      <c r="N488" t="n">
        <v>0</v>
      </c>
      <c r="O488" t="n">
        <v>0</v>
      </c>
      <c r="P488" t="n">
        <v>0</v>
      </c>
      <c r="Q488" t="n">
        <v>0</v>
      </c>
      <c r="R488" s="2" t="inlineStr"/>
    </row>
    <row r="489" ht="15" customHeight="1">
      <c r="A489" t="inlineStr">
        <is>
          <t>A 68788-2019</t>
        </is>
      </c>
      <c r="B489" s="1" t="n">
        <v>43815</v>
      </c>
      <c r="C489" s="1" t="n">
        <v>45841</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69043-2019</t>
        </is>
      </c>
      <c r="B490" s="1" t="n">
        <v>43826</v>
      </c>
      <c r="C490" s="1" t="n">
        <v>45841</v>
      </c>
      <c r="D490" t="inlineStr">
        <is>
          <t>VÄSTERNORRLANDS LÄN</t>
        </is>
      </c>
      <c r="E490" t="inlineStr">
        <is>
          <t>SUNDSVALL</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69040-2019</t>
        </is>
      </c>
      <c r="B491" s="1" t="n">
        <v>43826</v>
      </c>
      <c r="C491" s="1" t="n">
        <v>45841</v>
      </c>
      <c r="D491" t="inlineStr">
        <is>
          <t>VÄSTERNORRLANDS LÄN</t>
        </is>
      </c>
      <c r="E491" t="inlineStr">
        <is>
          <t>SUNDSVALL</t>
        </is>
      </c>
      <c r="F491" t="inlineStr">
        <is>
          <t>Kommuner</t>
        </is>
      </c>
      <c r="G491" t="n">
        <v>6.1</v>
      </c>
      <c r="H491" t="n">
        <v>0</v>
      </c>
      <c r="I491" t="n">
        <v>0</v>
      </c>
      <c r="J491" t="n">
        <v>0</v>
      </c>
      <c r="K491" t="n">
        <v>0</v>
      </c>
      <c r="L491" t="n">
        <v>0</v>
      </c>
      <c r="M491" t="n">
        <v>0</v>
      </c>
      <c r="N491" t="n">
        <v>0</v>
      </c>
      <c r="O491" t="n">
        <v>0</v>
      </c>
      <c r="P491" t="n">
        <v>0</v>
      </c>
      <c r="Q491" t="n">
        <v>0</v>
      </c>
      <c r="R491" s="2" t="inlineStr"/>
    </row>
    <row r="492" ht="15" customHeight="1">
      <c r="A492" t="inlineStr">
        <is>
          <t>A 69042-2019</t>
        </is>
      </c>
      <c r="B492" s="1" t="n">
        <v>43826</v>
      </c>
      <c r="C492" s="1" t="n">
        <v>45841</v>
      </c>
      <c r="D492" t="inlineStr">
        <is>
          <t>VÄSTERNORRLANDS LÄN</t>
        </is>
      </c>
      <c r="E492" t="inlineStr">
        <is>
          <t>SUNDSVALL</t>
        </is>
      </c>
      <c r="F492" t="inlineStr">
        <is>
          <t>Kommuner</t>
        </is>
      </c>
      <c r="G492" t="n">
        <v>5.5</v>
      </c>
      <c r="H492" t="n">
        <v>0</v>
      </c>
      <c r="I492" t="n">
        <v>0</v>
      </c>
      <c r="J492" t="n">
        <v>0</v>
      </c>
      <c r="K492" t="n">
        <v>0</v>
      </c>
      <c r="L492" t="n">
        <v>0</v>
      </c>
      <c r="M492" t="n">
        <v>0</v>
      </c>
      <c r="N492" t="n">
        <v>0</v>
      </c>
      <c r="O492" t="n">
        <v>0</v>
      </c>
      <c r="P492" t="n">
        <v>0</v>
      </c>
      <c r="Q492" t="n">
        <v>0</v>
      </c>
      <c r="R492" s="2" t="inlineStr"/>
    </row>
    <row r="493" ht="15" customHeight="1">
      <c r="A493" t="inlineStr">
        <is>
          <t>A 113-2020</t>
        </is>
      </c>
      <c r="B493" s="1" t="n">
        <v>43832</v>
      </c>
      <c r="C493" s="1" t="n">
        <v>45841</v>
      </c>
      <c r="D493" t="inlineStr">
        <is>
          <t>VÄSTERNORRLANDS LÄN</t>
        </is>
      </c>
      <c r="E493" t="inlineStr">
        <is>
          <t>SUNDSVALL</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503-2020</t>
        </is>
      </c>
      <c r="B494" s="1" t="n">
        <v>43837</v>
      </c>
      <c r="C494" s="1" t="n">
        <v>45841</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473-2020</t>
        </is>
      </c>
      <c r="B495" s="1" t="n">
        <v>43837</v>
      </c>
      <c r="C495" s="1" t="n">
        <v>45841</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803-2020</t>
        </is>
      </c>
      <c r="B496" s="1" t="n">
        <v>43838</v>
      </c>
      <c r="C496" s="1" t="n">
        <v>45841</v>
      </c>
      <c r="D496" t="inlineStr">
        <is>
          <t>VÄSTERNORRLANDS LÄN</t>
        </is>
      </c>
      <c r="E496" t="inlineStr">
        <is>
          <t>SUNDSVALL</t>
        </is>
      </c>
      <c r="G496" t="n">
        <v>7</v>
      </c>
      <c r="H496" t="n">
        <v>0</v>
      </c>
      <c r="I496" t="n">
        <v>0</v>
      </c>
      <c r="J496" t="n">
        <v>0</v>
      </c>
      <c r="K496" t="n">
        <v>0</v>
      </c>
      <c r="L496" t="n">
        <v>0</v>
      </c>
      <c r="M496" t="n">
        <v>0</v>
      </c>
      <c r="N496" t="n">
        <v>0</v>
      </c>
      <c r="O496" t="n">
        <v>0</v>
      </c>
      <c r="P496" t="n">
        <v>0</v>
      </c>
      <c r="Q496" t="n">
        <v>0</v>
      </c>
      <c r="R496" s="2" t="inlineStr"/>
    </row>
    <row r="497" ht="15" customHeight="1">
      <c r="A497" t="inlineStr">
        <is>
          <t>A 805-2020</t>
        </is>
      </c>
      <c r="B497" s="1" t="n">
        <v>43838</v>
      </c>
      <c r="C497" s="1" t="n">
        <v>45841</v>
      </c>
      <c r="D497" t="inlineStr">
        <is>
          <t>VÄSTERNORRLANDS LÄN</t>
        </is>
      </c>
      <c r="E497" t="inlineStr">
        <is>
          <t>SUNDSVALL</t>
        </is>
      </c>
      <c r="G497" t="n">
        <v>2</v>
      </c>
      <c r="H497" t="n">
        <v>0</v>
      </c>
      <c r="I497" t="n">
        <v>0</v>
      </c>
      <c r="J497" t="n">
        <v>0</v>
      </c>
      <c r="K497" t="n">
        <v>0</v>
      </c>
      <c r="L497" t="n">
        <v>0</v>
      </c>
      <c r="M497" t="n">
        <v>0</v>
      </c>
      <c r="N497" t="n">
        <v>0</v>
      </c>
      <c r="O497" t="n">
        <v>0</v>
      </c>
      <c r="P497" t="n">
        <v>0</v>
      </c>
      <c r="Q497" t="n">
        <v>0</v>
      </c>
      <c r="R497" s="2" t="inlineStr"/>
    </row>
    <row r="498" ht="15" customHeight="1">
      <c r="A498" t="inlineStr">
        <is>
          <t>A 1280-2020</t>
        </is>
      </c>
      <c r="B498" s="1" t="n">
        <v>43842</v>
      </c>
      <c r="C498" s="1" t="n">
        <v>45841</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1856-2020</t>
        </is>
      </c>
      <c r="B499" s="1" t="n">
        <v>43844</v>
      </c>
      <c r="C499" s="1" t="n">
        <v>45841</v>
      </c>
      <c r="D499" t="inlineStr">
        <is>
          <t>VÄSTERNORRLANDS LÄN</t>
        </is>
      </c>
      <c r="E499" t="inlineStr">
        <is>
          <t>SUNDSVALL</t>
        </is>
      </c>
      <c r="G499" t="n">
        <v>3.8</v>
      </c>
      <c r="H499" t="n">
        <v>0</v>
      </c>
      <c r="I499" t="n">
        <v>0</v>
      </c>
      <c r="J499" t="n">
        <v>0</v>
      </c>
      <c r="K499" t="n">
        <v>0</v>
      </c>
      <c r="L499" t="n">
        <v>0</v>
      </c>
      <c r="M499" t="n">
        <v>0</v>
      </c>
      <c r="N499" t="n">
        <v>0</v>
      </c>
      <c r="O499" t="n">
        <v>0</v>
      </c>
      <c r="P499" t="n">
        <v>0</v>
      </c>
      <c r="Q499" t="n">
        <v>0</v>
      </c>
      <c r="R499" s="2" t="inlineStr"/>
    </row>
    <row r="500" ht="15" customHeight="1">
      <c r="A500" t="inlineStr">
        <is>
          <t>A 1655-2020</t>
        </is>
      </c>
      <c r="B500" s="1" t="n">
        <v>43844</v>
      </c>
      <c r="C500" s="1" t="n">
        <v>45841</v>
      </c>
      <c r="D500" t="inlineStr">
        <is>
          <t>VÄSTERNORRLANDS LÄN</t>
        </is>
      </c>
      <c r="E500" t="inlineStr">
        <is>
          <t>SUNDSVALL</t>
        </is>
      </c>
      <c r="G500" t="n">
        <v>4.3</v>
      </c>
      <c r="H500" t="n">
        <v>0</v>
      </c>
      <c r="I500" t="n">
        <v>0</v>
      </c>
      <c r="J500" t="n">
        <v>0</v>
      </c>
      <c r="K500" t="n">
        <v>0</v>
      </c>
      <c r="L500" t="n">
        <v>0</v>
      </c>
      <c r="M500" t="n">
        <v>0</v>
      </c>
      <c r="N500" t="n">
        <v>0</v>
      </c>
      <c r="O500" t="n">
        <v>0</v>
      </c>
      <c r="P500" t="n">
        <v>0</v>
      </c>
      <c r="Q500" t="n">
        <v>0</v>
      </c>
      <c r="R500" s="2" t="inlineStr"/>
    </row>
    <row r="501" ht="15" customHeight="1">
      <c r="A501" t="inlineStr">
        <is>
          <t>A 1639-2020</t>
        </is>
      </c>
      <c r="B501" s="1" t="n">
        <v>43844</v>
      </c>
      <c r="C501" s="1" t="n">
        <v>45841</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1946-2020</t>
        </is>
      </c>
      <c r="B502" s="1" t="n">
        <v>43845</v>
      </c>
      <c r="C502" s="1" t="n">
        <v>45841</v>
      </c>
      <c r="D502" t="inlineStr">
        <is>
          <t>VÄSTERNORRLANDS LÄN</t>
        </is>
      </c>
      <c r="E502" t="inlineStr">
        <is>
          <t>SUNDSVALL</t>
        </is>
      </c>
      <c r="F502" t="inlineStr">
        <is>
          <t>Kommuner</t>
        </is>
      </c>
      <c r="G502" t="n">
        <v>1.6</v>
      </c>
      <c r="H502" t="n">
        <v>0</v>
      </c>
      <c r="I502" t="n">
        <v>0</v>
      </c>
      <c r="J502" t="n">
        <v>0</v>
      </c>
      <c r="K502" t="n">
        <v>0</v>
      </c>
      <c r="L502" t="n">
        <v>0</v>
      </c>
      <c r="M502" t="n">
        <v>0</v>
      </c>
      <c r="N502" t="n">
        <v>0</v>
      </c>
      <c r="O502" t="n">
        <v>0</v>
      </c>
      <c r="P502" t="n">
        <v>0</v>
      </c>
      <c r="Q502" t="n">
        <v>0</v>
      </c>
      <c r="R502" s="2" t="inlineStr"/>
    </row>
    <row r="503" ht="15" customHeight="1">
      <c r="A503" t="inlineStr">
        <is>
          <t>A 2052-2020</t>
        </is>
      </c>
      <c r="B503" s="1" t="n">
        <v>43845</v>
      </c>
      <c r="C503" s="1" t="n">
        <v>45841</v>
      </c>
      <c r="D503" t="inlineStr">
        <is>
          <t>VÄSTERNORRLANDS LÄN</t>
        </is>
      </c>
      <c r="E503" t="inlineStr">
        <is>
          <t>SUNDSVALL</t>
        </is>
      </c>
      <c r="F503" t="inlineStr">
        <is>
          <t>Kommuner</t>
        </is>
      </c>
      <c r="G503" t="n">
        <v>0.9</v>
      </c>
      <c r="H503" t="n">
        <v>0</v>
      </c>
      <c r="I503" t="n">
        <v>0</v>
      </c>
      <c r="J503" t="n">
        <v>0</v>
      </c>
      <c r="K503" t="n">
        <v>0</v>
      </c>
      <c r="L503" t="n">
        <v>0</v>
      </c>
      <c r="M503" t="n">
        <v>0</v>
      </c>
      <c r="N503" t="n">
        <v>0</v>
      </c>
      <c r="O503" t="n">
        <v>0</v>
      </c>
      <c r="P503" t="n">
        <v>0</v>
      </c>
      <c r="Q503" t="n">
        <v>0</v>
      </c>
      <c r="R503" s="2" t="inlineStr"/>
    </row>
    <row r="504" ht="15" customHeight="1">
      <c r="A504" t="inlineStr">
        <is>
          <t>A 2100-2020</t>
        </is>
      </c>
      <c r="B504" s="1" t="n">
        <v>43845</v>
      </c>
      <c r="C504" s="1" t="n">
        <v>45841</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1919-2020</t>
        </is>
      </c>
      <c r="B505" s="1" t="n">
        <v>43845</v>
      </c>
      <c r="C505" s="1" t="n">
        <v>45841</v>
      </c>
      <c r="D505" t="inlineStr">
        <is>
          <t>VÄSTERNORRLANDS LÄN</t>
        </is>
      </c>
      <c r="E505" t="inlineStr">
        <is>
          <t>SUNDSVALL</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1928-2020</t>
        </is>
      </c>
      <c r="B506" s="1" t="n">
        <v>43845</v>
      </c>
      <c r="C506" s="1" t="n">
        <v>45841</v>
      </c>
      <c r="D506" t="inlineStr">
        <is>
          <t>VÄSTERNORRLANDS LÄN</t>
        </is>
      </c>
      <c r="E506" t="inlineStr">
        <is>
          <t>SUNDSVALL</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1937-2020</t>
        </is>
      </c>
      <c r="B507" s="1" t="n">
        <v>43845</v>
      </c>
      <c r="C507" s="1" t="n">
        <v>45841</v>
      </c>
      <c r="D507" t="inlineStr">
        <is>
          <t>VÄSTERNORRLANDS LÄN</t>
        </is>
      </c>
      <c r="E507" t="inlineStr">
        <is>
          <t>SUNDSVALL</t>
        </is>
      </c>
      <c r="G507" t="n">
        <v>2.5</v>
      </c>
      <c r="H507" t="n">
        <v>0</v>
      </c>
      <c r="I507" t="n">
        <v>0</v>
      </c>
      <c r="J507" t="n">
        <v>0</v>
      </c>
      <c r="K507" t="n">
        <v>0</v>
      </c>
      <c r="L507" t="n">
        <v>0</v>
      </c>
      <c r="M507" t="n">
        <v>0</v>
      </c>
      <c r="N507" t="n">
        <v>0</v>
      </c>
      <c r="O507" t="n">
        <v>0</v>
      </c>
      <c r="P507" t="n">
        <v>0</v>
      </c>
      <c r="Q507" t="n">
        <v>0</v>
      </c>
      <c r="R507" s="2" t="inlineStr"/>
    </row>
    <row r="508" ht="15" customHeight="1">
      <c r="A508" t="inlineStr">
        <is>
          <t>A 2065-2020</t>
        </is>
      </c>
      <c r="B508" s="1" t="n">
        <v>43845</v>
      </c>
      <c r="C508" s="1" t="n">
        <v>45841</v>
      </c>
      <c r="D508" t="inlineStr">
        <is>
          <t>VÄSTERNORRLANDS LÄN</t>
        </is>
      </c>
      <c r="E508" t="inlineStr">
        <is>
          <t>SUNDSVALL</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1979-2020</t>
        </is>
      </c>
      <c r="B509" s="1" t="n">
        <v>43845</v>
      </c>
      <c r="C509" s="1" t="n">
        <v>45841</v>
      </c>
      <c r="D509" t="inlineStr">
        <is>
          <t>VÄSTERNORRLANDS LÄN</t>
        </is>
      </c>
      <c r="E509" t="inlineStr">
        <is>
          <t>SUNDSVALL</t>
        </is>
      </c>
      <c r="G509" t="n">
        <v>0.6</v>
      </c>
      <c r="H509" t="n">
        <v>0</v>
      </c>
      <c r="I509" t="n">
        <v>0</v>
      </c>
      <c r="J509" t="n">
        <v>0</v>
      </c>
      <c r="K509" t="n">
        <v>0</v>
      </c>
      <c r="L509" t="n">
        <v>0</v>
      </c>
      <c r="M509" t="n">
        <v>0</v>
      </c>
      <c r="N509" t="n">
        <v>0</v>
      </c>
      <c r="O509" t="n">
        <v>0</v>
      </c>
      <c r="P509" t="n">
        <v>0</v>
      </c>
      <c r="Q509" t="n">
        <v>0</v>
      </c>
      <c r="R509" s="2" t="inlineStr"/>
    </row>
    <row r="510" ht="15" customHeight="1">
      <c r="A510" t="inlineStr">
        <is>
          <t>A 3550-2020</t>
        </is>
      </c>
      <c r="B510" s="1" t="n">
        <v>43845</v>
      </c>
      <c r="C510" s="1" t="n">
        <v>45841</v>
      </c>
      <c r="D510" t="inlineStr">
        <is>
          <t>VÄSTERNORRLANDS LÄN</t>
        </is>
      </c>
      <c r="E510" t="inlineStr">
        <is>
          <t>SUNDSVALL</t>
        </is>
      </c>
      <c r="F510" t="inlineStr">
        <is>
          <t>Övriga statliga verk och myndigheter</t>
        </is>
      </c>
      <c r="G510" t="n">
        <v>0.9</v>
      </c>
      <c r="H510" t="n">
        <v>0</v>
      </c>
      <c r="I510" t="n">
        <v>0</v>
      </c>
      <c r="J510" t="n">
        <v>0</v>
      </c>
      <c r="K510" t="n">
        <v>0</v>
      </c>
      <c r="L510" t="n">
        <v>0</v>
      </c>
      <c r="M510" t="n">
        <v>0</v>
      </c>
      <c r="N510" t="n">
        <v>0</v>
      </c>
      <c r="O510" t="n">
        <v>0</v>
      </c>
      <c r="P510" t="n">
        <v>0</v>
      </c>
      <c r="Q510" t="n">
        <v>0</v>
      </c>
      <c r="R510" s="2" t="inlineStr"/>
    </row>
    <row r="511" ht="15" customHeight="1">
      <c r="A511" t="inlineStr">
        <is>
          <t>A 2106-2020</t>
        </is>
      </c>
      <c r="B511" s="1" t="n">
        <v>43845</v>
      </c>
      <c r="C511" s="1" t="n">
        <v>45841</v>
      </c>
      <c r="D511" t="inlineStr">
        <is>
          <t>VÄSTERNORRLANDS LÄN</t>
        </is>
      </c>
      <c r="E511" t="inlineStr">
        <is>
          <t>SUNDSVALL</t>
        </is>
      </c>
      <c r="F511" t="inlineStr">
        <is>
          <t>Naturvårdsverket</t>
        </is>
      </c>
      <c r="G511" t="n">
        <v>3.8</v>
      </c>
      <c r="H511" t="n">
        <v>0</v>
      </c>
      <c r="I511" t="n">
        <v>0</v>
      </c>
      <c r="J511" t="n">
        <v>0</v>
      </c>
      <c r="K511" t="n">
        <v>0</v>
      </c>
      <c r="L511" t="n">
        <v>0</v>
      </c>
      <c r="M511" t="n">
        <v>0</v>
      </c>
      <c r="N511" t="n">
        <v>0</v>
      </c>
      <c r="O511" t="n">
        <v>0</v>
      </c>
      <c r="P511" t="n">
        <v>0</v>
      </c>
      <c r="Q511" t="n">
        <v>0</v>
      </c>
      <c r="R511" s="2" t="inlineStr"/>
    </row>
    <row r="512" ht="15" customHeight="1">
      <c r="A512" t="inlineStr">
        <is>
          <t>A 2314-2020</t>
        </is>
      </c>
      <c r="B512" s="1" t="n">
        <v>43846</v>
      </c>
      <c r="C512" s="1" t="n">
        <v>45841</v>
      </c>
      <c r="D512" t="inlineStr">
        <is>
          <t>VÄSTERNORRLANDS LÄN</t>
        </is>
      </c>
      <c r="E512" t="inlineStr">
        <is>
          <t>SUNDSVALL</t>
        </is>
      </c>
      <c r="G512" t="n">
        <v>2.9</v>
      </c>
      <c r="H512" t="n">
        <v>0</v>
      </c>
      <c r="I512" t="n">
        <v>0</v>
      </c>
      <c r="J512" t="n">
        <v>0</v>
      </c>
      <c r="K512" t="n">
        <v>0</v>
      </c>
      <c r="L512" t="n">
        <v>0</v>
      </c>
      <c r="M512" t="n">
        <v>0</v>
      </c>
      <c r="N512" t="n">
        <v>0</v>
      </c>
      <c r="O512" t="n">
        <v>0</v>
      </c>
      <c r="P512" t="n">
        <v>0</v>
      </c>
      <c r="Q512" t="n">
        <v>0</v>
      </c>
      <c r="R512" s="2" t="inlineStr"/>
    </row>
    <row r="513" ht="15" customHeight="1">
      <c r="A513" t="inlineStr">
        <is>
          <t>A 2631-2020</t>
        </is>
      </c>
      <c r="B513" s="1" t="n">
        <v>43847</v>
      </c>
      <c r="C513" s="1" t="n">
        <v>45841</v>
      </c>
      <c r="D513" t="inlineStr">
        <is>
          <t>VÄSTERNORRLANDS LÄN</t>
        </is>
      </c>
      <c r="E513" t="inlineStr">
        <is>
          <t>SUNDSVALL</t>
        </is>
      </c>
      <c r="F513" t="inlineStr">
        <is>
          <t>Kommuner</t>
        </is>
      </c>
      <c r="G513" t="n">
        <v>4.4</v>
      </c>
      <c r="H513" t="n">
        <v>0</v>
      </c>
      <c r="I513" t="n">
        <v>0</v>
      </c>
      <c r="J513" t="n">
        <v>0</v>
      </c>
      <c r="K513" t="n">
        <v>0</v>
      </c>
      <c r="L513" t="n">
        <v>0</v>
      </c>
      <c r="M513" t="n">
        <v>0</v>
      </c>
      <c r="N513" t="n">
        <v>0</v>
      </c>
      <c r="O513" t="n">
        <v>0</v>
      </c>
      <c r="P513" t="n">
        <v>0</v>
      </c>
      <c r="Q513" t="n">
        <v>0</v>
      </c>
      <c r="R513" s="2" t="inlineStr"/>
    </row>
    <row r="514" ht="15" customHeight="1">
      <c r="A514" t="inlineStr">
        <is>
          <t>A 2630-2020</t>
        </is>
      </c>
      <c r="B514" s="1" t="n">
        <v>43847</v>
      </c>
      <c r="C514" s="1" t="n">
        <v>45841</v>
      </c>
      <c r="D514" t="inlineStr">
        <is>
          <t>VÄSTERNORRLANDS LÄN</t>
        </is>
      </c>
      <c r="E514" t="inlineStr">
        <is>
          <t>SUNDSVALL</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2478-2020</t>
        </is>
      </c>
      <c r="B515" s="1" t="n">
        <v>43847</v>
      </c>
      <c r="C515" s="1" t="n">
        <v>45841</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3003-2020</t>
        </is>
      </c>
      <c r="B516" s="1" t="n">
        <v>43850</v>
      </c>
      <c r="C516" s="1" t="n">
        <v>45841</v>
      </c>
      <c r="D516" t="inlineStr">
        <is>
          <t>VÄSTERNORRLANDS LÄN</t>
        </is>
      </c>
      <c r="E516" t="inlineStr">
        <is>
          <t>SUNDSVALL</t>
        </is>
      </c>
      <c r="G516" t="n">
        <v>2.4</v>
      </c>
      <c r="H516" t="n">
        <v>0</v>
      </c>
      <c r="I516" t="n">
        <v>0</v>
      </c>
      <c r="J516" t="n">
        <v>0</v>
      </c>
      <c r="K516" t="n">
        <v>0</v>
      </c>
      <c r="L516" t="n">
        <v>0</v>
      </c>
      <c r="M516" t="n">
        <v>0</v>
      </c>
      <c r="N516" t="n">
        <v>0</v>
      </c>
      <c r="O516" t="n">
        <v>0</v>
      </c>
      <c r="P516" t="n">
        <v>0</v>
      </c>
      <c r="Q516" t="n">
        <v>0</v>
      </c>
      <c r="R516" s="2" t="inlineStr"/>
    </row>
    <row r="517" ht="15" customHeight="1">
      <c r="A517" t="inlineStr">
        <is>
          <t>A 3092-2020</t>
        </is>
      </c>
      <c r="B517" s="1" t="n">
        <v>43851</v>
      </c>
      <c r="C517" s="1" t="n">
        <v>45841</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3415-2020</t>
        </is>
      </c>
      <c r="B518" s="1" t="n">
        <v>43852</v>
      </c>
      <c r="C518" s="1" t="n">
        <v>45841</v>
      </c>
      <c r="D518" t="inlineStr">
        <is>
          <t>VÄSTERNORRLANDS LÄN</t>
        </is>
      </c>
      <c r="E518" t="inlineStr">
        <is>
          <t>SUNDSVALL</t>
        </is>
      </c>
      <c r="F518" t="inlineStr">
        <is>
          <t>Kommuner</t>
        </is>
      </c>
      <c r="G518" t="n">
        <v>6.3</v>
      </c>
      <c r="H518" t="n">
        <v>0</v>
      </c>
      <c r="I518" t="n">
        <v>0</v>
      </c>
      <c r="J518" t="n">
        <v>0</v>
      </c>
      <c r="K518" t="n">
        <v>0</v>
      </c>
      <c r="L518" t="n">
        <v>0</v>
      </c>
      <c r="M518" t="n">
        <v>0</v>
      </c>
      <c r="N518" t="n">
        <v>0</v>
      </c>
      <c r="O518" t="n">
        <v>0</v>
      </c>
      <c r="P518" t="n">
        <v>0</v>
      </c>
      <c r="Q518" t="n">
        <v>0</v>
      </c>
      <c r="R518" s="2" t="inlineStr"/>
    </row>
    <row r="519" ht="15" customHeight="1">
      <c r="A519" t="inlineStr">
        <is>
          <t>A 3538-2020</t>
        </is>
      </c>
      <c r="B519" s="1" t="n">
        <v>43853</v>
      </c>
      <c r="C519" s="1" t="n">
        <v>45841</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4528-2020</t>
        </is>
      </c>
      <c r="B520" s="1" t="n">
        <v>43858</v>
      </c>
      <c r="C520" s="1" t="n">
        <v>45841</v>
      </c>
      <c r="D520" t="inlineStr">
        <is>
          <t>VÄSTERNORRLANDS LÄN</t>
        </is>
      </c>
      <c r="E520" t="inlineStr">
        <is>
          <t>SUNDSVALL</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5631-2020</t>
        </is>
      </c>
      <c r="B521" s="1" t="n">
        <v>43860</v>
      </c>
      <c r="C521" s="1" t="n">
        <v>45841</v>
      </c>
      <c r="D521" t="inlineStr">
        <is>
          <t>VÄSTERNORRLANDS LÄN</t>
        </is>
      </c>
      <c r="E521" t="inlineStr">
        <is>
          <t>SUNDSVALL</t>
        </is>
      </c>
      <c r="G521" t="n">
        <v>7.3</v>
      </c>
      <c r="H521" t="n">
        <v>0</v>
      </c>
      <c r="I521" t="n">
        <v>0</v>
      </c>
      <c r="J521" t="n">
        <v>0</v>
      </c>
      <c r="K521" t="n">
        <v>0</v>
      </c>
      <c r="L521" t="n">
        <v>0</v>
      </c>
      <c r="M521" t="n">
        <v>0</v>
      </c>
      <c r="N521" t="n">
        <v>0</v>
      </c>
      <c r="O521" t="n">
        <v>0</v>
      </c>
      <c r="P521" t="n">
        <v>0</v>
      </c>
      <c r="Q521" t="n">
        <v>0</v>
      </c>
      <c r="R521" s="2" t="inlineStr"/>
    </row>
    <row r="522" ht="15" customHeight="1">
      <c r="A522" t="inlineStr">
        <is>
          <t>A 5528-2020</t>
        </is>
      </c>
      <c r="B522" s="1" t="n">
        <v>43861</v>
      </c>
      <c r="C522" s="1" t="n">
        <v>45841</v>
      </c>
      <c r="D522" t="inlineStr">
        <is>
          <t>VÄSTERNORRLANDS LÄN</t>
        </is>
      </c>
      <c r="E522" t="inlineStr">
        <is>
          <t>SUNDSVALL</t>
        </is>
      </c>
      <c r="G522" t="n">
        <v>1.3</v>
      </c>
      <c r="H522" t="n">
        <v>0</v>
      </c>
      <c r="I522" t="n">
        <v>0</v>
      </c>
      <c r="J522" t="n">
        <v>0</v>
      </c>
      <c r="K522" t="n">
        <v>0</v>
      </c>
      <c r="L522" t="n">
        <v>0</v>
      </c>
      <c r="M522" t="n">
        <v>0</v>
      </c>
      <c r="N522" t="n">
        <v>0</v>
      </c>
      <c r="O522" t="n">
        <v>0</v>
      </c>
      <c r="P522" t="n">
        <v>0</v>
      </c>
      <c r="Q522" t="n">
        <v>0</v>
      </c>
      <c r="R522" s="2" t="inlineStr"/>
    </row>
    <row r="523" ht="15" customHeight="1">
      <c r="A523" t="inlineStr">
        <is>
          <t>A 5705-2020</t>
        </is>
      </c>
      <c r="B523" s="1" t="n">
        <v>43861</v>
      </c>
      <c r="C523" s="1" t="n">
        <v>45841</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5711-2020</t>
        </is>
      </c>
      <c r="B524" s="1" t="n">
        <v>43861</v>
      </c>
      <c r="C524" s="1" t="n">
        <v>45841</v>
      </c>
      <c r="D524" t="inlineStr">
        <is>
          <t>VÄSTERNORRLANDS LÄN</t>
        </is>
      </c>
      <c r="E524" t="inlineStr">
        <is>
          <t>SUNDSVALL</t>
        </is>
      </c>
      <c r="G524" t="n">
        <v>3.4</v>
      </c>
      <c r="H524" t="n">
        <v>0</v>
      </c>
      <c r="I524" t="n">
        <v>0</v>
      </c>
      <c r="J524" t="n">
        <v>0</v>
      </c>
      <c r="K524" t="n">
        <v>0</v>
      </c>
      <c r="L524" t="n">
        <v>0</v>
      </c>
      <c r="M524" t="n">
        <v>0</v>
      </c>
      <c r="N524" t="n">
        <v>0</v>
      </c>
      <c r="O524" t="n">
        <v>0</v>
      </c>
      <c r="P524" t="n">
        <v>0</v>
      </c>
      <c r="Q524" t="n">
        <v>0</v>
      </c>
      <c r="R524" s="2" t="inlineStr"/>
    </row>
    <row r="525" ht="15" customHeight="1">
      <c r="A525" t="inlineStr">
        <is>
          <t>A 5773-2020</t>
        </is>
      </c>
      <c r="B525" s="1" t="n">
        <v>43864</v>
      </c>
      <c r="C525" s="1" t="n">
        <v>45841</v>
      </c>
      <c r="D525" t="inlineStr">
        <is>
          <t>VÄSTERNORRLANDS LÄN</t>
        </is>
      </c>
      <c r="E525" t="inlineStr">
        <is>
          <t>SUNDSVALL</t>
        </is>
      </c>
      <c r="G525" t="n">
        <v>4.7</v>
      </c>
      <c r="H525" t="n">
        <v>0</v>
      </c>
      <c r="I525" t="n">
        <v>0</v>
      </c>
      <c r="J525" t="n">
        <v>0</v>
      </c>
      <c r="K525" t="n">
        <v>0</v>
      </c>
      <c r="L525" t="n">
        <v>0</v>
      </c>
      <c r="M525" t="n">
        <v>0</v>
      </c>
      <c r="N525" t="n">
        <v>0</v>
      </c>
      <c r="O525" t="n">
        <v>0</v>
      </c>
      <c r="P525" t="n">
        <v>0</v>
      </c>
      <c r="Q525" t="n">
        <v>0</v>
      </c>
      <c r="R525" s="2" t="inlineStr"/>
    </row>
    <row r="526" ht="15" customHeight="1">
      <c r="A526" t="inlineStr">
        <is>
          <t>A 5815-2020</t>
        </is>
      </c>
      <c r="B526" s="1" t="n">
        <v>43864</v>
      </c>
      <c r="C526" s="1" t="n">
        <v>45841</v>
      </c>
      <c r="D526" t="inlineStr">
        <is>
          <t>VÄSTERNORRLANDS LÄN</t>
        </is>
      </c>
      <c r="E526" t="inlineStr">
        <is>
          <t>SUNDSVALL</t>
        </is>
      </c>
      <c r="G526" t="n">
        <v>1</v>
      </c>
      <c r="H526" t="n">
        <v>0</v>
      </c>
      <c r="I526" t="n">
        <v>0</v>
      </c>
      <c r="J526" t="n">
        <v>0</v>
      </c>
      <c r="K526" t="n">
        <v>0</v>
      </c>
      <c r="L526" t="n">
        <v>0</v>
      </c>
      <c r="M526" t="n">
        <v>0</v>
      </c>
      <c r="N526" t="n">
        <v>0</v>
      </c>
      <c r="O526" t="n">
        <v>0</v>
      </c>
      <c r="P526" t="n">
        <v>0</v>
      </c>
      <c r="Q526" t="n">
        <v>0</v>
      </c>
      <c r="R526" s="2" t="inlineStr"/>
    </row>
    <row r="527" ht="15" customHeight="1">
      <c r="A527" t="inlineStr">
        <is>
          <t>A 5963-2020</t>
        </is>
      </c>
      <c r="B527" s="1" t="n">
        <v>43864</v>
      </c>
      <c r="C527" s="1" t="n">
        <v>45841</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5966-2020</t>
        </is>
      </c>
      <c r="B528" s="1" t="n">
        <v>43864</v>
      </c>
      <c r="C528" s="1" t="n">
        <v>45841</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6292-2020</t>
        </is>
      </c>
      <c r="B529" s="1" t="n">
        <v>43866</v>
      </c>
      <c r="C529" s="1" t="n">
        <v>45841</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6807-2020</t>
        </is>
      </c>
      <c r="B530" s="1" t="n">
        <v>43867</v>
      </c>
      <c r="C530" s="1" t="n">
        <v>45841</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7497-2020</t>
        </is>
      </c>
      <c r="B531" s="1" t="n">
        <v>43871</v>
      </c>
      <c r="C531" s="1" t="n">
        <v>45841</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7502-2020</t>
        </is>
      </c>
      <c r="B532" s="1" t="n">
        <v>43871</v>
      </c>
      <c r="C532" s="1" t="n">
        <v>45841</v>
      </c>
      <c r="D532" t="inlineStr">
        <is>
          <t>VÄSTERNORRLANDS LÄN</t>
        </is>
      </c>
      <c r="E532" t="inlineStr">
        <is>
          <t>SUNDSVALL</t>
        </is>
      </c>
      <c r="G532" t="n">
        <v>0.3</v>
      </c>
      <c r="H532" t="n">
        <v>0</v>
      </c>
      <c r="I532" t="n">
        <v>0</v>
      </c>
      <c r="J532" t="n">
        <v>0</v>
      </c>
      <c r="K532" t="n">
        <v>0</v>
      </c>
      <c r="L532" t="n">
        <v>0</v>
      </c>
      <c r="M532" t="n">
        <v>0</v>
      </c>
      <c r="N532" t="n">
        <v>0</v>
      </c>
      <c r="O532" t="n">
        <v>0</v>
      </c>
      <c r="P532" t="n">
        <v>0</v>
      </c>
      <c r="Q532" t="n">
        <v>0</v>
      </c>
      <c r="R532" s="2" t="inlineStr"/>
    </row>
    <row r="533" ht="15" customHeight="1">
      <c r="A533" t="inlineStr">
        <is>
          <t>A 7499-2020</t>
        </is>
      </c>
      <c r="B533" s="1" t="n">
        <v>43871</v>
      </c>
      <c r="C533" s="1" t="n">
        <v>45841</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7505-2020</t>
        </is>
      </c>
      <c r="B534" s="1" t="n">
        <v>43871</v>
      </c>
      <c r="C534" s="1" t="n">
        <v>45841</v>
      </c>
      <c r="D534" t="inlineStr">
        <is>
          <t>VÄSTERNORRLANDS LÄN</t>
        </is>
      </c>
      <c r="E534" t="inlineStr">
        <is>
          <t>SUNDSVALL</t>
        </is>
      </c>
      <c r="G534" t="n">
        <v>10</v>
      </c>
      <c r="H534" t="n">
        <v>0</v>
      </c>
      <c r="I534" t="n">
        <v>0</v>
      </c>
      <c r="J534" t="n">
        <v>0</v>
      </c>
      <c r="K534" t="n">
        <v>0</v>
      </c>
      <c r="L534" t="n">
        <v>0</v>
      </c>
      <c r="M534" t="n">
        <v>0</v>
      </c>
      <c r="N534" t="n">
        <v>0</v>
      </c>
      <c r="O534" t="n">
        <v>0</v>
      </c>
      <c r="P534" t="n">
        <v>0</v>
      </c>
      <c r="Q534" t="n">
        <v>0</v>
      </c>
      <c r="R534" s="2" t="inlineStr"/>
    </row>
    <row r="535" ht="15" customHeight="1">
      <c r="A535" t="inlineStr">
        <is>
          <t>A 7501-2020</t>
        </is>
      </c>
      <c r="B535" s="1" t="n">
        <v>43871</v>
      </c>
      <c r="C535" s="1" t="n">
        <v>45841</v>
      </c>
      <c r="D535" t="inlineStr">
        <is>
          <t>VÄSTERNORRLANDS LÄN</t>
        </is>
      </c>
      <c r="E535" t="inlineStr">
        <is>
          <t>SUNDSVALL</t>
        </is>
      </c>
      <c r="G535" t="n">
        <v>0.1</v>
      </c>
      <c r="H535" t="n">
        <v>0</v>
      </c>
      <c r="I535" t="n">
        <v>0</v>
      </c>
      <c r="J535" t="n">
        <v>0</v>
      </c>
      <c r="K535" t="n">
        <v>0</v>
      </c>
      <c r="L535" t="n">
        <v>0</v>
      </c>
      <c r="M535" t="n">
        <v>0</v>
      </c>
      <c r="N535" t="n">
        <v>0</v>
      </c>
      <c r="O535" t="n">
        <v>0</v>
      </c>
      <c r="P535" t="n">
        <v>0</v>
      </c>
      <c r="Q535" t="n">
        <v>0</v>
      </c>
      <c r="R535" s="2" t="inlineStr"/>
    </row>
    <row r="536" ht="15" customHeight="1">
      <c r="A536" t="inlineStr">
        <is>
          <t>A 7498-2020</t>
        </is>
      </c>
      <c r="B536" s="1" t="n">
        <v>43871</v>
      </c>
      <c r="C536" s="1" t="n">
        <v>45841</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7503-2020</t>
        </is>
      </c>
      <c r="B537" s="1" t="n">
        <v>43871</v>
      </c>
      <c r="C537" s="1" t="n">
        <v>45841</v>
      </c>
      <c r="D537" t="inlineStr">
        <is>
          <t>VÄSTERNORRLANDS LÄN</t>
        </is>
      </c>
      <c r="E537" t="inlineStr">
        <is>
          <t>SUNDSVALL</t>
        </is>
      </c>
      <c r="G537" t="n">
        <v>0.2</v>
      </c>
      <c r="H537" t="n">
        <v>0</v>
      </c>
      <c r="I537" t="n">
        <v>0</v>
      </c>
      <c r="J537" t="n">
        <v>0</v>
      </c>
      <c r="K537" t="n">
        <v>0</v>
      </c>
      <c r="L537" t="n">
        <v>0</v>
      </c>
      <c r="M537" t="n">
        <v>0</v>
      </c>
      <c r="N537" t="n">
        <v>0</v>
      </c>
      <c r="O537" t="n">
        <v>0</v>
      </c>
      <c r="P537" t="n">
        <v>0</v>
      </c>
      <c r="Q537" t="n">
        <v>0</v>
      </c>
      <c r="R537" s="2" t="inlineStr"/>
    </row>
    <row r="538" ht="15" customHeight="1">
      <c r="A538" t="inlineStr">
        <is>
          <t>A 7961-2020</t>
        </is>
      </c>
      <c r="B538" s="1" t="n">
        <v>43873</v>
      </c>
      <c r="C538" s="1" t="n">
        <v>45841</v>
      </c>
      <c r="D538" t="inlineStr">
        <is>
          <t>VÄSTERNORRLANDS LÄN</t>
        </is>
      </c>
      <c r="E538" t="inlineStr">
        <is>
          <t>SUNDSVALL</t>
        </is>
      </c>
      <c r="G538" t="n">
        <v>4.8</v>
      </c>
      <c r="H538" t="n">
        <v>0</v>
      </c>
      <c r="I538" t="n">
        <v>0</v>
      </c>
      <c r="J538" t="n">
        <v>0</v>
      </c>
      <c r="K538" t="n">
        <v>0</v>
      </c>
      <c r="L538" t="n">
        <v>0</v>
      </c>
      <c r="M538" t="n">
        <v>0</v>
      </c>
      <c r="N538" t="n">
        <v>0</v>
      </c>
      <c r="O538" t="n">
        <v>0</v>
      </c>
      <c r="P538" t="n">
        <v>0</v>
      </c>
      <c r="Q538" t="n">
        <v>0</v>
      </c>
      <c r="R538" s="2" t="inlineStr"/>
    </row>
    <row r="539" ht="15" customHeight="1">
      <c r="A539" t="inlineStr">
        <is>
          <t>A 7944-2020</t>
        </is>
      </c>
      <c r="B539" s="1" t="n">
        <v>43873</v>
      </c>
      <c r="C539" s="1" t="n">
        <v>45841</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8527-2020</t>
        </is>
      </c>
      <c r="B540" s="1" t="n">
        <v>43875</v>
      </c>
      <c r="C540" s="1" t="n">
        <v>45841</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8531-2020</t>
        </is>
      </c>
      <c r="B541" s="1" t="n">
        <v>43875</v>
      </c>
      <c r="C541" s="1" t="n">
        <v>45841</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8882-2020</t>
        </is>
      </c>
      <c r="B542" s="1" t="n">
        <v>43878</v>
      </c>
      <c r="C542" s="1" t="n">
        <v>45841</v>
      </c>
      <c r="D542" t="inlineStr">
        <is>
          <t>VÄSTERNORRLANDS LÄN</t>
        </is>
      </c>
      <c r="E542" t="inlineStr">
        <is>
          <t>SUNDSVALL</t>
        </is>
      </c>
      <c r="G542" t="n">
        <v>7.2</v>
      </c>
      <c r="H542" t="n">
        <v>0</v>
      </c>
      <c r="I542" t="n">
        <v>0</v>
      </c>
      <c r="J542" t="n">
        <v>0</v>
      </c>
      <c r="K542" t="n">
        <v>0</v>
      </c>
      <c r="L542" t="n">
        <v>0</v>
      </c>
      <c r="M542" t="n">
        <v>0</v>
      </c>
      <c r="N542" t="n">
        <v>0</v>
      </c>
      <c r="O542" t="n">
        <v>0</v>
      </c>
      <c r="P542" t="n">
        <v>0</v>
      </c>
      <c r="Q542" t="n">
        <v>0</v>
      </c>
      <c r="R542" s="2" t="inlineStr"/>
    </row>
    <row r="543" ht="15" customHeight="1">
      <c r="A543" t="inlineStr">
        <is>
          <t>A 8924-2020</t>
        </is>
      </c>
      <c r="B543" s="1" t="n">
        <v>43878</v>
      </c>
      <c r="C543" s="1" t="n">
        <v>45841</v>
      </c>
      <c r="D543" t="inlineStr">
        <is>
          <t>VÄSTERNORRLANDS LÄN</t>
        </is>
      </c>
      <c r="E543" t="inlineStr">
        <is>
          <t>SUNDSVALL</t>
        </is>
      </c>
      <c r="G543" t="n">
        <v>2.2</v>
      </c>
      <c r="H543" t="n">
        <v>0</v>
      </c>
      <c r="I543" t="n">
        <v>0</v>
      </c>
      <c r="J543" t="n">
        <v>0</v>
      </c>
      <c r="K543" t="n">
        <v>0</v>
      </c>
      <c r="L543" t="n">
        <v>0</v>
      </c>
      <c r="M543" t="n">
        <v>0</v>
      </c>
      <c r="N543" t="n">
        <v>0</v>
      </c>
      <c r="O543" t="n">
        <v>0</v>
      </c>
      <c r="P543" t="n">
        <v>0</v>
      </c>
      <c r="Q543" t="n">
        <v>0</v>
      </c>
      <c r="R543" s="2" t="inlineStr"/>
    </row>
    <row r="544" ht="15" customHeight="1">
      <c r="A544" t="inlineStr">
        <is>
          <t>A 8943-2020</t>
        </is>
      </c>
      <c r="B544" s="1" t="n">
        <v>43878</v>
      </c>
      <c r="C544" s="1" t="n">
        <v>45841</v>
      </c>
      <c r="D544" t="inlineStr">
        <is>
          <t>VÄSTERNORRLANDS LÄN</t>
        </is>
      </c>
      <c r="E544" t="inlineStr">
        <is>
          <t>SUNDSVALL</t>
        </is>
      </c>
      <c r="G544" t="n">
        <v>1.3</v>
      </c>
      <c r="H544" t="n">
        <v>0</v>
      </c>
      <c r="I544" t="n">
        <v>0</v>
      </c>
      <c r="J544" t="n">
        <v>0</v>
      </c>
      <c r="K544" t="n">
        <v>0</v>
      </c>
      <c r="L544" t="n">
        <v>0</v>
      </c>
      <c r="M544" t="n">
        <v>0</v>
      </c>
      <c r="N544" t="n">
        <v>0</v>
      </c>
      <c r="O544" t="n">
        <v>0</v>
      </c>
      <c r="P544" t="n">
        <v>0</v>
      </c>
      <c r="Q544" t="n">
        <v>0</v>
      </c>
      <c r="R544" s="2" t="inlineStr"/>
    </row>
    <row r="545" ht="15" customHeight="1">
      <c r="A545" t="inlineStr">
        <is>
          <t>A 9486-2020</t>
        </is>
      </c>
      <c r="B545" s="1" t="n">
        <v>43880</v>
      </c>
      <c r="C545" s="1" t="n">
        <v>45841</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9554-2020</t>
        </is>
      </c>
      <c r="B546" s="1" t="n">
        <v>43881</v>
      </c>
      <c r="C546" s="1" t="n">
        <v>45841</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9837-2020</t>
        </is>
      </c>
      <c r="B547" s="1" t="n">
        <v>43881</v>
      </c>
      <c r="C547" s="1" t="n">
        <v>45841</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9841-2020</t>
        </is>
      </c>
      <c r="B548" s="1" t="n">
        <v>43881</v>
      </c>
      <c r="C548" s="1" t="n">
        <v>45841</v>
      </c>
      <c r="D548" t="inlineStr">
        <is>
          <t>VÄSTERNORRLANDS LÄN</t>
        </is>
      </c>
      <c r="E548" t="inlineStr">
        <is>
          <t>SUNDSVALL</t>
        </is>
      </c>
      <c r="G548" t="n">
        <v>0.6</v>
      </c>
      <c r="H548" t="n">
        <v>0</v>
      </c>
      <c r="I548" t="n">
        <v>0</v>
      </c>
      <c r="J548" t="n">
        <v>0</v>
      </c>
      <c r="K548" t="n">
        <v>0</v>
      </c>
      <c r="L548" t="n">
        <v>0</v>
      </c>
      <c r="M548" t="n">
        <v>0</v>
      </c>
      <c r="N548" t="n">
        <v>0</v>
      </c>
      <c r="O548" t="n">
        <v>0</v>
      </c>
      <c r="P548" t="n">
        <v>0</v>
      </c>
      <c r="Q548" t="n">
        <v>0</v>
      </c>
      <c r="R548" s="2" t="inlineStr"/>
    </row>
    <row r="549" ht="15" customHeight="1">
      <c r="A549" t="inlineStr">
        <is>
          <t>A 9915-2020</t>
        </is>
      </c>
      <c r="B549" s="1" t="n">
        <v>43882</v>
      </c>
      <c r="C549" s="1" t="n">
        <v>45841</v>
      </c>
      <c r="D549" t="inlineStr">
        <is>
          <t>VÄSTERNORRLANDS LÄN</t>
        </is>
      </c>
      <c r="E549" t="inlineStr">
        <is>
          <t>SUNDSVALL</t>
        </is>
      </c>
      <c r="G549" t="n">
        <v>2.7</v>
      </c>
      <c r="H549" t="n">
        <v>0</v>
      </c>
      <c r="I549" t="n">
        <v>0</v>
      </c>
      <c r="J549" t="n">
        <v>0</v>
      </c>
      <c r="K549" t="n">
        <v>0</v>
      </c>
      <c r="L549" t="n">
        <v>0</v>
      </c>
      <c r="M549" t="n">
        <v>0</v>
      </c>
      <c r="N549" t="n">
        <v>0</v>
      </c>
      <c r="O549" t="n">
        <v>0</v>
      </c>
      <c r="P549" t="n">
        <v>0</v>
      </c>
      <c r="Q549" t="n">
        <v>0</v>
      </c>
      <c r="R549" s="2" t="inlineStr"/>
    </row>
    <row r="550" ht="15" customHeight="1">
      <c r="A550" t="inlineStr">
        <is>
          <t>A 10455-2020</t>
        </is>
      </c>
      <c r="B550" s="1" t="n">
        <v>43886</v>
      </c>
      <c r="C550" s="1" t="n">
        <v>45841</v>
      </c>
      <c r="D550" t="inlineStr">
        <is>
          <t>VÄSTERNORRLANDS LÄN</t>
        </is>
      </c>
      <c r="E550" t="inlineStr">
        <is>
          <t>SUNDSVALL</t>
        </is>
      </c>
      <c r="G550" t="n">
        <v>6.7</v>
      </c>
      <c r="H550" t="n">
        <v>0</v>
      </c>
      <c r="I550" t="n">
        <v>0</v>
      </c>
      <c r="J550" t="n">
        <v>0</v>
      </c>
      <c r="K550" t="n">
        <v>0</v>
      </c>
      <c r="L550" t="n">
        <v>0</v>
      </c>
      <c r="M550" t="n">
        <v>0</v>
      </c>
      <c r="N550" t="n">
        <v>0</v>
      </c>
      <c r="O550" t="n">
        <v>0</v>
      </c>
      <c r="P550" t="n">
        <v>0</v>
      </c>
      <c r="Q550" t="n">
        <v>0</v>
      </c>
      <c r="R550" s="2" t="inlineStr"/>
    </row>
    <row r="551" ht="15" customHeight="1">
      <c r="A551" t="inlineStr">
        <is>
          <t>A 10456-2020</t>
        </is>
      </c>
      <c r="B551" s="1" t="n">
        <v>43886</v>
      </c>
      <c r="C551" s="1" t="n">
        <v>45841</v>
      </c>
      <c r="D551" t="inlineStr">
        <is>
          <t>VÄSTERNORRLANDS LÄN</t>
        </is>
      </c>
      <c r="E551" t="inlineStr">
        <is>
          <t>SUNDSVALL</t>
        </is>
      </c>
      <c r="G551" t="n">
        <v>2.4</v>
      </c>
      <c r="H551" t="n">
        <v>0</v>
      </c>
      <c r="I551" t="n">
        <v>0</v>
      </c>
      <c r="J551" t="n">
        <v>0</v>
      </c>
      <c r="K551" t="n">
        <v>0</v>
      </c>
      <c r="L551" t="n">
        <v>0</v>
      </c>
      <c r="M551" t="n">
        <v>0</v>
      </c>
      <c r="N551" t="n">
        <v>0</v>
      </c>
      <c r="O551" t="n">
        <v>0</v>
      </c>
      <c r="P551" t="n">
        <v>0</v>
      </c>
      <c r="Q551" t="n">
        <v>0</v>
      </c>
      <c r="R551" s="2" t="inlineStr"/>
    </row>
    <row r="552" ht="15" customHeight="1">
      <c r="A552" t="inlineStr">
        <is>
          <t>A 10571-2020</t>
        </is>
      </c>
      <c r="B552" s="1" t="n">
        <v>43887</v>
      </c>
      <c r="C552" s="1" t="n">
        <v>45841</v>
      </c>
      <c r="D552" t="inlineStr">
        <is>
          <t>VÄSTERNORRLANDS LÄN</t>
        </is>
      </c>
      <c r="E552" t="inlineStr">
        <is>
          <t>SUNDSVALL</t>
        </is>
      </c>
      <c r="G552" t="n">
        <v>5.1</v>
      </c>
      <c r="H552" t="n">
        <v>0</v>
      </c>
      <c r="I552" t="n">
        <v>0</v>
      </c>
      <c r="J552" t="n">
        <v>0</v>
      </c>
      <c r="K552" t="n">
        <v>0</v>
      </c>
      <c r="L552" t="n">
        <v>0</v>
      </c>
      <c r="M552" t="n">
        <v>0</v>
      </c>
      <c r="N552" t="n">
        <v>0</v>
      </c>
      <c r="O552" t="n">
        <v>0</v>
      </c>
      <c r="P552" t="n">
        <v>0</v>
      </c>
      <c r="Q552" t="n">
        <v>0</v>
      </c>
      <c r="R552" s="2" t="inlineStr"/>
    </row>
    <row r="553" ht="15" customHeight="1">
      <c r="A553" t="inlineStr">
        <is>
          <t>A 10649-2020</t>
        </is>
      </c>
      <c r="B553" s="1" t="n">
        <v>43887</v>
      </c>
      <c r="C553" s="1" t="n">
        <v>45841</v>
      </c>
      <c r="D553" t="inlineStr">
        <is>
          <t>VÄSTERNORRLANDS LÄN</t>
        </is>
      </c>
      <c r="E553" t="inlineStr">
        <is>
          <t>SUNDSVALL</t>
        </is>
      </c>
      <c r="G553" t="n">
        <v>5.8</v>
      </c>
      <c r="H553" t="n">
        <v>0</v>
      </c>
      <c r="I553" t="n">
        <v>0</v>
      </c>
      <c r="J553" t="n">
        <v>0</v>
      </c>
      <c r="K553" t="n">
        <v>0</v>
      </c>
      <c r="L553" t="n">
        <v>0</v>
      </c>
      <c r="M553" t="n">
        <v>0</v>
      </c>
      <c r="N553" t="n">
        <v>0</v>
      </c>
      <c r="O553" t="n">
        <v>0</v>
      </c>
      <c r="P553" t="n">
        <v>0</v>
      </c>
      <c r="Q553" t="n">
        <v>0</v>
      </c>
      <c r="R553" s="2" t="inlineStr"/>
    </row>
    <row r="554" ht="15" customHeight="1">
      <c r="A554" t="inlineStr">
        <is>
          <t>A 10904-2020</t>
        </is>
      </c>
      <c r="B554" s="1" t="n">
        <v>43889</v>
      </c>
      <c r="C554" s="1" t="n">
        <v>45841</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11426-2020</t>
        </is>
      </c>
      <c r="B555" s="1" t="n">
        <v>43892</v>
      </c>
      <c r="C555" s="1" t="n">
        <v>45841</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11277-2020</t>
        </is>
      </c>
      <c r="B556" s="1" t="n">
        <v>43892</v>
      </c>
      <c r="C556" s="1" t="n">
        <v>45841</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11413-2020</t>
        </is>
      </c>
      <c r="B557" s="1" t="n">
        <v>43892</v>
      </c>
      <c r="C557" s="1" t="n">
        <v>45841</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11411-2020</t>
        </is>
      </c>
      <c r="B558" s="1" t="n">
        <v>43892</v>
      </c>
      <c r="C558" s="1" t="n">
        <v>45841</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11427-2020</t>
        </is>
      </c>
      <c r="B559" s="1" t="n">
        <v>43892</v>
      </c>
      <c r="C559" s="1" t="n">
        <v>45841</v>
      </c>
      <c r="D559" t="inlineStr">
        <is>
          <t>VÄSTERNORRLANDS LÄN</t>
        </is>
      </c>
      <c r="E559" t="inlineStr">
        <is>
          <t>SUNDSVALL</t>
        </is>
      </c>
      <c r="G559" t="n">
        <v>0.3</v>
      </c>
      <c r="H559" t="n">
        <v>0</v>
      </c>
      <c r="I559" t="n">
        <v>0</v>
      </c>
      <c r="J559" t="n">
        <v>0</v>
      </c>
      <c r="K559" t="n">
        <v>0</v>
      </c>
      <c r="L559" t="n">
        <v>0</v>
      </c>
      <c r="M559" t="n">
        <v>0</v>
      </c>
      <c r="N559" t="n">
        <v>0</v>
      </c>
      <c r="O559" t="n">
        <v>0</v>
      </c>
      <c r="P559" t="n">
        <v>0</v>
      </c>
      <c r="Q559" t="n">
        <v>0</v>
      </c>
      <c r="R559" s="2" t="inlineStr"/>
    </row>
    <row r="560" ht="15" customHeight="1">
      <c r="A560" t="inlineStr">
        <is>
          <t>A 11682-2020</t>
        </is>
      </c>
      <c r="B560" s="1" t="n">
        <v>43893</v>
      </c>
      <c r="C560" s="1" t="n">
        <v>45841</v>
      </c>
      <c r="D560" t="inlineStr">
        <is>
          <t>VÄSTERNORRLANDS LÄN</t>
        </is>
      </c>
      <c r="E560" t="inlineStr">
        <is>
          <t>SUNDSVALL</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12065-2020</t>
        </is>
      </c>
      <c r="B561" s="1" t="n">
        <v>43894</v>
      </c>
      <c r="C561" s="1" t="n">
        <v>45841</v>
      </c>
      <c r="D561" t="inlineStr">
        <is>
          <t>VÄSTERNORRLANDS LÄN</t>
        </is>
      </c>
      <c r="E561" t="inlineStr">
        <is>
          <t>SUNDSVALL</t>
        </is>
      </c>
      <c r="G561" t="n">
        <v>4.4</v>
      </c>
      <c r="H561" t="n">
        <v>0</v>
      </c>
      <c r="I561" t="n">
        <v>0</v>
      </c>
      <c r="J561" t="n">
        <v>0</v>
      </c>
      <c r="K561" t="n">
        <v>0</v>
      </c>
      <c r="L561" t="n">
        <v>0</v>
      </c>
      <c r="M561" t="n">
        <v>0</v>
      </c>
      <c r="N561" t="n">
        <v>0</v>
      </c>
      <c r="O561" t="n">
        <v>0</v>
      </c>
      <c r="P561" t="n">
        <v>0</v>
      </c>
      <c r="Q561" t="n">
        <v>0</v>
      </c>
      <c r="R561" s="2" t="inlineStr"/>
    </row>
    <row r="562" ht="15" customHeight="1">
      <c r="A562" t="inlineStr">
        <is>
          <t>A 12066-2020</t>
        </is>
      </c>
      <c r="B562" s="1" t="n">
        <v>43894</v>
      </c>
      <c r="C562" s="1" t="n">
        <v>45841</v>
      </c>
      <c r="D562" t="inlineStr">
        <is>
          <t>VÄSTERNORRLANDS LÄN</t>
        </is>
      </c>
      <c r="E562" t="inlineStr">
        <is>
          <t>SUNDSVALL</t>
        </is>
      </c>
      <c r="G562" t="n">
        <v>2.1</v>
      </c>
      <c r="H562" t="n">
        <v>0</v>
      </c>
      <c r="I562" t="n">
        <v>0</v>
      </c>
      <c r="J562" t="n">
        <v>0</v>
      </c>
      <c r="K562" t="n">
        <v>0</v>
      </c>
      <c r="L562" t="n">
        <v>0</v>
      </c>
      <c r="M562" t="n">
        <v>0</v>
      </c>
      <c r="N562" t="n">
        <v>0</v>
      </c>
      <c r="O562" t="n">
        <v>0</v>
      </c>
      <c r="P562" t="n">
        <v>0</v>
      </c>
      <c r="Q562" t="n">
        <v>0</v>
      </c>
      <c r="R562" s="2" t="inlineStr"/>
    </row>
    <row r="563" ht="15" customHeight="1">
      <c r="A563" t="inlineStr">
        <is>
          <t>A 12336-2020</t>
        </is>
      </c>
      <c r="B563" s="1" t="n">
        <v>43895</v>
      </c>
      <c r="C563" s="1" t="n">
        <v>45841</v>
      </c>
      <c r="D563" t="inlineStr">
        <is>
          <t>VÄSTERNORRLANDS LÄN</t>
        </is>
      </c>
      <c r="E563" t="inlineStr">
        <is>
          <t>SUNDSVALL</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13074-2020</t>
        </is>
      </c>
      <c r="B564" s="1" t="n">
        <v>43900</v>
      </c>
      <c r="C564" s="1" t="n">
        <v>45841</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13073-2020</t>
        </is>
      </c>
      <c r="B565" s="1" t="n">
        <v>43900</v>
      </c>
      <c r="C565" s="1" t="n">
        <v>45841</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13068-2020</t>
        </is>
      </c>
      <c r="B566" s="1" t="n">
        <v>43900</v>
      </c>
      <c r="C566" s="1" t="n">
        <v>45841</v>
      </c>
      <c r="D566" t="inlineStr">
        <is>
          <t>VÄSTERNORRLANDS LÄN</t>
        </is>
      </c>
      <c r="E566" t="inlineStr">
        <is>
          <t>SUNDSVALL</t>
        </is>
      </c>
      <c r="G566" t="n">
        <v>0.5</v>
      </c>
      <c r="H566" t="n">
        <v>0</v>
      </c>
      <c r="I566" t="n">
        <v>0</v>
      </c>
      <c r="J566" t="n">
        <v>0</v>
      </c>
      <c r="K566" t="n">
        <v>0</v>
      </c>
      <c r="L566" t="n">
        <v>0</v>
      </c>
      <c r="M566" t="n">
        <v>0</v>
      </c>
      <c r="N566" t="n">
        <v>0</v>
      </c>
      <c r="O566" t="n">
        <v>0</v>
      </c>
      <c r="P566" t="n">
        <v>0</v>
      </c>
      <c r="Q566" t="n">
        <v>0</v>
      </c>
      <c r="R566" s="2" t="inlineStr"/>
    </row>
    <row r="567" ht="15" customHeight="1">
      <c r="A567" t="inlineStr">
        <is>
          <t>A 13291-2020</t>
        </is>
      </c>
      <c r="B567" s="1" t="n">
        <v>43901</v>
      </c>
      <c r="C567" s="1" t="n">
        <v>45841</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14330-2020</t>
        </is>
      </c>
      <c r="B568" s="1" t="n">
        <v>43907</v>
      </c>
      <c r="C568" s="1" t="n">
        <v>45841</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14853-2020</t>
        </is>
      </c>
      <c r="B569" s="1" t="n">
        <v>43909</v>
      </c>
      <c r="C569" s="1" t="n">
        <v>45841</v>
      </c>
      <c r="D569" t="inlineStr">
        <is>
          <t>VÄSTERNORRLANDS LÄN</t>
        </is>
      </c>
      <c r="E569" t="inlineStr">
        <is>
          <t>SUNDSVALL</t>
        </is>
      </c>
      <c r="G569" t="n">
        <v>3.7</v>
      </c>
      <c r="H569" t="n">
        <v>0</v>
      </c>
      <c r="I569" t="n">
        <v>0</v>
      </c>
      <c r="J569" t="n">
        <v>0</v>
      </c>
      <c r="K569" t="n">
        <v>0</v>
      </c>
      <c r="L569" t="n">
        <v>0</v>
      </c>
      <c r="M569" t="n">
        <v>0</v>
      </c>
      <c r="N569" t="n">
        <v>0</v>
      </c>
      <c r="O569" t="n">
        <v>0</v>
      </c>
      <c r="P569" t="n">
        <v>0</v>
      </c>
      <c r="Q569" t="n">
        <v>0</v>
      </c>
      <c r="R569" s="2" t="inlineStr"/>
    </row>
    <row r="570" ht="15" customHeight="1">
      <c r="A570" t="inlineStr">
        <is>
          <t>A 15098-2020</t>
        </is>
      </c>
      <c r="B570" s="1" t="n">
        <v>43910</v>
      </c>
      <c r="C570" s="1" t="n">
        <v>45841</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15215-2020</t>
        </is>
      </c>
      <c r="B571" s="1" t="n">
        <v>43913</v>
      </c>
      <c r="C571" s="1" t="n">
        <v>45841</v>
      </c>
      <c r="D571" t="inlineStr">
        <is>
          <t>VÄSTERNORRLANDS LÄN</t>
        </is>
      </c>
      <c r="E571" t="inlineStr">
        <is>
          <t>SUNDSVALL</t>
        </is>
      </c>
      <c r="G571" t="n">
        <v>7.1</v>
      </c>
      <c r="H571" t="n">
        <v>0</v>
      </c>
      <c r="I571" t="n">
        <v>0</v>
      </c>
      <c r="J571" t="n">
        <v>0</v>
      </c>
      <c r="K571" t="n">
        <v>0</v>
      </c>
      <c r="L571" t="n">
        <v>0</v>
      </c>
      <c r="M571" t="n">
        <v>0</v>
      </c>
      <c r="N571" t="n">
        <v>0</v>
      </c>
      <c r="O571" t="n">
        <v>0</v>
      </c>
      <c r="P571" t="n">
        <v>0</v>
      </c>
      <c r="Q571" t="n">
        <v>0</v>
      </c>
      <c r="R571" s="2" t="inlineStr"/>
    </row>
    <row r="572" ht="15" customHeight="1">
      <c r="A572" t="inlineStr">
        <is>
          <t>A 15267-2020</t>
        </is>
      </c>
      <c r="B572" s="1" t="n">
        <v>43913</v>
      </c>
      <c r="C572" s="1" t="n">
        <v>45841</v>
      </c>
      <c r="D572" t="inlineStr">
        <is>
          <t>VÄSTERNORRLANDS LÄN</t>
        </is>
      </c>
      <c r="E572" t="inlineStr">
        <is>
          <t>SUNDSVALL</t>
        </is>
      </c>
      <c r="G572" t="n">
        <v>4.3</v>
      </c>
      <c r="H572" t="n">
        <v>0</v>
      </c>
      <c r="I572" t="n">
        <v>0</v>
      </c>
      <c r="J572" t="n">
        <v>0</v>
      </c>
      <c r="K572" t="n">
        <v>0</v>
      </c>
      <c r="L572" t="n">
        <v>0</v>
      </c>
      <c r="M572" t="n">
        <v>0</v>
      </c>
      <c r="N572" t="n">
        <v>0</v>
      </c>
      <c r="O572" t="n">
        <v>0</v>
      </c>
      <c r="P572" t="n">
        <v>0</v>
      </c>
      <c r="Q572" t="n">
        <v>0</v>
      </c>
      <c r="R572" s="2" t="inlineStr"/>
    </row>
    <row r="573" ht="15" customHeight="1">
      <c r="A573" t="inlineStr">
        <is>
          <t>A 15639-2020</t>
        </is>
      </c>
      <c r="B573" s="1" t="n">
        <v>43914</v>
      </c>
      <c r="C573" s="1" t="n">
        <v>45841</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15640-2020</t>
        </is>
      </c>
      <c r="B574" s="1" t="n">
        <v>43914</v>
      </c>
      <c r="C574" s="1" t="n">
        <v>45841</v>
      </c>
      <c r="D574" t="inlineStr">
        <is>
          <t>VÄSTERNORRLANDS LÄN</t>
        </is>
      </c>
      <c r="E574" t="inlineStr">
        <is>
          <t>SUNDSVALL</t>
        </is>
      </c>
      <c r="G574" t="n">
        <v>9.9</v>
      </c>
      <c r="H574" t="n">
        <v>0</v>
      </c>
      <c r="I574" t="n">
        <v>0</v>
      </c>
      <c r="J574" t="n">
        <v>0</v>
      </c>
      <c r="K574" t="n">
        <v>0</v>
      </c>
      <c r="L574" t="n">
        <v>0</v>
      </c>
      <c r="M574" t="n">
        <v>0</v>
      </c>
      <c r="N574" t="n">
        <v>0</v>
      </c>
      <c r="O574" t="n">
        <v>0</v>
      </c>
      <c r="P574" t="n">
        <v>0</v>
      </c>
      <c r="Q574" t="n">
        <v>0</v>
      </c>
      <c r="R574" s="2" t="inlineStr"/>
    </row>
    <row r="575" ht="15" customHeight="1">
      <c r="A575" t="inlineStr">
        <is>
          <t>A 15890-2020</t>
        </is>
      </c>
      <c r="B575" s="1" t="n">
        <v>43915</v>
      </c>
      <c r="C575" s="1" t="n">
        <v>45841</v>
      </c>
      <c r="D575" t="inlineStr">
        <is>
          <t>VÄSTERNORRLANDS LÄN</t>
        </is>
      </c>
      <c r="E575" t="inlineStr">
        <is>
          <t>SUNDSVALL</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15892-2020</t>
        </is>
      </c>
      <c r="B576" s="1" t="n">
        <v>43915</v>
      </c>
      <c r="C576" s="1" t="n">
        <v>45841</v>
      </c>
      <c r="D576" t="inlineStr">
        <is>
          <t>VÄSTERNORRLANDS LÄN</t>
        </is>
      </c>
      <c r="E576" t="inlineStr">
        <is>
          <t>SUNDSVALL</t>
        </is>
      </c>
      <c r="G576" t="n">
        <v>0.6</v>
      </c>
      <c r="H576" t="n">
        <v>0</v>
      </c>
      <c r="I576" t="n">
        <v>0</v>
      </c>
      <c r="J576" t="n">
        <v>0</v>
      </c>
      <c r="K576" t="n">
        <v>0</v>
      </c>
      <c r="L576" t="n">
        <v>0</v>
      </c>
      <c r="M576" t="n">
        <v>0</v>
      </c>
      <c r="N576" t="n">
        <v>0</v>
      </c>
      <c r="O576" t="n">
        <v>0</v>
      </c>
      <c r="P576" t="n">
        <v>0</v>
      </c>
      <c r="Q576" t="n">
        <v>0</v>
      </c>
      <c r="R576" s="2" t="inlineStr"/>
    </row>
    <row r="577" ht="15" customHeight="1">
      <c r="A577" t="inlineStr">
        <is>
          <t>A 15726-2020</t>
        </is>
      </c>
      <c r="B577" s="1" t="n">
        <v>43915</v>
      </c>
      <c r="C577" s="1" t="n">
        <v>45841</v>
      </c>
      <c r="D577" t="inlineStr">
        <is>
          <t>VÄSTERNORRLANDS LÄN</t>
        </is>
      </c>
      <c r="E577" t="inlineStr">
        <is>
          <t>SUNDSVALL</t>
        </is>
      </c>
      <c r="G577" t="n">
        <v>5.7</v>
      </c>
      <c r="H577" t="n">
        <v>0</v>
      </c>
      <c r="I577" t="n">
        <v>0</v>
      </c>
      <c r="J577" t="n">
        <v>0</v>
      </c>
      <c r="K577" t="n">
        <v>0</v>
      </c>
      <c r="L577" t="n">
        <v>0</v>
      </c>
      <c r="M577" t="n">
        <v>0</v>
      </c>
      <c r="N577" t="n">
        <v>0</v>
      </c>
      <c r="O577" t="n">
        <v>0</v>
      </c>
      <c r="P577" t="n">
        <v>0</v>
      </c>
      <c r="Q577" t="n">
        <v>0</v>
      </c>
      <c r="R577" s="2" t="inlineStr"/>
    </row>
    <row r="578" ht="15" customHeight="1">
      <c r="A578" t="inlineStr">
        <is>
          <t>A 16166-2020</t>
        </is>
      </c>
      <c r="B578" s="1" t="n">
        <v>43916</v>
      </c>
      <c r="C578" s="1" t="n">
        <v>45841</v>
      </c>
      <c r="D578" t="inlineStr">
        <is>
          <t>VÄSTERNORRLANDS LÄN</t>
        </is>
      </c>
      <c r="E578" t="inlineStr">
        <is>
          <t>SUNDSVALL</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16165-2020</t>
        </is>
      </c>
      <c r="B579" s="1" t="n">
        <v>43916</v>
      </c>
      <c r="C579" s="1" t="n">
        <v>45841</v>
      </c>
      <c r="D579" t="inlineStr">
        <is>
          <t>VÄSTERNORRLANDS LÄN</t>
        </is>
      </c>
      <c r="E579" t="inlineStr">
        <is>
          <t>SUNDSVALL</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16167-2020</t>
        </is>
      </c>
      <c r="B580" s="1" t="n">
        <v>43916</v>
      </c>
      <c r="C580" s="1" t="n">
        <v>45841</v>
      </c>
      <c r="D580" t="inlineStr">
        <is>
          <t>VÄSTERNORRLANDS LÄN</t>
        </is>
      </c>
      <c r="E580" t="inlineStr">
        <is>
          <t>SUNDSVALL</t>
        </is>
      </c>
      <c r="F580" t="inlineStr">
        <is>
          <t>SCA</t>
        </is>
      </c>
      <c r="G580" t="n">
        <v>24.1</v>
      </c>
      <c r="H580" t="n">
        <v>0</v>
      </c>
      <c r="I580" t="n">
        <v>0</v>
      </c>
      <c r="J580" t="n">
        <v>0</v>
      </c>
      <c r="K580" t="n">
        <v>0</v>
      </c>
      <c r="L580" t="n">
        <v>0</v>
      </c>
      <c r="M580" t="n">
        <v>0</v>
      </c>
      <c r="N580" t="n">
        <v>0</v>
      </c>
      <c r="O580" t="n">
        <v>0</v>
      </c>
      <c r="P580" t="n">
        <v>0</v>
      </c>
      <c r="Q580" t="n">
        <v>0</v>
      </c>
      <c r="R580" s="2" t="inlineStr"/>
    </row>
    <row r="581" ht="15" customHeight="1">
      <c r="A581" t="inlineStr">
        <is>
          <t>A 16947-2020</t>
        </is>
      </c>
      <c r="B581" s="1" t="n">
        <v>43921</v>
      </c>
      <c r="C581" s="1" t="n">
        <v>45841</v>
      </c>
      <c r="D581" t="inlineStr">
        <is>
          <t>VÄSTERNORRLANDS LÄN</t>
        </is>
      </c>
      <c r="E581" t="inlineStr">
        <is>
          <t>SUNDSVALL</t>
        </is>
      </c>
      <c r="G581" t="n">
        <v>3.8</v>
      </c>
      <c r="H581" t="n">
        <v>0</v>
      </c>
      <c r="I581" t="n">
        <v>0</v>
      </c>
      <c r="J581" t="n">
        <v>0</v>
      </c>
      <c r="K581" t="n">
        <v>0</v>
      </c>
      <c r="L581" t="n">
        <v>0</v>
      </c>
      <c r="M581" t="n">
        <v>0</v>
      </c>
      <c r="N581" t="n">
        <v>0</v>
      </c>
      <c r="O581" t="n">
        <v>0</v>
      </c>
      <c r="P581" t="n">
        <v>0</v>
      </c>
      <c r="Q581" t="n">
        <v>0</v>
      </c>
      <c r="R581" s="2" t="inlineStr"/>
    </row>
    <row r="582" ht="15" customHeight="1">
      <c r="A582" t="inlineStr">
        <is>
          <t>A 17691-2020</t>
        </is>
      </c>
      <c r="B582" s="1" t="n">
        <v>43923</v>
      </c>
      <c r="C582" s="1" t="n">
        <v>45841</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19034-2020</t>
        </is>
      </c>
      <c r="B583" s="1" t="n">
        <v>43936</v>
      </c>
      <c r="C583" s="1" t="n">
        <v>45841</v>
      </c>
      <c r="D583" t="inlineStr">
        <is>
          <t>VÄSTERNORRLANDS LÄN</t>
        </is>
      </c>
      <c r="E583" t="inlineStr">
        <is>
          <t>SUNDSVALL</t>
        </is>
      </c>
      <c r="F583" t="inlineStr">
        <is>
          <t>Kommuner</t>
        </is>
      </c>
      <c r="G583" t="n">
        <v>2.4</v>
      </c>
      <c r="H583" t="n">
        <v>0</v>
      </c>
      <c r="I583" t="n">
        <v>0</v>
      </c>
      <c r="J583" t="n">
        <v>0</v>
      </c>
      <c r="K583" t="n">
        <v>0</v>
      </c>
      <c r="L583" t="n">
        <v>0</v>
      </c>
      <c r="M583" t="n">
        <v>0</v>
      </c>
      <c r="N583" t="n">
        <v>0</v>
      </c>
      <c r="O583" t="n">
        <v>0</v>
      </c>
      <c r="P583" t="n">
        <v>0</v>
      </c>
      <c r="Q583" t="n">
        <v>0</v>
      </c>
      <c r="R583" s="2" t="inlineStr"/>
    </row>
    <row r="584" ht="15" customHeight="1">
      <c r="A584" t="inlineStr">
        <is>
          <t>A 19074-2020</t>
        </is>
      </c>
      <c r="B584" s="1" t="n">
        <v>43936</v>
      </c>
      <c r="C584" s="1" t="n">
        <v>45841</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19727-2020</t>
        </is>
      </c>
      <c r="B585" s="1" t="n">
        <v>43942</v>
      </c>
      <c r="C585" s="1" t="n">
        <v>45841</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19726-2020</t>
        </is>
      </c>
      <c r="B586" s="1" t="n">
        <v>43941</v>
      </c>
      <c r="C586" s="1" t="n">
        <v>45841</v>
      </c>
      <c r="D586" t="inlineStr">
        <is>
          <t>VÄSTERNORRLANDS LÄN</t>
        </is>
      </c>
      <c r="E586" t="inlineStr">
        <is>
          <t>SUNDSVALL</t>
        </is>
      </c>
      <c r="G586" t="n">
        <v>3.7</v>
      </c>
      <c r="H586" t="n">
        <v>0</v>
      </c>
      <c r="I586" t="n">
        <v>0</v>
      </c>
      <c r="J586" t="n">
        <v>0</v>
      </c>
      <c r="K586" t="n">
        <v>0</v>
      </c>
      <c r="L586" t="n">
        <v>0</v>
      </c>
      <c r="M586" t="n">
        <v>0</v>
      </c>
      <c r="N586" t="n">
        <v>0</v>
      </c>
      <c r="O586" t="n">
        <v>0</v>
      </c>
      <c r="P586" t="n">
        <v>0</v>
      </c>
      <c r="Q586" t="n">
        <v>0</v>
      </c>
      <c r="R586" s="2" t="inlineStr"/>
    </row>
    <row r="587" ht="15" customHeight="1">
      <c r="A587" t="inlineStr">
        <is>
          <t>A 19724-2020</t>
        </is>
      </c>
      <c r="B587" s="1" t="n">
        <v>43941</v>
      </c>
      <c r="C587" s="1" t="n">
        <v>45841</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20082-2020</t>
        </is>
      </c>
      <c r="B588" s="1" t="n">
        <v>43943</v>
      </c>
      <c r="C588" s="1" t="n">
        <v>45841</v>
      </c>
      <c r="D588" t="inlineStr">
        <is>
          <t>VÄSTERNORRLANDS LÄN</t>
        </is>
      </c>
      <c r="E588" t="inlineStr">
        <is>
          <t>SUNDSVALL</t>
        </is>
      </c>
      <c r="G588" t="n">
        <v>1.8</v>
      </c>
      <c r="H588" t="n">
        <v>0</v>
      </c>
      <c r="I588" t="n">
        <v>0</v>
      </c>
      <c r="J588" t="n">
        <v>0</v>
      </c>
      <c r="K588" t="n">
        <v>0</v>
      </c>
      <c r="L588" t="n">
        <v>0</v>
      </c>
      <c r="M588" t="n">
        <v>0</v>
      </c>
      <c r="N588" t="n">
        <v>0</v>
      </c>
      <c r="O588" t="n">
        <v>0</v>
      </c>
      <c r="P588" t="n">
        <v>0</v>
      </c>
      <c r="Q588" t="n">
        <v>0</v>
      </c>
      <c r="R588" s="2" t="inlineStr"/>
    </row>
    <row r="589" ht="15" customHeight="1">
      <c r="A589" t="inlineStr">
        <is>
          <t>A 20090-2020</t>
        </is>
      </c>
      <c r="B589" s="1" t="n">
        <v>43943</v>
      </c>
      <c r="C589" s="1" t="n">
        <v>45841</v>
      </c>
      <c r="D589" t="inlineStr">
        <is>
          <t>VÄSTERNORRLANDS LÄN</t>
        </is>
      </c>
      <c r="E589" t="inlineStr">
        <is>
          <t>SUNDSVALL</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20623-2020</t>
        </is>
      </c>
      <c r="B590" s="1" t="n">
        <v>43948</v>
      </c>
      <c r="C590" s="1" t="n">
        <v>45841</v>
      </c>
      <c r="D590" t="inlineStr">
        <is>
          <t>VÄSTERNORRLANDS LÄN</t>
        </is>
      </c>
      <c r="E590" t="inlineStr">
        <is>
          <t>SUNDSVALL</t>
        </is>
      </c>
      <c r="G590" t="n">
        <v>2.3</v>
      </c>
      <c r="H590" t="n">
        <v>0</v>
      </c>
      <c r="I590" t="n">
        <v>0</v>
      </c>
      <c r="J590" t="n">
        <v>0</v>
      </c>
      <c r="K590" t="n">
        <v>0</v>
      </c>
      <c r="L590" t="n">
        <v>0</v>
      </c>
      <c r="M590" t="n">
        <v>0</v>
      </c>
      <c r="N590" t="n">
        <v>0</v>
      </c>
      <c r="O590" t="n">
        <v>0</v>
      </c>
      <c r="P590" t="n">
        <v>0</v>
      </c>
      <c r="Q590" t="n">
        <v>0</v>
      </c>
      <c r="R590" s="2" t="inlineStr"/>
    </row>
    <row r="591" ht="15" customHeight="1">
      <c r="A591" t="inlineStr">
        <is>
          <t>A 21411-2020</t>
        </is>
      </c>
      <c r="B591" s="1" t="n">
        <v>43955</v>
      </c>
      <c r="C591" s="1" t="n">
        <v>45841</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21358-2020</t>
        </is>
      </c>
      <c r="B592" s="1" t="n">
        <v>43955</v>
      </c>
      <c r="C592" s="1" t="n">
        <v>45841</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21600-2020</t>
        </is>
      </c>
      <c r="B593" s="1" t="n">
        <v>43957</v>
      </c>
      <c r="C593" s="1" t="n">
        <v>45841</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22101-2020</t>
        </is>
      </c>
      <c r="B594" s="1" t="n">
        <v>43959</v>
      </c>
      <c r="C594" s="1" t="n">
        <v>45841</v>
      </c>
      <c r="D594" t="inlineStr">
        <is>
          <t>VÄSTERNORRLANDS LÄN</t>
        </is>
      </c>
      <c r="E594" t="inlineStr">
        <is>
          <t>SUNDSVALL</t>
        </is>
      </c>
      <c r="G594" t="n">
        <v>3.8</v>
      </c>
      <c r="H594" t="n">
        <v>0</v>
      </c>
      <c r="I594" t="n">
        <v>0</v>
      </c>
      <c r="J594" t="n">
        <v>0</v>
      </c>
      <c r="K594" t="n">
        <v>0</v>
      </c>
      <c r="L594" t="n">
        <v>0</v>
      </c>
      <c r="M594" t="n">
        <v>0</v>
      </c>
      <c r="N594" t="n">
        <v>0</v>
      </c>
      <c r="O594" t="n">
        <v>0</v>
      </c>
      <c r="P594" t="n">
        <v>0</v>
      </c>
      <c r="Q594" t="n">
        <v>0</v>
      </c>
      <c r="R594" s="2" t="inlineStr"/>
    </row>
    <row r="595" ht="15" customHeight="1">
      <c r="A595" t="inlineStr">
        <is>
          <t>A 22097-2020</t>
        </is>
      </c>
      <c r="B595" s="1" t="n">
        <v>43960</v>
      </c>
      <c r="C595" s="1" t="n">
        <v>45841</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23283-2020</t>
        </is>
      </c>
      <c r="B596" s="1" t="n">
        <v>43965</v>
      </c>
      <c r="C596" s="1" t="n">
        <v>45841</v>
      </c>
      <c r="D596" t="inlineStr">
        <is>
          <t>VÄSTERNORRLANDS LÄN</t>
        </is>
      </c>
      <c r="E596" t="inlineStr">
        <is>
          <t>SUNDSVALL</t>
        </is>
      </c>
      <c r="G596" t="n">
        <v>4.6</v>
      </c>
      <c r="H596" t="n">
        <v>0</v>
      </c>
      <c r="I596" t="n">
        <v>0</v>
      </c>
      <c r="J596" t="n">
        <v>0</v>
      </c>
      <c r="K596" t="n">
        <v>0</v>
      </c>
      <c r="L596" t="n">
        <v>0</v>
      </c>
      <c r="M596" t="n">
        <v>0</v>
      </c>
      <c r="N596" t="n">
        <v>0</v>
      </c>
      <c r="O596" t="n">
        <v>0</v>
      </c>
      <c r="P596" t="n">
        <v>0</v>
      </c>
      <c r="Q596" t="n">
        <v>0</v>
      </c>
      <c r="R596" s="2" t="inlineStr"/>
    </row>
    <row r="597" ht="15" customHeight="1">
      <c r="A597" t="inlineStr">
        <is>
          <t>A 23210-2020</t>
        </is>
      </c>
      <c r="B597" s="1" t="n">
        <v>43966</v>
      </c>
      <c r="C597" s="1" t="n">
        <v>45841</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23587-2020</t>
        </is>
      </c>
      <c r="B598" s="1" t="n">
        <v>43969</v>
      </c>
      <c r="C598" s="1" t="n">
        <v>45841</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23641-2020</t>
        </is>
      </c>
      <c r="B599" s="1" t="n">
        <v>43969</v>
      </c>
      <c r="C599" s="1" t="n">
        <v>45841</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23642-2020</t>
        </is>
      </c>
      <c r="B600" s="1" t="n">
        <v>43969</v>
      </c>
      <c r="C600" s="1" t="n">
        <v>45841</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24494-2020</t>
        </is>
      </c>
      <c r="B601" s="1" t="n">
        <v>43976</v>
      </c>
      <c r="C601" s="1" t="n">
        <v>45841</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24662-2020</t>
        </is>
      </c>
      <c r="B602" s="1" t="n">
        <v>43977</v>
      </c>
      <c r="C602" s="1" t="n">
        <v>45841</v>
      </c>
      <c r="D602" t="inlineStr">
        <is>
          <t>VÄSTERNORRLANDS LÄN</t>
        </is>
      </c>
      <c r="E602" t="inlineStr">
        <is>
          <t>SUNDSVALL</t>
        </is>
      </c>
      <c r="G602" t="n">
        <v>4.8</v>
      </c>
      <c r="H602" t="n">
        <v>0</v>
      </c>
      <c r="I602" t="n">
        <v>0</v>
      </c>
      <c r="J602" t="n">
        <v>0</v>
      </c>
      <c r="K602" t="n">
        <v>0</v>
      </c>
      <c r="L602" t="n">
        <v>0</v>
      </c>
      <c r="M602" t="n">
        <v>0</v>
      </c>
      <c r="N602" t="n">
        <v>0</v>
      </c>
      <c r="O602" t="n">
        <v>0</v>
      </c>
      <c r="P602" t="n">
        <v>0</v>
      </c>
      <c r="Q602" t="n">
        <v>0</v>
      </c>
      <c r="R602" s="2" t="inlineStr"/>
    </row>
    <row r="603" ht="15" customHeight="1">
      <c r="A603" t="inlineStr">
        <is>
          <t>A 25217-2020</t>
        </is>
      </c>
      <c r="B603" s="1" t="n">
        <v>43980</v>
      </c>
      <c r="C603" s="1" t="n">
        <v>45841</v>
      </c>
      <c r="D603" t="inlineStr">
        <is>
          <t>VÄSTERNORRLANDS LÄN</t>
        </is>
      </c>
      <c r="E603" t="inlineStr">
        <is>
          <t>SUNDSVALL</t>
        </is>
      </c>
      <c r="G603" t="n">
        <v>4.9</v>
      </c>
      <c r="H603" t="n">
        <v>0</v>
      </c>
      <c r="I603" t="n">
        <v>0</v>
      </c>
      <c r="J603" t="n">
        <v>0</v>
      </c>
      <c r="K603" t="n">
        <v>0</v>
      </c>
      <c r="L603" t="n">
        <v>0</v>
      </c>
      <c r="M603" t="n">
        <v>0</v>
      </c>
      <c r="N603" t="n">
        <v>0</v>
      </c>
      <c r="O603" t="n">
        <v>0</v>
      </c>
      <c r="P603" t="n">
        <v>0</v>
      </c>
      <c r="Q603" t="n">
        <v>0</v>
      </c>
      <c r="R603" s="2" t="inlineStr"/>
    </row>
    <row r="604" ht="15" customHeight="1">
      <c r="A604" t="inlineStr">
        <is>
          <t>A 26613-2020</t>
        </is>
      </c>
      <c r="B604" s="1" t="n">
        <v>43987</v>
      </c>
      <c r="C604" s="1" t="n">
        <v>45841</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26962-2020</t>
        </is>
      </c>
      <c r="B605" s="1" t="n">
        <v>43990</v>
      </c>
      <c r="C605" s="1" t="n">
        <v>45841</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27195-2020</t>
        </is>
      </c>
      <c r="B606" s="1" t="n">
        <v>43991</v>
      </c>
      <c r="C606" s="1" t="n">
        <v>45841</v>
      </c>
      <c r="D606" t="inlineStr">
        <is>
          <t>VÄSTERNORRLANDS LÄN</t>
        </is>
      </c>
      <c r="E606" t="inlineStr">
        <is>
          <t>SUNDSVALL</t>
        </is>
      </c>
      <c r="G606" t="n">
        <v>5.5</v>
      </c>
      <c r="H606" t="n">
        <v>0</v>
      </c>
      <c r="I606" t="n">
        <v>0</v>
      </c>
      <c r="J606" t="n">
        <v>0</v>
      </c>
      <c r="K606" t="n">
        <v>0</v>
      </c>
      <c r="L606" t="n">
        <v>0</v>
      </c>
      <c r="M606" t="n">
        <v>0</v>
      </c>
      <c r="N606" t="n">
        <v>0</v>
      </c>
      <c r="O606" t="n">
        <v>0</v>
      </c>
      <c r="P606" t="n">
        <v>0</v>
      </c>
      <c r="Q606" t="n">
        <v>0</v>
      </c>
      <c r="R606" s="2" t="inlineStr"/>
    </row>
    <row r="607" ht="15" customHeight="1">
      <c r="A607" t="inlineStr">
        <is>
          <t>A 27274-2020</t>
        </is>
      </c>
      <c r="B607" s="1" t="n">
        <v>43992</v>
      </c>
      <c r="C607" s="1" t="n">
        <v>45841</v>
      </c>
      <c r="D607" t="inlineStr">
        <is>
          <t>VÄSTERNORRLANDS LÄN</t>
        </is>
      </c>
      <c r="E607" t="inlineStr">
        <is>
          <t>SUNDSVALL</t>
        </is>
      </c>
      <c r="G607" t="n">
        <v>0.1</v>
      </c>
      <c r="H607" t="n">
        <v>0</v>
      </c>
      <c r="I607" t="n">
        <v>0</v>
      </c>
      <c r="J607" t="n">
        <v>0</v>
      </c>
      <c r="K607" t="n">
        <v>0</v>
      </c>
      <c r="L607" t="n">
        <v>0</v>
      </c>
      <c r="M607" t="n">
        <v>0</v>
      </c>
      <c r="N607" t="n">
        <v>0</v>
      </c>
      <c r="O607" t="n">
        <v>0</v>
      </c>
      <c r="P607" t="n">
        <v>0</v>
      </c>
      <c r="Q607" t="n">
        <v>0</v>
      </c>
      <c r="R607" s="2" t="inlineStr"/>
    </row>
    <row r="608" ht="15" customHeight="1">
      <c r="A608" t="inlineStr">
        <is>
          <t>A 27551-2020</t>
        </is>
      </c>
      <c r="B608" s="1" t="n">
        <v>43993</v>
      </c>
      <c r="C608" s="1" t="n">
        <v>45841</v>
      </c>
      <c r="D608" t="inlineStr">
        <is>
          <t>VÄSTERNORRLANDS LÄN</t>
        </is>
      </c>
      <c r="E608" t="inlineStr">
        <is>
          <t>SUNDSVALL</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27992-2020</t>
        </is>
      </c>
      <c r="B609" s="1" t="n">
        <v>43997</v>
      </c>
      <c r="C609" s="1" t="n">
        <v>45841</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28220-2020</t>
        </is>
      </c>
      <c r="B610" s="1" t="n">
        <v>43997</v>
      </c>
      <c r="C610" s="1" t="n">
        <v>45841</v>
      </c>
      <c r="D610" t="inlineStr">
        <is>
          <t>VÄSTERNORRLANDS LÄN</t>
        </is>
      </c>
      <c r="E610" t="inlineStr">
        <is>
          <t>SUNDSVALL</t>
        </is>
      </c>
      <c r="G610" t="n">
        <v>1.3</v>
      </c>
      <c r="H610" t="n">
        <v>0</v>
      </c>
      <c r="I610" t="n">
        <v>0</v>
      </c>
      <c r="J610" t="n">
        <v>0</v>
      </c>
      <c r="K610" t="n">
        <v>0</v>
      </c>
      <c r="L610" t="n">
        <v>0</v>
      </c>
      <c r="M610" t="n">
        <v>0</v>
      </c>
      <c r="N610" t="n">
        <v>0</v>
      </c>
      <c r="O610" t="n">
        <v>0</v>
      </c>
      <c r="P610" t="n">
        <v>0</v>
      </c>
      <c r="Q610" t="n">
        <v>0</v>
      </c>
      <c r="R610" s="2" t="inlineStr"/>
    </row>
    <row r="611" ht="15" customHeight="1">
      <c r="A611" t="inlineStr">
        <is>
          <t>A 28559-2020</t>
        </is>
      </c>
      <c r="B611" s="1" t="n">
        <v>43997</v>
      </c>
      <c r="C611" s="1" t="n">
        <v>45841</v>
      </c>
      <c r="D611" t="inlineStr">
        <is>
          <t>VÄSTERNORRLANDS LÄN</t>
        </is>
      </c>
      <c r="E611" t="inlineStr">
        <is>
          <t>SUNDSVALL</t>
        </is>
      </c>
      <c r="F611" t="inlineStr">
        <is>
          <t>SCA</t>
        </is>
      </c>
      <c r="G611" t="n">
        <v>12.8</v>
      </c>
      <c r="H611" t="n">
        <v>0</v>
      </c>
      <c r="I611" t="n">
        <v>0</v>
      </c>
      <c r="J611" t="n">
        <v>0</v>
      </c>
      <c r="K611" t="n">
        <v>0</v>
      </c>
      <c r="L611" t="n">
        <v>0</v>
      </c>
      <c r="M611" t="n">
        <v>0</v>
      </c>
      <c r="N611" t="n">
        <v>0</v>
      </c>
      <c r="O611" t="n">
        <v>0</v>
      </c>
      <c r="P611" t="n">
        <v>0</v>
      </c>
      <c r="Q611" t="n">
        <v>0</v>
      </c>
      <c r="R611" s="2" t="inlineStr"/>
    </row>
    <row r="612" ht="15" customHeight="1">
      <c r="A612" t="inlineStr">
        <is>
          <t>A 28222-2020</t>
        </is>
      </c>
      <c r="B612" s="1" t="n">
        <v>43997</v>
      </c>
      <c r="C612" s="1" t="n">
        <v>45841</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28218-2020</t>
        </is>
      </c>
      <c r="B613" s="1" t="n">
        <v>43997</v>
      </c>
      <c r="C613" s="1" t="n">
        <v>45841</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28655-2020</t>
        </is>
      </c>
      <c r="B614" s="1" t="n">
        <v>43999</v>
      </c>
      <c r="C614" s="1" t="n">
        <v>45841</v>
      </c>
      <c r="D614" t="inlineStr">
        <is>
          <t>VÄSTERNORRLANDS LÄN</t>
        </is>
      </c>
      <c r="E614" t="inlineStr">
        <is>
          <t>SUNDSVALL</t>
        </is>
      </c>
      <c r="G614" t="n">
        <v>2.9</v>
      </c>
      <c r="H614" t="n">
        <v>0</v>
      </c>
      <c r="I614" t="n">
        <v>0</v>
      </c>
      <c r="J614" t="n">
        <v>0</v>
      </c>
      <c r="K614" t="n">
        <v>0</v>
      </c>
      <c r="L614" t="n">
        <v>0</v>
      </c>
      <c r="M614" t="n">
        <v>0</v>
      </c>
      <c r="N614" t="n">
        <v>0</v>
      </c>
      <c r="O614" t="n">
        <v>0</v>
      </c>
      <c r="P614" t="n">
        <v>0</v>
      </c>
      <c r="Q614" t="n">
        <v>0</v>
      </c>
      <c r="R614" s="2" t="inlineStr"/>
    </row>
    <row r="615" ht="15" customHeight="1">
      <c r="A615" t="inlineStr">
        <is>
          <t>A 28727-2020</t>
        </is>
      </c>
      <c r="B615" s="1" t="n">
        <v>43999</v>
      </c>
      <c r="C615" s="1" t="n">
        <v>45841</v>
      </c>
      <c r="D615" t="inlineStr">
        <is>
          <t>VÄSTERNORRLANDS LÄN</t>
        </is>
      </c>
      <c r="E615" t="inlineStr">
        <is>
          <t>SUNDSVALL</t>
        </is>
      </c>
      <c r="G615" t="n">
        <v>4.7</v>
      </c>
      <c r="H615" t="n">
        <v>0</v>
      </c>
      <c r="I615" t="n">
        <v>0</v>
      </c>
      <c r="J615" t="n">
        <v>0</v>
      </c>
      <c r="K615" t="n">
        <v>0</v>
      </c>
      <c r="L615" t="n">
        <v>0</v>
      </c>
      <c r="M615" t="n">
        <v>0</v>
      </c>
      <c r="N615" t="n">
        <v>0</v>
      </c>
      <c r="O615" t="n">
        <v>0</v>
      </c>
      <c r="P615" t="n">
        <v>0</v>
      </c>
      <c r="Q615" t="n">
        <v>0</v>
      </c>
      <c r="R615" s="2" t="inlineStr"/>
    </row>
    <row r="616" ht="15" customHeight="1">
      <c r="A616" t="inlineStr">
        <is>
          <t>A 28724-2020</t>
        </is>
      </c>
      <c r="B616" s="1" t="n">
        <v>43999</v>
      </c>
      <c r="C616" s="1" t="n">
        <v>45841</v>
      </c>
      <c r="D616" t="inlineStr">
        <is>
          <t>VÄSTERNORRLANDS LÄN</t>
        </is>
      </c>
      <c r="E616" t="inlineStr">
        <is>
          <t>SUNDSVALL</t>
        </is>
      </c>
      <c r="G616" t="n">
        <v>3.1</v>
      </c>
      <c r="H616" t="n">
        <v>0</v>
      </c>
      <c r="I616" t="n">
        <v>0</v>
      </c>
      <c r="J616" t="n">
        <v>0</v>
      </c>
      <c r="K616" t="n">
        <v>0</v>
      </c>
      <c r="L616" t="n">
        <v>0</v>
      </c>
      <c r="M616" t="n">
        <v>0</v>
      </c>
      <c r="N616" t="n">
        <v>0</v>
      </c>
      <c r="O616" t="n">
        <v>0</v>
      </c>
      <c r="P616" t="n">
        <v>0</v>
      </c>
      <c r="Q616" t="n">
        <v>0</v>
      </c>
      <c r="R616" s="2" t="inlineStr"/>
    </row>
    <row r="617" ht="15" customHeight="1">
      <c r="A617" t="inlineStr">
        <is>
          <t>A 29059-2020</t>
        </is>
      </c>
      <c r="B617" s="1" t="n">
        <v>44000</v>
      </c>
      <c r="C617" s="1" t="n">
        <v>45841</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29189-2020</t>
        </is>
      </c>
      <c r="B618" s="1" t="n">
        <v>44004</v>
      </c>
      <c r="C618" s="1" t="n">
        <v>45841</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29777-2020</t>
        </is>
      </c>
      <c r="B619" s="1" t="n">
        <v>44005</v>
      </c>
      <c r="C619" s="1" t="n">
        <v>45841</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29784-2020</t>
        </is>
      </c>
      <c r="B620" s="1" t="n">
        <v>44005</v>
      </c>
      <c r="C620" s="1" t="n">
        <v>45841</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29906-2020</t>
        </is>
      </c>
      <c r="B621" s="1" t="n">
        <v>44006</v>
      </c>
      <c r="C621" s="1" t="n">
        <v>45841</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30685-2020</t>
        </is>
      </c>
      <c r="B622" s="1" t="n">
        <v>44008</v>
      </c>
      <c r="C622" s="1" t="n">
        <v>45841</v>
      </c>
      <c r="D622" t="inlineStr">
        <is>
          <t>VÄSTERNORRLANDS LÄN</t>
        </is>
      </c>
      <c r="E622" t="inlineStr">
        <is>
          <t>SUNDSVALL</t>
        </is>
      </c>
      <c r="G622" t="n">
        <v>0.4</v>
      </c>
      <c r="H622" t="n">
        <v>0</v>
      </c>
      <c r="I622" t="n">
        <v>0</v>
      </c>
      <c r="J622" t="n">
        <v>0</v>
      </c>
      <c r="K622" t="n">
        <v>0</v>
      </c>
      <c r="L622" t="n">
        <v>0</v>
      </c>
      <c r="M622" t="n">
        <v>0</v>
      </c>
      <c r="N622" t="n">
        <v>0</v>
      </c>
      <c r="O622" t="n">
        <v>0</v>
      </c>
      <c r="P622" t="n">
        <v>0</v>
      </c>
      <c r="Q622" t="n">
        <v>0</v>
      </c>
      <c r="R622" s="2" t="inlineStr"/>
    </row>
    <row r="623" ht="15" customHeight="1">
      <c r="A623" t="inlineStr">
        <is>
          <t>A 31586-2020</t>
        </is>
      </c>
      <c r="B623" s="1" t="n">
        <v>44013</v>
      </c>
      <c r="C623" s="1" t="n">
        <v>45841</v>
      </c>
      <c r="D623" t="inlineStr">
        <is>
          <t>VÄSTERNORRLANDS LÄN</t>
        </is>
      </c>
      <c r="E623" t="inlineStr">
        <is>
          <t>SUNDSVALL</t>
        </is>
      </c>
      <c r="G623" t="n">
        <v>2.7</v>
      </c>
      <c r="H623" t="n">
        <v>0</v>
      </c>
      <c r="I623" t="n">
        <v>0</v>
      </c>
      <c r="J623" t="n">
        <v>0</v>
      </c>
      <c r="K623" t="n">
        <v>0</v>
      </c>
      <c r="L623" t="n">
        <v>0</v>
      </c>
      <c r="M623" t="n">
        <v>0</v>
      </c>
      <c r="N623" t="n">
        <v>0</v>
      </c>
      <c r="O623" t="n">
        <v>0</v>
      </c>
      <c r="P623" t="n">
        <v>0</v>
      </c>
      <c r="Q623" t="n">
        <v>0</v>
      </c>
      <c r="R623" s="2" t="inlineStr"/>
    </row>
    <row r="624" ht="15" customHeight="1">
      <c r="A624" t="inlineStr">
        <is>
          <t>A 31965-2020</t>
        </is>
      </c>
      <c r="B624" s="1" t="n">
        <v>44014</v>
      </c>
      <c r="C624" s="1" t="n">
        <v>45841</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31984-2020</t>
        </is>
      </c>
      <c r="B625" s="1" t="n">
        <v>44014</v>
      </c>
      <c r="C625" s="1" t="n">
        <v>45841</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32425-2020</t>
        </is>
      </c>
      <c r="B626" s="1" t="n">
        <v>44018</v>
      </c>
      <c r="C626" s="1" t="n">
        <v>45841</v>
      </c>
      <c r="D626" t="inlineStr">
        <is>
          <t>VÄSTERNORRLANDS LÄN</t>
        </is>
      </c>
      <c r="E626" t="inlineStr">
        <is>
          <t>SUNDSVALL</t>
        </is>
      </c>
      <c r="G626" t="n">
        <v>3.4</v>
      </c>
      <c r="H626" t="n">
        <v>0</v>
      </c>
      <c r="I626" t="n">
        <v>0</v>
      </c>
      <c r="J626" t="n">
        <v>0</v>
      </c>
      <c r="K626" t="n">
        <v>0</v>
      </c>
      <c r="L626" t="n">
        <v>0</v>
      </c>
      <c r="M626" t="n">
        <v>0</v>
      </c>
      <c r="N626" t="n">
        <v>0</v>
      </c>
      <c r="O626" t="n">
        <v>0</v>
      </c>
      <c r="P626" t="n">
        <v>0</v>
      </c>
      <c r="Q626" t="n">
        <v>0</v>
      </c>
      <c r="R626" s="2" t="inlineStr"/>
    </row>
    <row r="627" ht="15" customHeight="1">
      <c r="A627" t="inlineStr">
        <is>
          <t>A 32646-2020</t>
        </is>
      </c>
      <c r="B627" s="1" t="n">
        <v>44018</v>
      </c>
      <c r="C627" s="1" t="n">
        <v>45841</v>
      </c>
      <c r="D627" t="inlineStr">
        <is>
          <t>VÄSTERNORRLANDS LÄN</t>
        </is>
      </c>
      <c r="E627" t="inlineStr">
        <is>
          <t>SUNDSVALL</t>
        </is>
      </c>
      <c r="G627" t="n">
        <v>0.9</v>
      </c>
      <c r="H627" t="n">
        <v>0</v>
      </c>
      <c r="I627" t="n">
        <v>0</v>
      </c>
      <c r="J627" t="n">
        <v>0</v>
      </c>
      <c r="K627" t="n">
        <v>0</v>
      </c>
      <c r="L627" t="n">
        <v>0</v>
      </c>
      <c r="M627" t="n">
        <v>0</v>
      </c>
      <c r="N627" t="n">
        <v>0</v>
      </c>
      <c r="O627" t="n">
        <v>0</v>
      </c>
      <c r="P627" t="n">
        <v>0</v>
      </c>
      <c r="Q627" t="n">
        <v>0</v>
      </c>
      <c r="R627" s="2" t="inlineStr"/>
    </row>
    <row r="628" ht="15" customHeight="1">
      <c r="A628" t="inlineStr">
        <is>
          <t>A 32998-2020</t>
        </is>
      </c>
      <c r="B628" s="1" t="n">
        <v>44020</v>
      </c>
      <c r="C628" s="1" t="n">
        <v>45841</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32997-2020</t>
        </is>
      </c>
      <c r="B629" s="1" t="n">
        <v>44021</v>
      </c>
      <c r="C629" s="1" t="n">
        <v>45841</v>
      </c>
      <c r="D629" t="inlineStr">
        <is>
          <t>VÄSTERNORRLANDS LÄN</t>
        </is>
      </c>
      <c r="E629" t="inlineStr">
        <is>
          <t>SUNDSVALL</t>
        </is>
      </c>
      <c r="G629" t="n">
        <v>5.2</v>
      </c>
      <c r="H629" t="n">
        <v>0</v>
      </c>
      <c r="I629" t="n">
        <v>0</v>
      </c>
      <c r="J629" t="n">
        <v>0</v>
      </c>
      <c r="K629" t="n">
        <v>0</v>
      </c>
      <c r="L629" t="n">
        <v>0</v>
      </c>
      <c r="M629" t="n">
        <v>0</v>
      </c>
      <c r="N629" t="n">
        <v>0</v>
      </c>
      <c r="O629" t="n">
        <v>0</v>
      </c>
      <c r="P629" t="n">
        <v>0</v>
      </c>
      <c r="Q629" t="n">
        <v>0</v>
      </c>
      <c r="R629" s="2" t="inlineStr"/>
    </row>
    <row r="630" ht="15" customHeight="1">
      <c r="A630" t="inlineStr">
        <is>
          <t>A 33877-2020</t>
        </is>
      </c>
      <c r="B630" s="1" t="n">
        <v>44025</v>
      </c>
      <c r="C630" s="1" t="n">
        <v>45841</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33779-2020</t>
        </is>
      </c>
      <c r="B631" s="1" t="n">
        <v>44026</v>
      </c>
      <c r="C631" s="1" t="n">
        <v>45841</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34568-2020</t>
        </is>
      </c>
      <c r="B632" s="1" t="n">
        <v>44033</v>
      </c>
      <c r="C632" s="1" t="n">
        <v>45841</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34655-2020</t>
        </is>
      </c>
      <c r="B633" s="1" t="n">
        <v>44034</v>
      </c>
      <c r="C633" s="1" t="n">
        <v>45841</v>
      </c>
      <c r="D633" t="inlineStr">
        <is>
          <t>VÄSTERNORRLANDS LÄN</t>
        </is>
      </c>
      <c r="E633" t="inlineStr">
        <is>
          <t>SUNDSVALL</t>
        </is>
      </c>
      <c r="F633" t="inlineStr">
        <is>
          <t>Naturvårdsverket</t>
        </is>
      </c>
      <c r="G633" t="n">
        <v>39.1</v>
      </c>
      <c r="H633" t="n">
        <v>0</v>
      </c>
      <c r="I633" t="n">
        <v>0</v>
      </c>
      <c r="J633" t="n">
        <v>0</v>
      </c>
      <c r="K633" t="n">
        <v>0</v>
      </c>
      <c r="L633" t="n">
        <v>0</v>
      </c>
      <c r="M633" t="n">
        <v>0</v>
      </c>
      <c r="N633" t="n">
        <v>0</v>
      </c>
      <c r="O633" t="n">
        <v>0</v>
      </c>
      <c r="P633" t="n">
        <v>0</v>
      </c>
      <c r="Q633" t="n">
        <v>0</v>
      </c>
      <c r="R633" s="2" t="inlineStr"/>
    </row>
    <row r="634" ht="15" customHeight="1">
      <c r="A634" t="inlineStr">
        <is>
          <t>A 34656-2020</t>
        </is>
      </c>
      <c r="B634" s="1" t="n">
        <v>44034</v>
      </c>
      <c r="C634" s="1" t="n">
        <v>45841</v>
      </c>
      <c r="D634" t="inlineStr">
        <is>
          <t>VÄSTERNORRLANDS LÄN</t>
        </is>
      </c>
      <c r="E634" t="inlineStr">
        <is>
          <t>SUNDSVALL</t>
        </is>
      </c>
      <c r="F634" t="inlineStr">
        <is>
          <t>Naturvårdsverket</t>
        </is>
      </c>
      <c r="G634" t="n">
        <v>1.9</v>
      </c>
      <c r="H634" t="n">
        <v>0</v>
      </c>
      <c r="I634" t="n">
        <v>0</v>
      </c>
      <c r="J634" t="n">
        <v>0</v>
      </c>
      <c r="K634" t="n">
        <v>0</v>
      </c>
      <c r="L634" t="n">
        <v>0</v>
      </c>
      <c r="M634" t="n">
        <v>0</v>
      </c>
      <c r="N634" t="n">
        <v>0</v>
      </c>
      <c r="O634" t="n">
        <v>0</v>
      </c>
      <c r="P634" t="n">
        <v>0</v>
      </c>
      <c r="Q634" t="n">
        <v>0</v>
      </c>
      <c r="R634" s="2" t="inlineStr"/>
    </row>
    <row r="635" ht="15" customHeight="1">
      <c r="A635" t="inlineStr">
        <is>
          <t>A 34781-2020</t>
        </is>
      </c>
      <c r="B635" s="1" t="n">
        <v>44035</v>
      </c>
      <c r="C635" s="1" t="n">
        <v>45841</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34779-2020</t>
        </is>
      </c>
      <c r="B636" s="1" t="n">
        <v>44035</v>
      </c>
      <c r="C636" s="1" t="n">
        <v>45841</v>
      </c>
      <c r="D636" t="inlineStr">
        <is>
          <t>VÄSTERNORRLANDS LÄN</t>
        </is>
      </c>
      <c r="E636" t="inlineStr">
        <is>
          <t>SUNDSVALL</t>
        </is>
      </c>
      <c r="G636" t="n">
        <v>3</v>
      </c>
      <c r="H636" t="n">
        <v>0</v>
      </c>
      <c r="I636" t="n">
        <v>0</v>
      </c>
      <c r="J636" t="n">
        <v>0</v>
      </c>
      <c r="K636" t="n">
        <v>0</v>
      </c>
      <c r="L636" t="n">
        <v>0</v>
      </c>
      <c r="M636" t="n">
        <v>0</v>
      </c>
      <c r="N636" t="n">
        <v>0</v>
      </c>
      <c r="O636" t="n">
        <v>0</v>
      </c>
      <c r="P636" t="n">
        <v>0</v>
      </c>
      <c r="Q636" t="n">
        <v>0</v>
      </c>
      <c r="R636" s="2" t="inlineStr"/>
    </row>
    <row r="637" ht="15" customHeight="1">
      <c r="A637" t="inlineStr">
        <is>
          <t>A 34780-2020</t>
        </is>
      </c>
      <c r="B637" s="1" t="n">
        <v>44035</v>
      </c>
      <c r="C637" s="1" t="n">
        <v>45841</v>
      </c>
      <c r="D637" t="inlineStr">
        <is>
          <t>VÄSTERNORRLANDS LÄN</t>
        </is>
      </c>
      <c r="E637" t="inlineStr">
        <is>
          <t>SUNDSVALL</t>
        </is>
      </c>
      <c r="G637" t="n">
        <v>2.5</v>
      </c>
      <c r="H637" t="n">
        <v>0</v>
      </c>
      <c r="I637" t="n">
        <v>0</v>
      </c>
      <c r="J637" t="n">
        <v>0</v>
      </c>
      <c r="K637" t="n">
        <v>0</v>
      </c>
      <c r="L637" t="n">
        <v>0</v>
      </c>
      <c r="M637" t="n">
        <v>0</v>
      </c>
      <c r="N637" t="n">
        <v>0</v>
      </c>
      <c r="O637" t="n">
        <v>0</v>
      </c>
      <c r="P637" t="n">
        <v>0</v>
      </c>
      <c r="Q637" t="n">
        <v>0</v>
      </c>
      <c r="R637" s="2" t="inlineStr"/>
    </row>
    <row r="638" ht="15" customHeight="1">
      <c r="A638" t="inlineStr">
        <is>
          <t>A 35211-2020</t>
        </is>
      </c>
      <c r="B638" s="1" t="n">
        <v>44040</v>
      </c>
      <c r="C638" s="1" t="n">
        <v>45841</v>
      </c>
      <c r="D638" t="inlineStr">
        <is>
          <t>VÄSTERNORRLANDS LÄN</t>
        </is>
      </c>
      <c r="E638" t="inlineStr">
        <is>
          <t>SUNDSVALL</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35596-2020</t>
        </is>
      </c>
      <c r="B639" s="1" t="n">
        <v>44043</v>
      </c>
      <c r="C639" s="1" t="n">
        <v>45841</v>
      </c>
      <c r="D639" t="inlineStr">
        <is>
          <t>VÄSTERNORRLANDS LÄN</t>
        </is>
      </c>
      <c r="E639" t="inlineStr">
        <is>
          <t>SUNDSVALL</t>
        </is>
      </c>
      <c r="G639" t="n">
        <v>1.9</v>
      </c>
      <c r="H639" t="n">
        <v>0</v>
      </c>
      <c r="I639" t="n">
        <v>0</v>
      </c>
      <c r="J639" t="n">
        <v>0</v>
      </c>
      <c r="K639" t="n">
        <v>0</v>
      </c>
      <c r="L639" t="n">
        <v>0</v>
      </c>
      <c r="M639" t="n">
        <v>0</v>
      </c>
      <c r="N639" t="n">
        <v>0</v>
      </c>
      <c r="O639" t="n">
        <v>0</v>
      </c>
      <c r="P639" t="n">
        <v>0</v>
      </c>
      <c r="Q639" t="n">
        <v>0</v>
      </c>
      <c r="R639" s="2" t="inlineStr"/>
    </row>
    <row r="640" ht="15" customHeight="1">
      <c r="A640" t="inlineStr">
        <is>
          <t>A 36020-2020</t>
        </is>
      </c>
      <c r="B640" s="1" t="n">
        <v>44047</v>
      </c>
      <c r="C640" s="1" t="n">
        <v>45841</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36448-2020</t>
        </is>
      </c>
      <c r="B641" s="1" t="n">
        <v>44049</v>
      </c>
      <c r="C641" s="1" t="n">
        <v>45841</v>
      </c>
      <c r="D641" t="inlineStr">
        <is>
          <t>VÄSTERNORRLANDS LÄN</t>
        </is>
      </c>
      <c r="E641" t="inlineStr">
        <is>
          <t>SUNDSVALL</t>
        </is>
      </c>
      <c r="G641" t="n">
        <v>2.3</v>
      </c>
      <c r="H641" t="n">
        <v>0</v>
      </c>
      <c r="I641" t="n">
        <v>0</v>
      </c>
      <c r="J641" t="n">
        <v>0</v>
      </c>
      <c r="K641" t="n">
        <v>0</v>
      </c>
      <c r="L641" t="n">
        <v>0</v>
      </c>
      <c r="M641" t="n">
        <v>0</v>
      </c>
      <c r="N641" t="n">
        <v>0</v>
      </c>
      <c r="O641" t="n">
        <v>0</v>
      </c>
      <c r="P641" t="n">
        <v>0</v>
      </c>
      <c r="Q641" t="n">
        <v>0</v>
      </c>
      <c r="R641" s="2" t="inlineStr"/>
    </row>
    <row r="642" ht="15" customHeight="1">
      <c r="A642" t="inlineStr">
        <is>
          <t>A 36645-2020</t>
        </is>
      </c>
      <c r="B642" s="1" t="n">
        <v>44050</v>
      </c>
      <c r="C642" s="1" t="n">
        <v>45841</v>
      </c>
      <c r="D642" t="inlineStr">
        <is>
          <t>VÄSTERNORRLANDS LÄN</t>
        </is>
      </c>
      <c r="E642" t="inlineStr">
        <is>
          <t>SUNDSVALL</t>
        </is>
      </c>
      <c r="F642" t="inlineStr">
        <is>
          <t>SCA</t>
        </is>
      </c>
      <c r="G642" t="n">
        <v>7.3</v>
      </c>
      <c r="H642" t="n">
        <v>0</v>
      </c>
      <c r="I642" t="n">
        <v>0</v>
      </c>
      <c r="J642" t="n">
        <v>0</v>
      </c>
      <c r="K642" t="n">
        <v>0</v>
      </c>
      <c r="L642" t="n">
        <v>0</v>
      </c>
      <c r="M642" t="n">
        <v>0</v>
      </c>
      <c r="N642" t="n">
        <v>0</v>
      </c>
      <c r="O642" t="n">
        <v>0</v>
      </c>
      <c r="P642" t="n">
        <v>0</v>
      </c>
      <c r="Q642" t="n">
        <v>0</v>
      </c>
      <c r="R642" s="2" t="inlineStr"/>
    </row>
    <row r="643" ht="15" customHeight="1">
      <c r="A643" t="inlineStr">
        <is>
          <t>A 36673-2020</t>
        </is>
      </c>
      <c r="B643" s="1" t="n">
        <v>44050</v>
      </c>
      <c r="C643" s="1" t="n">
        <v>45841</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37233-2020</t>
        </is>
      </c>
      <c r="B644" s="1" t="n">
        <v>44054</v>
      </c>
      <c r="C644" s="1" t="n">
        <v>45841</v>
      </c>
      <c r="D644" t="inlineStr">
        <is>
          <t>VÄSTERNORRLANDS LÄN</t>
        </is>
      </c>
      <c r="E644" t="inlineStr">
        <is>
          <t>SUNDSVALL</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38096-2020</t>
        </is>
      </c>
      <c r="B645" s="1" t="n">
        <v>44057</v>
      </c>
      <c r="C645" s="1" t="n">
        <v>45841</v>
      </c>
      <c r="D645" t="inlineStr">
        <is>
          <t>VÄSTERNORRLANDS LÄN</t>
        </is>
      </c>
      <c r="E645" t="inlineStr">
        <is>
          <t>SUNDSVALL</t>
        </is>
      </c>
      <c r="F645" t="inlineStr">
        <is>
          <t>Naturvårdsverket</t>
        </is>
      </c>
      <c r="G645" t="n">
        <v>7.9</v>
      </c>
      <c r="H645" t="n">
        <v>0</v>
      </c>
      <c r="I645" t="n">
        <v>0</v>
      </c>
      <c r="J645" t="n">
        <v>0</v>
      </c>
      <c r="K645" t="n">
        <v>0</v>
      </c>
      <c r="L645" t="n">
        <v>0</v>
      </c>
      <c r="M645" t="n">
        <v>0</v>
      </c>
      <c r="N645" t="n">
        <v>0</v>
      </c>
      <c r="O645" t="n">
        <v>0</v>
      </c>
      <c r="P645" t="n">
        <v>0</v>
      </c>
      <c r="Q645" t="n">
        <v>0</v>
      </c>
      <c r="R645" s="2" t="inlineStr"/>
    </row>
    <row r="646" ht="15" customHeight="1">
      <c r="A646" t="inlineStr">
        <is>
          <t>A 38091-2020</t>
        </is>
      </c>
      <c r="B646" s="1" t="n">
        <v>44057</v>
      </c>
      <c r="C646" s="1" t="n">
        <v>45841</v>
      </c>
      <c r="D646" t="inlineStr">
        <is>
          <t>VÄSTERNORRLANDS LÄN</t>
        </is>
      </c>
      <c r="E646" t="inlineStr">
        <is>
          <t>SUNDSVALL</t>
        </is>
      </c>
      <c r="G646" t="n">
        <v>2.8</v>
      </c>
      <c r="H646" t="n">
        <v>0</v>
      </c>
      <c r="I646" t="n">
        <v>0</v>
      </c>
      <c r="J646" t="n">
        <v>0</v>
      </c>
      <c r="K646" t="n">
        <v>0</v>
      </c>
      <c r="L646" t="n">
        <v>0</v>
      </c>
      <c r="M646" t="n">
        <v>0</v>
      </c>
      <c r="N646" t="n">
        <v>0</v>
      </c>
      <c r="O646" t="n">
        <v>0</v>
      </c>
      <c r="P646" t="n">
        <v>0</v>
      </c>
      <c r="Q646" t="n">
        <v>0</v>
      </c>
      <c r="R646" s="2" t="inlineStr"/>
    </row>
    <row r="647" ht="15" customHeight="1">
      <c r="A647" t="inlineStr">
        <is>
          <t>A 38754-2020</t>
        </is>
      </c>
      <c r="B647" s="1" t="n">
        <v>44061</v>
      </c>
      <c r="C647" s="1" t="n">
        <v>45841</v>
      </c>
      <c r="D647" t="inlineStr">
        <is>
          <t>VÄSTERNORRLANDS LÄN</t>
        </is>
      </c>
      <c r="E647" t="inlineStr">
        <is>
          <t>SUNDSVALL</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38852-2020</t>
        </is>
      </c>
      <c r="B648" s="1" t="n">
        <v>44062</v>
      </c>
      <c r="C648" s="1" t="n">
        <v>45841</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38858-2020</t>
        </is>
      </c>
      <c r="B649" s="1" t="n">
        <v>44062</v>
      </c>
      <c r="C649" s="1" t="n">
        <v>45841</v>
      </c>
      <c r="D649" t="inlineStr">
        <is>
          <t>VÄSTERNORRLANDS LÄN</t>
        </is>
      </c>
      <c r="E649" t="inlineStr">
        <is>
          <t>SUNDSVALL</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38863-2020</t>
        </is>
      </c>
      <c r="B650" s="1" t="n">
        <v>44062</v>
      </c>
      <c r="C650" s="1" t="n">
        <v>45841</v>
      </c>
      <c r="D650" t="inlineStr">
        <is>
          <t>VÄSTERNORRLANDS LÄN</t>
        </is>
      </c>
      <c r="E650" t="inlineStr">
        <is>
          <t>SUNDSVALL</t>
        </is>
      </c>
      <c r="G650" t="n">
        <v>1.2</v>
      </c>
      <c r="H650" t="n">
        <v>0</v>
      </c>
      <c r="I650" t="n">
        <v>0</v>
      </c>
      <c r="J650" t="n">
        <v>0</v>
      </c>
      <c r="K650" t="n">
        <v>0</v>
      </c>
      <c r="L650" t="n">
        <v>0</v>
      </c>
      <c r="M650" t="n">
        <v>0</v>
      </c>
      <c r="N650" t="n">
        <v>0</v>
      </c>
      <c r="O650" t="n">
        <v>0</v>
      </c>
      <c r="P650" t="n">
        <v>0</v>
      </c>
      <c r="Q650" t="n">
        <v>0</v>
      </c>
      <c r="R650" s="2" t="inlineStr"/>
    </row>
    <row r="651" ht="15" customHeight="1">
      <c r="A651" t="inlineStr">
        <is>
          <t>A 39756-2020</t>
        </is>
      </c>
      <c r="B651" s="1" t="n">
        <v>44067</v>
      </c>
      <c r="C651" s="1" t="n">
        <v>45841</v>
      </c>
      <c r="D651" t="inlineStr">
        <is>
          <t>VÄSTERNORRLANDS LÄN</t>
        </is>
      </c>
      <c r="E651" t="inlineStr">
        <is>
          <t>SUNDSVALL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40554-2020</t>
        </is>
      </c>
      <c r="B652" s="1" t="n">
        <v>44069</v>
      </c>
      <c r="C652" s="1" t="n">
        <v>45841</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41030-2020</t>
        </is>
      </c>
      <c r="B653" s="1" t="n">
        <v>44070</v>
      </c>
      <c r="C653" s="1" t="n">
        <v>45841</v>
      </c>
      <c r="D653" t="inlineStr">
        <is>
          <t>VÄSTERNORRLANDS LÄN</t>
        </is>
      </c>
      <c r="E653" t="inlineStr">
        <is>
          <t>SUNDSVALL</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41335-2020</t>
        </is>
      </c>
      <c r="B654" s="1" t="n">
        <v>44071</v>
      </c>
      <c r="C654" s="1" t="n">
        <v>45841</v>
      </c>
      <c r="D654" t="inlineStr">
        <is>
          <t>VÄSTERNORRLANDS LÄN</t>
        </is>
      </c>
      <c r="E654" t="inlineStr">
        <is>
          <t>SUNDSVALL</t>
        </is>
      </c>
      <c r="G654" t="n">
        <v>1.2</v>
      </c>
      <c r="H654" t="n">
        <v>0</v>
      </c>
      <c r="I654" t="n">
        <v>0</v>
      </c>
      <c r="J654" t="n">
        <v>0</v>
      </c>
      <c r="K654" t="n">
        <v>0</v>
      </c>
      <c r="L654" t="n">
        <v>0</v>
      </c>
      <c r="M654" t="n">
        <v>0</v>
      </c>
      <c r="N654" t="n">
        <v>0</v>
      </c>
      <c r="O654" t="n">
        <v>0</v>
      </c>
      <c r="P654" t="n">
        <v>0</v>
      </c>
      <c r="Q654" t="n">
        <v>0</v>
      </c>
      <c r="R654" s="2" t="inlineStr"/>
    </row>
    <row r="655" ht="15" customHeight="1">
      <c r="A655" t="inlineStr">
        <is>
          <t>A 41351-2020</t>
        </is>
      </c>
      <c r="B655" s="1" t="n">
        <v>44071</v>
      </c>
      <c r="C655" s="1" t="n">
        <v>45841</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42099-2020</t>
        </is>
      </c>
      <c r="B656" s="1" t="n">
        <v>44074</v>
      </c>
      <c r="C656" s="1" t="n">
        <v>45841</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42155-2020</t>
        </is>
      </c>
      <c r="B657" s="1" t="n">
        <v>44074</v>
      </c>
      <c r="C657" s="1" t="n">
        <v>45841</v>
      </c>
      <c r="D657" t="inlineStr">
        <is>
          <t>VÄSTERNORRLANDS LÄN</t>
        </is>
      </c>
      <c r="E657" t="inlineStr">
        <is>
          <t>SUNDSVALL</t>
        </is>
      </c>
      <c r="G657" t="n">
        <v>4.4</v>
      </c>
      <c r="H657" t="n">
        <v>0</v>
      </c>
      <c r="I657" t="n">
        <v>0</v>
      </c>
      <c r="J657" t="n">
        <v>0</v>
      </c>
      <c r="K657" t="n">
        <v>0</v>
      </c>
      <c r="L657" t="n">
        <v>0</v>
      </c>
      <c r="M657" t="n">
        <v>0</v>
      </c>
      <c r="N657" t="n">
        <v>0</v>
      </c>
      <c r="O657" t="n">
        <v>0</v>
      </c>
      <c r="P657" t="n">
        <v>0</v>
      </c>
      <c r="Q657" t="n">
        <v>0</v>
      </c>
      <c r="R657" s="2" t="inlineStr"/>
    </row>
    <row r="658" ht="15" customHeight="1">
      <c r="A658" t="inlineStr">
        <is>
          <t>A 43299-2020</t>
        </is>
      </c>
      <c r="B658" s="1" t="n">
        <v>44081</v>
      </c>
      <c r="C658" s="1" t="n">
        <v>45841</v>
      </c>
      <c r="D658" t="inlineStr">
        <is>
          <t>VÄSTERNORRLANDS LÄN</t>
        </is>
      </c>
      <c r="E658" t="inlineStr">
        <is>
          <t>SUNDSVALL</t>
        </is>
      </c>
      <c r="G658" t="n">
        <v>2.6</v>
      </c>
      <c r="H658" t="n">
        <v>0</v>
      </c>
      <c r="I658" t="n">
        <v>0</v>
      </c>
      <c r="J658" t="n">
        <v>0</v>
      </c>
      <c r="K658" t="n">
        <v>0</v>
      </c>
      <c r="L658" t="n">
        <v>0</v>
      </c>
      <c r="M658" t="n">
        <v>0</v>
      </c>
      <c r="N658" t="n">
        <v>0</v>
      </c>
      <c r="O658" t="n">
        <v>0</v>
      </c>
      <c r="P658" t="n">
        <v>0</v>
      </c>
      <c r="Q658" t="n">
        <v>0</v>
      </c>
      <c r="R658" s="2" t="inlineStr"/>
    </row>
    <row r="659" ht="15" customHeight="1">
      <c r="A659" t="inlineStr">
        <is>
          <t>A 44210-2020</t>
        </is>
      </c>
      <c r="B659" s="1" t="n">
        <v>44083</v>
      </c>
      <c r="C659" s="1" t="n">
        <v>45841</v>
      </c>
      <c r="D659" t="inlineStr">
        <is>
          <t>VÄSTERNORRLANDS LÄN</t>
        </is>
      </c>
      <c r="E659" t="inlineStr">
        <is>
          <t>SUNDSVALL</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45053-2020</t>
        </is>
      </c>
      <c r="B660" s="1" t="n">
        <v>44084</v>
      </c>
      <c r="C660" s="1" t="n">
        <v>45841</v>
      </c>
      <c r="D660" t="inlineStr">
        <is>
          <t>VÄSTERNORRLANDS LÄN</t>
        </is>
      </c>
      <c r="E660" t="inlineStr">
        <is>
          <t>SUNDSVALL</t>
        </is>
      </c>
      <c r="G660" t="n">
        <v>16.6</v>
      </c>
      <c r="H660" t="n">
        <v>0</v>
      </c>
      <c r="I660" t="n">
        <v>0</v>
      </c>
      <c r="J660" t="n">
        <v>0</v>
      </c>
      <c r="K660" t="n">
        <v>0</v>
      </c>
      <c r="L660" t="n">
        <v>0</v>
      </c>
      <c r="M660" t="n">
        <v>0</v>
      </c>
      <c r="N660" t="n">
        <v>0</v>
      </c>
      <c r="O660" t="n">
        <v>0</v>
      </c>
      <c r="P660" t="n">
        <v>0</v>
      </c>
      <c r="Q660" t="n">
        <v>0</v>
      </c>
      <c r="R660" s="2" t="inlineStr"/>
    </row>
    <row r="661" ht="15" customHeight="1">
      <c r="A661" t="inlineStr">
        <is>
          <t>A 44599-2020</t>
        </is>
      </c>
      <c r="B661" s="1" t="n">
        <v>44085</v>
      </c>
      <c r="C661" s="1" t="n">
        <v>45841</v>
      </c>
      <c r="D661" t="inlineStr">
        <is>
          <t>VÄSTERNORRLANDS LÄN</t>
        </is>
      </c>
      <c r="E661" t="inlineStr">
        <is>
          <t>SUNDSVALL</t>
        </is>
      </c>
      <c r="G661" t="n">
        <v>0.2</v>
      </c>
      <c r="H661" t="n">
        <v>0</v>
      </c>
      <c r="I661" t="n">
        <v>0</v>
      </c>
      <c r="J661" t="n">
        <v>0</v>
      </c>
      <c r="K661" t="n">
        <v>0</v>
      </c>
      <c r="L661" t="n">
        <v>0</v>
      </c>
      <c r="M661" t="n">
        <v>0</v>
      </c>
      <c r="N661" t="n">
        <v>0</v>
      </c>
      <c r="O661" t="n">
        <v>0</v>
      </c>
      <c r="P661" t="n">
        <v>0</v>
      </c>
      <c r="Q661" t="n">
        <v>0</v>
      </c>
      <c r="R661" s="2" t="inlineStr"/>
    </row>
    <row r="662" ht="15" customHeight="1">
      <c r="A662" t="inlineStr">
        <is>
          <t>A 45337-2020</t>
        </is>
      </c>
      <c r="B662" s="1" t="n">
        <v>44085</v>
      </c>
      <c r="C662" s="1" t="n">
        <v>45841</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45099-2020</t>
        </is>
      </c>
      <c r="B663" s="1" t="n">
        <v>44088</v>
      </c>
      <c r="C663" s="1" t="n">
        <v>45841</v>
      </c>
      <c r="D663" t="inlineStr">
        <is>
          <t>VÄSTERNORRLANDS LÄN</t>
        </is>
      </c>
      <c r="E663" t="inlineStr">
        <is>
          <t>SUNDSVALL</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45005-2020</t>
        </is>
      </c>
      <c r="B664" s="1" t="n">
        <v>44088</v>
      </c>
      <c r="C664" s="1" t="n">
        <v>45841</v>
      </c>
      <c r="D664" t="inlineStr">
        <is>
          <t>VÄSTERNORRLANDS LÄN</t>
        </is>
      </c>
      <c r="E664" t="inlineStr">
        <is>
          <t>SUNDSVALL</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45233-2020</t>
        </is>
      </c>
      <c r="B665" s="1" t="n">
        <v>44088</v>
      </c>
      <c r="C665" s="1" t="n">
        <v>45841</v>
      </c>
      <c r="D665" t="inlineStr">
        <is>
          <t>VÄSTERNORRLANDS LÄN</t>
        </is>
      </c>
      <c r="E665" t="inlineStr">
        <is>
          <t>SUNDSVALL</t>
        </is>
      </c>
      <c r="F665" t="inlineStr">
        <is>
          <t>Naturvårdsverket</t>
        </is>
      </c>
      <c r="G665" t="n">
        <v>2.3</v>
      </c>
      <c r="H665" t="n">
        <v>0</v>
      </c>
      <c r="I665" t="n">
        <v>0</v>
      </c>
      <c r="J665" t="n">
        <v>0</v>
      </c>
      <c r="K665" t="n">
        <v>0</v>
      </c>
      <c r="L665" t="n">
        <v>0</v>
      </c>
      <c r="M665" t="n">
        <v>0</v>
      </c>
      <c r="N665" t="n">
        <v>0</v>
      </c>
      <c r="O665" t="n">
        <v>0</v>
      </c>
      <c r="P665" t="n">
        <v>0</v>
      </c>
      <c r="Q665" t="n">
        <v>0</v>
      </c>
      <c r="R665" s="2" t="inlineStr"/>
    </row>
    <row r="666" ht="15" customHeight="1">
      <c r="A666" t="inlineStr">
        <is>
          <t>A 45596-2020</t>
        </is>
      </c>
      <c r="B666" s="1" t="n">
        <v>44090</v>
      </c>
      <c r="C666" s="1" t="n">
        <v>45841</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45829-2020</t>
        </is>
      </c>
      <c r="B667" s="1" t="n">
        <v>44090</v>
      </c>
      <c r="C667" s="1" t="n">
        <v>45841</v>
      </c>
      <c r="D667" t="inlineStr">
        <is>
          <t>VÄSTERNORRLANDS LÄN</t>
        </is>
      </c>
      <c r="E667" t="inlineStr">
        <is>
          <t>SUNDSVALL</t>
        </is>
      </c>
      <c r="F667" t="inlineStr">
        <is>
          <t>Naturvårdsverket</t>
        </is>
      </c>
      <c r="G667" t="n">
        <v>5.3</v>
      </c>
      <c r="H667" t="n">
        <v>0</v>
      </c>
      <c r="I667" t="n">
        <v>0</v>
      </c>
      <c r="J667" t="n">
        <v>0</v>
      </c>
      <c r="K667" t="n">
        <v>0</v>
      </c>
      <c r="L667" t="n">
        <v>0</v>
      </c>
      <c r="M667" t="n">
        <v>0</v>
      </c>
      <c r="N667" t="n">
        <v>0</v>
      </c>
      <c r="O667" t="n">
        <v>0</v>
      </c>
      <c r="P667" t="n">
        <v>0</v>
      </c>
      <c r="Q667" t="n">
        <v>0</v>
      </c>
      <c r="R667" s="2" t="inlineStr"/>
    </row>
    <row r="668" ht="15" customHeight="1">
      <c r="A668" t="inlineStr">
        <is>
          <t>A 45852-2020</t>
        </is>
      </c>
      <c r="B668" s="1" t="n">
        <v>44090</v>
      </c>
      <c r="C668" s="1" t="n">
        <v>45841</v>
      </c>
      <c r="D668" t="inlineStr">
        <is>
          <t>VÄSTERNORRLANDS LÄN</t>
        </is>
      </c>
      <c r="E668" t="inlineStr">
        <is>
          <t>SUNDSVALL</t>
        </is>
      </c>
      <c r="G668" t="n">
        <v>2.1</v>
      </c>
      <c r="H668" t="n">
        <v>0</v>
      </c>
      <c r="I668" t="n">
        <v>0</v>
      </c>
      <c r="J668" t="n">
        <v>0</v>
      </c>
      <c r="K668" t="n">
        <v>0</v>
      </c>
      <c r="L668" t="n">
        <v>0</v>
      </c>
      <c r="M668" t="n">
        <v>0</v>
      </c>
      <c r="N668" t="n">
        <v>0</v>
      </c>
      <c r="O668" t="n">
        <v>0</v>
      </c>
      <c r="P668" t="n">
        <v>0</v>
      </c>
      <c r="Q668" t="n">
        <v>0</v>
      </c>
      <c r="R668" s="2" t="inlineStr"/>
    </row>
    <row r="669" ht="15" customHeight="1">
      <c r="A669" t="inlineStr">
        <is>
          <t>A 49273-2020</t>
        </is>
      </c>
      <c r="B669" s="1" t="n">
        <v>44105</v>
      </c>
      <c r="C669" s="1" t="n">
        <v>45841</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49497-2020</t>
        </is>
      </c>
      <c r="B670" s="1" t="n">
        <v>44105</v>
      </c>
      <c r="C670" s="1" t="n">
        <v>45841</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49504-2020</t>
        </is>
      </c>
      <c r="B671" s="1" t="n">
        <v>44105</v>
      </c>
      <c r="C671" s="1" t="n">
        <v>45841</v>
      </c>
      <c r="D671" t="inlineStr">
        <is>
          <t>VÄSTERNORRLANDS LÄN</t>
        </is>
      </c>
      <c r="E671" t="inlineStr">
        <is>
          <t>SUNDSVALL</t>
        </is>
      </c>
      <c r="G671" t="n">
        <v>4.9</v>
      </c>
      <c r="H671" t="n">
        <v>0</v>
      </c>
      <c r="I671" t="n">
        <v>0</v>
      </c>
      <c r="J671" t="n">
        <v>0</v>
      </c>
      <c r="K671" t="n">
        <v>0</v>
      </c>
      <c r="L671" t="n">
        <v>0</v>
      </c>
      <c r="M671" t="n">
        <v>0</v>
      </c>
      <c r="N671" t="n">
        <v>0</v>
      </c>
      <c r="O671" t="n">
        <v>0</v>
      </c>
      <c r="P671" t="n">
        <v>0</v>
      </c>
      <c r="Q671" t="n">
        <v>0</v>
      </c>
      <c r="R671" s="2" t="inlineStr"/>
    </row>
    <row r="672" ht="15" customHeight="1">
      <c r="A672" t="inlineStr">
        <is>
          <t>A 49496-2020</t>
        </is>
      </c>
      <c r="B672" s="1" t="n">
        <v>44105</v>
      </c>
      <c r="C672" s="1" t="n">
        <v>45841</v>
      </c>
      <c r="D672" t="inlineStr">
        <is>
          <t>VÄSTERNORRLANDS LÄN</t>
        </is>
      </c>
      <c r="E672" t="inlineStr">
        <is>
          <t>SUNDSVALL</t>
        </is>
      </c>
      <c r="G672" t="n">
        <v>9.1</v>
      </c>
      <c r="H672" t="n">
        <v>0</v>
      </c>
      <c r="I672" t="n">
        <v>0</v>
      </c>
      <c r="J672" t="n">
        <v>0</v>
      </c>
      <c r="K672" t="n">
        <v>0</v>
      </c>
      <c r="L672" t="n">
        <v>0</v>
      </c>
      <c r="M672" t="n">
        <v>0</v>
      </c>
      <c r="N672" t="n">
        <v>0</v>
      </c>
      <c r="O672" t="n">
        <v>0</v>
      </c>
      <c r="P672" t="n">
        <v>0</v>
      </c>
      <c r="Q672" t="n">
        <v>0</v>
      </c>
      <c r="R672" s="2" t="inlineStr"/>
    </row>
    <row r="673" ht="15" customHeight="1">
      <c r="A673" t="inlineStr">
        <is>
          <t>A 49503-2020</t>
        </is>
      </c>
      <c r="B673" s="1" t="n">
        <v>44105</v>
      </c>
      <c r="C673" s="1" t="n">
        <v>45841</v>
      </c>
      <c r="D673" t="inlineStr">
        <is>
          <t>VÄSTERNORRLANDS LÄN</t>
        </is>
      </c>
      <c r="E673" t="inlineStr">
        <is>
          <t>SUNDSVALL</t>
        </is>
      </c>
      <c r="G673" t="n">
        <v>1.4</v>
      </c>
      <c r="H673" t="n">
        <v>0</v>
      </c>
      <c r="I673" t="n">
        <v>0</v>
      </c>
      <c r="J673" t="n">
        <v>0</v>
      </c>
      <c r="K673" t="n">
        <v>0</v>
      </c>
      <c r="L673" t="n">
        <v>0</v>
      </c>
      <c r="M673" t="n">
        <v>0</v>
      </c>
      <c r="N673" t="n">
        <v>0</v>
      </c>
      <c r="O673" t="n">
        <v>0</v>
      </c>
      <c r="P673" t="n">
        <v>0</v>
      </c>
      <c r="Q673" t="n">
        <v>0</v>
      </c>
      <c r="R673" s="2" t="inlineStr"/>
    </row>
    <row r="674" ht="15" customHeight="1">
      <c r="A674" t="inlineStr">
        <is>
          <t>A 49499-2020</t>
        </is>
      </c>
      <c r="B674" s="1" t="n">
        <v>44105</v>
      </c>
      <c r="C674" s="1" t="n">
        <v>45841</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49489-2020</t>
        </is>
      </c>
      <c r="B675" s="1" t="n">
        <v>44105</v>
      </c>
      <c r="C675" s="1" t="n">
        <v>45841</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49501-2020</t>
        </is>
      </c>
      <c r="B676" s="1" t="n">
        <v>44106</v>
      </c>
      <c r="C676" s="1" t="n">
        <v>45841</v>
      </c>
      <c r="D676" t="inlineStr">
        <is>
          <t>VÄSTERNORRLANDS LÄN</t>
        </is>
      </c>
      <c r="E676" t="inlineStr">
        <is>
          <t>SUNDSVALL</t>
        </is>
      </c>
      <c r="G676" t="n">
        <v>5.4</v>
      </c>
      <c r="H676" t="n">
        <v>0</v>
      </c>
      <c r="I676" t="n">
        <v>0</v>
      </c>
      <c r="J676" t="n">
        <v>0</v>
      </c>
      <c r="K676" t="n">
        <v>0</v>
      </c>
      <c r="L676" t="n">
        <v>0</v>
      </c>
      <c r="M676" t="n">
        <v>0</v>
      </c>
      <c r="N676" t="n">
        <v>0</v>
      </c>
      <c r="O676" t="n">
        <v>0</v>
      </c>
      <c r="P676" t="n">
        <v>0</v>
      </c>
      <c r="Q676" t="n">
        <v>0</v>
      </c>
      <c r="R676" s="2" t="inlineStr"/>
    </row>
    <row r="677" ht="15" customHeight="1">
      <c r="A677" t="inlineStr">
        <is>
          <t>A 50151-2020</t>
        </is>
      </c>
      <c r="B677" s="1" t="n">
        <v>44109</v>
      </c>
      <c r="C677" s="1" t="n">
        <v>45841</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50169-2020</t>
        </is>
      </c>
      <c r="B678" s="1" t="n">
        <v>44109</v>
      </c>
      <c r="C678" s="1" t="n">
        <v>45841</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50485-2020</t>
        </is>
      </c>
      <c r="B679" s="1" t="n">
        <v>44110</v>
      </c>
      <c r="C679" s="1" t="n">
        <v>45841</v>
      </c>
      <c r="D679" t="inlineStr">
        <is>
          <t>VÄSTERNORRLANDS LÄN</t>
        </is>
      </c>
      <c r="E679" t="inlineStr">
        <is>
          <t>SUNDSVALL</t>
        </is>
      </c>
      <c r="F679" t="inlineStr">
        <is>
          <t>Kommuner</t>
        </is>
      </c>
      <c r="G679" t="n">
        <v>9</v>
      </c>
      <c r="H679" t="n">
        <v>0</v>
      </c>
      <c r="I679" t="n">
        <v>0</v>
      </c>
      <c r="J679" t="n">
        <v>0</v>
      </c>
      <c r="K679" t="n">
        <v>0</v>
      </c>
      <c r="L679" t="n">
        <v>0</v>
      </c>
      <c r="M679" t="n">
        <v>0</v>
      </c>
      <c r="N679" t="n">
        <v>0</v>
      </c>
      <c r="O679" t="n">
        <v>0</v>
      </c>
      <c r="P679" t="n">
        <v>0</v>
      </c>
      <c r="Q679" t="n">
        <v>0</v>
      </c>
      <c r="R679" s="2" t="inlineStr"/>
    </row>
    <row r="680" ht="15" customHeight="1">
      <c r="A680" t="inlineStr">
        <is>
          <t>A 50500-2020</t>
        </is>
      </c>
      <c r="B680" s="1" t="n">
        <v>44110</v>
      </c>
      <c r="C680" s="1" t="n">
        <v>45841</v>
      </c>
      <c r="D680" t="inlineStr">
        <is>
          <t>VÄSTERNORRLANDS LÄN</t>
        </is>
      </c>
      <c r="E680" t="inlineStr">
        <is>
          <t>SUNDSVALL</t>
        </is>
      </c>
      <c r="F680" t="inlineStr">
        <is>
          <t>Kommuner</t>
        </is>
      </c>
      <c r="G680" t="n">
        <v>1.7</v>
      </c>
      <c r="H680" t="n">
        <v>0</v>
      </c>
      <c r="I680" t="n">
        <v>0</v>
      </c>
      <c r="J680" t="n">
        <v>0</v>
      </c>
      <c r="K680" t="n">
        <v>0</v>
      </c>
      <c r="L680" t="n">
        <v>0</v>
      </c>
      <c r="M680" t="n">
        <v>0</v>
      </c>
      <c r="N680" t="n">
        <v>0</v>
      </c>
      <c r="O680" t="n">
        <v>0</v>
      </c>
      <c r="P680" t="n">
        <v>0</v>
      </c>
      <c r="Q680" t="n">
        <v>0</v>
      </c>
      <c r="R680" s="2" t="inlineStr"/>
    </row>
    <row r="681" ht="15" customHeight="1">
      <c r="A681" t="inlineStr">
        <is>
          <t>A 51368-2020</t>
        </is>
      </c>
      <c r="B681" s="1" t="n">
        <v>44112</v>
      </c>
      <c r="C681" s="1" t="n">
        <v>45841</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51712-2020</t>
        </is>
      </c>
      <c r="B682" s="1" t="n">
        <v>44113</v>
      </c>
      <c r="C682" s="1" t="n">
        <v>45841</v>
      </c>
      <c r="D682" t="inlineStr">
        <is>
          <t>VÄSTERNORRLANDS LÄN</t>
        </is>
      </c>
      <c r="E682" t="inlineStr">
        <is>
          <t>SUNDSVALL</t>
        </is>
      </c>
      <c r="F682" t="inlineStr">
        <is>
          <t>SCA</t>
        </is>
      </c>
      <c r="G682" t="n">
        <v>21.1</v>
      </c>
      <c r="H682" t="n">
        <v>0</v>
      </c>
      <c r="I682" t="n">
        <v>0</v>
      </c>
      <c r="J682" t="n">
        <v>0</v>
      </c>
      <c r="K682" t="n">
        <v>0</v>
      </c>
      <c r="L682" t="n">
        <v>0</v>
      </c>
      <c r="M682" t="n">
        <v>0</v>
      </c>
      <c r="N682" t="n">
        <v>0</v>
      </c>
      <c r="O682" t="n">
        <v>0</v>
      </c>
      <c r="P682" t="n">
        <v>0</v>
      </c>
      <c r="Q682" t="n">
        <v>0</v>
      </c>
      <c r="R682" s="2" t="inlineStr"/>
    </row>
    <row r="683" ht="15" customHeight="1">
      <c r="A683" t="inlineStr">
        <is>
          <t>A 51754-2020</t>
        </is>
      </c>
      <c r="B683" s="1" t="n">
        <v>44114</v>
      </c>
      <c r="C683" s="1" t="n">
        <v>45841</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52036-2020</t>
        </is>
      </c>
      <c r="B684" s="1" t="n">
        <v>44116</v>
      </c>
      <c r="C684" s="1" t="n">
        <v>45841</v>
      </c>
      <c r="D684" t="inlineStr">
        <is>
          <t>VÄSTERNORRLANDS LÄN</t>
        </is>
      </c>
      <c r="E684" t="inlineStr">
        <is>
          <t>SUNDSVALL</t>
        </is>
      </c>
      <c r="F684" t="inlineStr">
        <is>
          <t>SCA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53142-2020</t>
        </is>
      </c>
      <c r="B685" s="1" t="n">
        <v>44120</v>
      </c>
      <c r="C685" s="1" t="n">
        <v>45841</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53503-2020</t>
        </is>
      </c>
      <c r="B686" s="1" t="n">
        <v>44123</v>
      </c>
      <c r="C686" s="1" t="n">
        <v>45841</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54574-2020</t>
        </is>
      </c>
      <c r="B687" s="1" t="n">
        <v>44126</v>
      </c>
      <c r="C687" s="1" t="n">
        <v>45841</v>
      </c>
      <c r="D687" t="inlineStr">
        <is>
          <t>VÄSTERNORRLANDS LÄN</t>
        </is>
      </c>
      <c r="E687" t="inlineStr">
        <is>
          <t>SUNDSVALL</t>
        </is>
      </c>
      <c r="F687" t="inlineStr">
        <is>
          <t>Naturvårdsverket</t>
        </is>
      </c>
      <c r="G687" t="n">
        <v>4.9</v>
      </c>
      <c r="H687" t="n">
        <v>0</v>
      </c>
      <c r="I687" t="n">
        <v>0</v>
      </c>
      <c r="J687" t="n">
        <v>0</v>
      </c>
      <c r="K687" t="n">
        <v>0</v>
      </c>
      <c r="L687" t="n">
        <v>0</v>
      </c>
      <c r="M687" t="n">
        <v>0</v>
      </c>
      <c r="N687" t="n">
        <v>0</v>
      </c>
      <c r="O687" t="n">
        <v>0</v>
      </c>
      <c r="P687" t="n">
        <v>0</v>
      </c>
      <c r="Q687" t="n">
        <v>0</v>
      </c>
      <c r="R687" s="2" t="inlineStr"/>
    </row>
    <row r="688" ht="15" customHeight="1">
      <c r="A688" t="inlineStr">
        <is>
          <t>A 55313-2020</t>
        </is>
      </c>
      <c r="B688" s="1" t="n">
        <v>44130</v>
      </c>
      <c r="C688" s="1" t="n">
        <v>45841</v>
      </c>
      <c r="D688" t="inlineStr">
        <is>
          <t>VÄSTERNORRLANDS LÄN</t>
        </is>
      </c>
      <c r="E688" t="inlineStr">
        <is>
          <t>SUNDSVALL</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55988-2020</t>
        </is>
      </c>
      <c r="B689" s="1" t="n">
        <v>44132</v>
      </c>
      <c r="C689" s="1" t="n">
        <v>45841</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57405-2020</t>
        </is>
      </c>
      <c r="B690" s="1" t="n">
        <v>44139</v>
      </c>
      <c r="C690" s="1" t="n">
        <v>45841</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57900-2020</t>
        </is>
      </c>
      <c r="B691" s="1" t="n">
        <v>44140</v>
      </c>
      <c r="C691" s="1" t="n">
        <v>45841</v>
      </c>
      <c r="D691" t="inlineStr">
        <is>
          <t>VÄSTERNORRLANDS LÄN</t>
        </is>
      </c>
      <c r="E691" t="inlineStr">
        <is>
          <t>SUNDSVALL</t>
        </is>
      </c>
      <c r="G691" t="n">
        <v>6.8</v>
      </c>
      <c r="H691" t="n">
        <v>0</v>
      </c>
      <c r="I691" t="n">
        <v>0</v>
      </c>
      <c r="J691" t="n">
        <v>0</v>
      </c>
      <c r="K691" t="n">
        <v>0</v>
      </c>
      <c r="L691" t="n">
        <v>0</v>
      </c>
      <c r="M691" t="n">
        <v>0</v>
      </c>
      <c r="N691" t="n">
        <v>0</v>
      </c>
      <c r="O691" t="n">
        <v>0</v>
      </c>
      <c r="P691" t="n">
        <v>0</v>
      </c>
      <c r="Q691" t="n">
        <v>0</v>
      </c>
      <c r="R691" s="2" t="inlineStr"/>
    </row>
    <row r="692" ht="15" customHeight="1">
      <c r="A692" t="inlineStr">
        <is>
          <t>A 57890-2020</t>
        </is>
      </c>
      <c r="B692" s="1" t="n">
        <v>44140</v>
      </c>
      <c r="C692" s="1" t="n">
        <v>45841</v>
      </c>
      <c r="D692" t="inlineStr">
        <is>
          <t>VÄSTERNORRLANDS LÄN</t>
        </is>
      </c>
      <c r="E692" t="inlineStr">
        <is>
          <t>SUNDSVALL</t>
        </is>
      </c>
      <c r="G692" t="n">
        <v>2.9</v>
      </c>
      <c r="H692" t="n">
        <v>0</v>
      </c>
      <c r="I692" t="n">
        <v>0</v>
      </c>
      <c r="J692" t="n">
        <v>0</v>
      </c>
      <c r="K692" t="n">
        <v>0</v>
      </c>
      <c r="L692" t="n">
        <v>0</v>
      </c>
      <c r="M692" t="n">
        <v>0</v>
      </c>
      <c r="N692" t="n">
        <v>0</v>
      </c>
      <c r="O692" t="n">
        <v>0</v>
      </c>
      <c r="P692" t="n">
        <v>0</v>
      </c>
      <c r="Q692" t="n">
        <v>0</v>
      </c>
      <c r="R692" s="2" t="inlineStr"/>
    </row>
    <row r="693" ht="15" customHeight="1">
      <c r="A693" t="inlineStr">
        <is>
          <t>A 57735-2020</t>
        </is>
      </c>
      <c r="B693" s="1" t="n">
        <v>44140</v>
      </c>
      <c r="C693" s="1" t="n">
        <v>45841</v>
      </c>
      <c r="D693" t="inlineStr">
        <is>
          <t>VÄSTERNORRLANDS LÄN</t>
        </is>
      </c>
      <c r="E693" t="inlineStr">
        <is>
          <t>SUNDSVALL</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59013-2020</t>
        </is>
      </c>
      <c r="B694" s="1" t="n">
        <v>44146</v>
      </c>
      <c r="C694" s="1" t="n">
        <v>45841</v>
      </c>
      <c r="D694" t="inlineStr">
        <is>
          <t>VÄSTERNORRLANDS LÄN</t>
        </is>
      </c>
      <c r="E694" t="inlineStr">
        <is>
          <t>SUNDSVALL</t>
        </is>
      </c>
      <c r="G694" t="n">
        <v>2.4</v>
      </c>
      <c r="H694" t="n">
        <v>0</v>
      </c>
      <c r="I694" t="n">
        <v>0</v>
      </c>
      <c r="J694" t="n">
        <v>0</v>
      </c>
      <c r="K694" t="n">
        <v>0</v>
      </c>
      <c r="L694" t="n">
        <v>0</v>
      </c>
      <c r="M694" t="n">
        <v>0</v>
      </c>
      <c r="N694" t="n">
        <v>0</v>
      </c>
      <c r="O694" t="n">
        <v>0</v>
      </c>
      <c r="P694" t="n">
        <v>0</v>
      </c>
      <c r="Q694" t="n">
        <v>0</v>
      </c>
      <c r="R694" s="2" t="inlineStr"/>
    </row>
    <row r="695" ht="15" customHeight="1">
      <c r="A695" t="inlineStr">
        <is>
          <t>A 59106-2020</t>
        </is>
      </c>
      <c r="B695" s="1" t="n">
        <v>44147</v>
      </c>
      <c r="C695" s="1" t="n">
        <v>45841</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60178-2020</t>
        </is>
      </c>
      <c r="B696" s="1" t="n">
        <v>44152</v>
      </c>
      <c r="C696" s="1" t="n">
        <v>45841</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60391-2020</t>
        </is>
      </c>
      <c r="B697" s="1" t="n">
        <v>44152</v>
      </c>
      <c r="C697" s="1" t="n">
        <v>45841</v>
      </c>
      <c r="D697" t="inlineStr">
        <is>
          <t>VÄSTERNORRLANDS LÄN</t>
        </is>
      </c>
      <c r="E697" t="inlineStr">
        <is>
          <t>SUNDSVALL</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61568-2020</t>
        </is>
      </c>
      <c r="B698" s="1" t="n">
        <v>44154</v>
      </c>
      <c r="C698" s="1" t="n">
        <v>45841</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61142-2020</t>
        </is>
      </c>
      <c r="B699" s="1" t="n">
        <v>44154</v>
      </c>
      <c r="C699" s="1" t="n">
        <v>45841</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61719-2020</t>
        </is>
      </c>
      <c r="B700" s="1" t="n">
        <v>44158</v>
      </c>
      <c r="C700" s="1" t="n">
        <v>45841</v>
      </c>
      <c r="D700" t="inlineStr">
        <is>
          <t>VÄSTERNORRLANDS LÄN</t>
        </is>
      </c>
      <c r="E700" t="inlineStr">
        <is>
          <t>SUNDSVALL</t>
        </is>
      </c>
      <c r="G700" t="n">
        <v>4.8</v>
      </c>
      <c r="H700" t="n">
        <v>0</v>
      </c>
      <c r="I700" t="n">
        <v>0</v>
      </c>
      <c r="J700" t="n">
        <v>0</v>
      </c>
      <c r="K700" t="n">
        <v>0</v>
      </c>
      <c r="L700" t="n">
        <v>0</v>
      </c>
      <c r="M700" t="n">
        <v>0</v>
      </c>
      <c r="N700" t="n">
        <v>0</v>
      </c>
      <c r="O700" t="n">
        <v>0</v>
      </c>
      <c r="P700" t="n">
        <v>0</v>
      </c>
      <c r="Q700" t="n">
        <v>0</v>
      </c>
      <c r="R700" s="2" t="inlineStr"/>
    </row>
    <row r="701" ht="15" customHeight="1">
      <c r="A701" t="inlineStr">
        <is>
          <t>A 61723-2020</t>
        </is>
      </c>
      <c r="B701" s="1" t="n">
        <v>44158</v>
      </c>
      <c r="C701" s="1" t="n">
        <v>45841</v>
      </c>
      <c r="D701" t="inlineStr">
        <is>
          <t>VÄSTERNORRLANDS LÄN</t>
        </is>
      </c>
      <c r="E701" t="inlineStr">
        <is>
          <t>SUNDSVALL</t>
        </is>
      </c>
      <c r="G701" t="n">
        <v>2.1</v>
      </c>
      <c r="H701" t="n">
        <v>0</v>
      </c>
      <c r="I701" t="n">
        <v>0</v>
      </c>
      <c r="J701" t="n">
        <v>0</v>
      </c>
      <c r="K701" t="n">
        <v>0</v>
      </c>
      <c r="L701" t="n">
        <v>0</v>
      </c>
      <c r="M701" t="n">
        <v>0</v>
      </c>
      <c r="N701" t="n">
        <v>0</v>
      </c>
      <c r="O701" t="n">
        <v>0</v>
      </c>
      <c r="P701" t="n">
        <v>0</v>
      </c>
      <c r="Q701" t="n">
        <v>0</v>
      </c>
      <c r="R701" s="2" t="inlineStr"/>
    </row>
    <row r="702" ht="15" customHeight="1">
      <c r="A702" t="inlineStr">
        <is>
          <t>A 62294-2020</t>
        </is>
      </c>
      <c r="B702" s="1" t="n">
        <v>44160</v>
      </c>
      <c r="C702" s="1" t="n">
        <v>45841</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63598-2020</t>
        </is>
      </c>
      <c r="B703" s="1" t="n">
        <v>44165</v>
      </c>
      <c r="C703" s="1" t="n">
        <v>45841</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63681-2020</t>
        </is>
      </c>
      <c r="B704" s="1" t="n">
        <v>44166</v>
      </c>
      <c r="C704" s="1" t="n">
        <v>45841</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63786-2020</t>
        </is>
      </c>
      <c r="B705" s="1" t="n">
        <v>44166</v>
      </c>
      <c r="C705" s="1" t="n">
        <v>45841</v>
      </c>
      <c r="D705" t="inlineStr">
        <is>
          <t>VÄSTERNORRLANDS LÄN</t>
        </is>
      </c>
      <c r="E705" t="inlineStr">
        <is>
          <t>SUNDSVALL</t>
        </is>
      </c>
      <c r="F705" t="inlineStr">
        <is>
          <t>Kommuner</t>
        </is>
      </c>
      <c r="G705" t="n">
        <v>7.6</v>
      </c>
      <c r="H705" t="n">
        <v>0</v>
      </c>
      <c r="I705" t="n">
        <v>0</v>
      </c>
      <c r="J705" t="n">
        <v>0</v>
      </c>
      <c r="K705" t="n">
        <v>0</v>
      </c>
      <c r="L705" t="n">
        <v>0</v>
      </c>
      <c r="M705" t="n">
        <v>0</v>
      </c>
      <c r="N705" t="n">
        <v>0</v>
      </c>
      <c r="O705" t="n">
        <v>0</v>
      </c>
      <c r="P705" t="n">
        <v>0</v>
      </c>
      <c r="Q705" t="n">
        <v>0</v>
      </c>
      <c r="R705" s="2" t="inlineStr"/>
    </row>
    <row r="706" ht="15" customHeight="1">
      <c r="A706" t="inlineStr">
        <is>
          <t>A 63774-2020</t>
        </is>
      </c>
      <c r="B706" s="1" t="n">
        <v>44166</v>
      </c>
      <c r="C706" s="1" t="n">
        <v>45841</v>
      </c>
      <c r="D706" t="inlineStr">
        <is>
          <t>VÄSTERNORRLANDS LÄN</t>
        </is>
      </c>
      <c r="E706" t="inlineStr">
        <is>
          <t>SUNDSVALL</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63817-2020</t>
        </is>
      </c>
      <c r="B707" s="1" t="n">
        <v>44166</v>
      </c>
      <c r="C707" s="1" t="n">
        <v>45841</v>
      </c>
      <c r="D707" t="inlineStr">
        <is>
          <t>VÄSTERNORRLANDS LÄN</t>
        </is>
      </c>
      <c r="E707" t="inlineStr">
        <is>
          <t>SUNDSVALL</t>
        </is>
      </c>
      <c r="G707" t="n">
        <v>0.2</v>
      </c>
      <c r="H707" t="n">
        <v>0</v>
      </c>
      <c r="I707" t="n">
        <v>0</v>
      </c>
      <c r="J707" t="n">
        <v>0</v>
      </c>
      <c r="K707" t="n">
        <v>0</v>
      </c>
      <c r="L707" t="n">
        <v>0</v>
      </c>
      <c r="M707" t="n">
        <v>0</v>
      </c>
      <c r="N707" t="n">
        <v>0</v>
      </c>
      <c r="O707" t="n">
        <v>0</v>
      </c>
      <c r="P707" t="n">
        <v>0</v>
      </c>
      <c r="Q707" t="n">
        <v>0</v>
      </c>
      <c r="R707" s="2" t="inlineStr"/>
    </row>
    <row r="708" ht="15" customHeight="1">
      <c r="A708" t="inlineStr">
        <is>
          <t>A 63840-2020</t>
        </is>
      </c>
      <c r="B708" s="1" t="n">
        <v>44166</v>
      </c>
      <c r="C708" s="1" t="n">
        <v>45841</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63862-2020</t>
        </is>
      </c>
      <c r="B709" s="1" t="n">
        <v>44166</v>
      </c>
      <c r="C709" s="1" t="n">
        <v>45841</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64394-2020</t>
        </is>
      </c>
      <c r="B710" s="1" t="n">
        <v>44168</v>
      </c>
      <c r="C710" s="1" t="n">
        <v>45841</v>
      </c>
      <c r="D710" t="inlineStr">
        <is>
          <t>VÄSTERNORRLANDS LÄN</t>
        </is>
      </c>
      <c r="E710" t="inlineStr">
        <is>
          <t>SUNDSVALL</t>
        </is>
      </c>
      <c r="G710" t="n">
        <v>0.6</v>
      </c>
      <c r="H710" t="n">
        <v>0</v>
      </c>
      <c r="I710" t="n">
        <v>0</v>
      </c>
      <c r="J710" t="n">
        <v>0</v>
      </c>
      <c r="K710" t="n">
        <v>0</v>
      </c>
      <c r="L710" t="n">
        <v>0</v>
      </c>
      <c r="M710" t="n">
        <v>0</v>
      </c>
      <c r="N710" t="n">
        <v>0</v>
      </c>
      <c r="O710" t="n">
        <v>0</v>
      </c>
      <c r="P710" t="n">
        <v>0</v>
      </c>
      <c r="Q710" t="n">
        <v>0</v>
      </c>
      <c r="R710" s="2" t="inlineStr"/>
    </row>
    <row r="711" ht="15" customHeight="1">
      <c r="A711" t="inlineStr">
        <is>
          <t>A 64479-2020</t>
        </is>
      </c>
      <c r="B711" s="1" t="n">
        <v>44168</v>
      </c>
      <c r="C711" s="1" t="n">
        <v>45841</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65465-2020</t>
        </is>
      </c>
      <c r="B712" s="1" t="n">
        <v>44173</v>
      </c>
      <c r="C712" s="1" t="n">
        <v>45841</v>
      </c>
      <c r="D712" t="inlineStr">
        <is>
          <t>VÄSTERNORRLANDS LÄN</t>
        </is>
      </c>
      <c r="E712" t="inlineStr">
        <is>
          <t>SUNDSVALL</t>
        </is>
      </c>
      <c r="G712" t="n">
        <v>1.4</v>
      </c>
      <c r="H712" t="n">
        <v>0</v>
      </c>
      <c r="I712" t="n">
        <v>0</v>
      </c>
      <c r="J712" t="n">
        <v>0</v>
      </c>
      <c r="K712" t="n">
        <v>0</v>
      </c>
      <c r="L712" t="n">
        <v>0</v>
      </c>
      <c r="M712" t="n">
        <v>0</v>
      </c>
      <c r="N712" t="n">
        <v>0</v>
      </c>
      <c r="O712" t="n">
        <v>0</v>
      </c>
      <c r="P712" t="n">
        <v>0</v>
      </c>
      <c r="Q712" t="n">
        <v>0</v>
      </c>
      <c r="R712" s="2" t="inlineStr"/>
    </row>
    <row r="713" ht="15" customHeight="1">
      <c r="A713" t="inlineStr">
        <is>
          <t>A 66016-2020</t>
        </is>
      </c>
      <c r="B713" s="1" t="n">
        <v>44175</v>
      </c>
      <c r="C713" s="1" t="n">
        <v>45841</v>
      </c>
      <c r="D713" t="inlineStr">
        <is>
          <t>VÄSTERNORRLANDS LÄN</t>
        </is>
      </c>
      <c r="E713" t="inlineStr">
        <is>
          <t>SUNDSVALL</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66236-2020</t>
        </is>
      </c>
      <c r="B714" s="1" t="n">
        <v>44175</v>
      </c>
      <c r="C714" s="1" t="n">
        <v>45841</v>
      </c>
      <c r="D714" t="inlineStr">
        <is>
          <t>VÄSTERNORRLANDS LÄN</t>
        </is>
      </c>
      <c r="E714" t="inlineStr">
        <is>
          <t>SUNDSVALL</t>
        </is>
      </c>
      <c r="G714" t="n">
        <v>6.2</v>
      </c>
      <c r="H714" t="n">
        <v>0</v>
      </c>
      <c r="I714" t="n">
        <v>0</v>
      </c>
      <c r="J714" t="n">
        <v>0</v>
      </c>
      <c r="K714" t="n">
        <v>0</v>
      </c>
      <c r="L714" t="n">
        <v>0</v>
      </c>
      <c r="M714" t="n">
        <v>0</v>
      </c>
      <c r="N714" t="n">
        <v>0</v>
      </c>
      <c r="O714" t="n">
        <v>0</v>
      </c>
      <c r="P714" t="n">
        <v>0</v>
      </c>
      <c r="Q714" t="n">
        <v>0</v>
      </c>
      <c r="R714" s="2" t="inlineStr"/>
    </row>
    <row r="715" ht="15" customHeight="1">
      <c r="A715" t="inlineStr">
        <is>
          <t>A 67233-2020</t>
        </is>
      </c>
      <c r="B715" s="1" t="n">
        <v>44180</v>
      </c>
      <c r="C715" s="1" t="n">
        <v>45841</v>
      </c>
      <c r="D715" t="inlineStr">
        <is>
          <t>VÄSTERNORRLANDS LÄN</t>
        </is>
      </c>
      <c r="E715" t="inlineStr">
        <is>
          <t>SUNDSVALL</t>
        </is>
      </c>
      <c r="G715" t="n">
        <v>1.3</v>
      </c>
      <c r="H715" t="n">
        <v>0</v>
      </c>
      <c r="I715" t="n">
        <v>0</v>
      </c>
      <c r="J715" t="n">
        <v>0</v>
      </c>
      <c r="K715" t="n">
        <v>0</v>
      </c>
      <c r="L715" t="n">
        <v>0</v>
      </c>
      <c r="M715" t="n">
        <v>0</v>
      </c>
      <c r="N715" t="n">
        <v>0</v>
      </c>
      <c r="O715" t="n">
        <v>0</v>
      </c>
      <c r="P715" t="n">
        <v>0</v>
      </c>
      <c r="Q715" t="n">
        <v>0</v>
      </c>
      <c r="R715" s="2" t="inlineStr"/>
    </row>
    <row r="716" ht="15" customHeight="1">
      <c r="A716" t="inlineStr">
        <is>
          <t>A 67987-2020</t>
        </is>
      </c>
      <c r="B716" s="1" t="n">
        <v>44182</v>
      </c>
      <c r="C716" s="1" t="n">
        <v>45841</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68286-2020</t>
        </is>
      </c>
      <c r="B717" s="1" t="n">
        <v>44183</v>
      </c>
      <c r="C717" s="1" t="n">
        <v>45841</v>
      </c>
      <c r="D717" t="inlineStr">
        <is>
          <t>VÄSTERNORRLANDS LÄN</t>
        </is>
      </c>
      <c r="E717" t="inlineStr">
        <is>
          <t>SUNDSVALL</t>
        </is>
      </c>
      <c r="G717" t="n">
        <v>0.3</v>
      </c>
      <c r="H717" t="n">
        <v>0</v>
      </c>
      <c r="I717" t="n">
        <v>0</v>
      </c>
      <c r="J717" t="n">
        <v>0</v>
      </c>
      <c r="K717" t="n">
        <v>0</v>
      </c>
      <c r="L717" t="n">
        <v>0</v>
      </c>
      <c r="M717" t="n">
        <v>0</v>
      </c>
      <c r="N717" t="n">
        <v>0</v>
      </c>
      <c r="O717" t="n">
        <v>0</v>
      </c>
      <c r="P717" t="n">
        <v>0</v>
      </c>
      <c r="Q717" t="n">
        <v>0</v>
      </c>
      <c r="R717" s="2" t="inlineStr"/>
    </row>
    <row r="718" ht="15" customHeight="1">
      <c r="A718" t="inlineStr">
        <is>
          <t>A 68285-2020</t>
        </is>
      </c>
      <c r="B718" s="1" t="n">
        <v>44183</v>
      </c>
      <c r="C718" s="1" t="n">
        <v>45841</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69172-2020</t>
        </is>
      </c>
      <c r="B719" s="1" t="n">
        <v>44188</v>
      </c>
      <c r="C719" s="1" t="n">
        <v>45841</v>
      </c>
      <c r="D719" t="inlineStr">
        <is>
          <t>VÄSTERNORRLANDS LÄN</t>
        </is>
      </c>
      <c r="E719" t="inlineStr">
        <is>
          <t>SUNDSVALL</t>
        </is>
      </c>
      <c r="G719" t="n">
        <v>2.5</v>
      </c>
      <c r="H719" t="n">
        <v>0</v>
      </c>
      <c r="I719" t="n">
        <v>0</v>
      </c>
      <c r="J719" t="n">
        <v>0</v>
      </c>
      <c r="K719" t="n">
        <v>0</v>
      </c>
      <c r="L719" t="n">
        <v>0</v>
      </c>
      <c r="M719" t="n">
        <v>0</v>
      </c>
      <c r="N719" t="n">
        <v>0</v>
      </c>
      <c r="O719" t="n">
        <v>0</v>
      </c>
      <c r="P719" t="n">
        <v>0</v>
      </c>
      <c r="Q719" t="n">
        <v>0</v>
      </c>
      <c r="R719" s="2" t="inlineStr"/>
    </row>
    <row r="720" ht="15" customHeight="1">
      <c r="A720" t="inlineStr">
        <is>
          <t>A 695-2021</t>
        </is>
      </c>
      <c r="B720" s="1" t="n">
        <v>44203</v>
      </c>
      <c r="C720" s="1" t="n">
        <v>45841</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1174-2021</t>
        </is>
      </c>
      <c r="B721" s="1" t="n">
        <v>44207</v>
      </c>
      <c r="C721" s="1" t="n">
        <v>45841</v>
      </c>
      <c r="D721" t="inlineStr">
        <is>
          <t>VÄSTERNORRLANDS LÄN</t>
        </is>
      </c>
      <c r="E721" t="inlineStr">
        <is>
          <t>SUNDSVALL</t>
        </is>
      </c>
      <c r="G721" t="n">
        <v>2.9</v>
      </c>
      <c r="H721" t="n">
        <v>0</v>
      </c>
      <c r="I721" t="n">
        <v>0</v>
      </c>
      <c r="J721" t="n">
        <v>0</v>
      </c>
      <c r="K721" t="n">
        <v>0</v>
      </c>
      <c r="L721" t="n">
        <v>0</v>
      </c>
      <c r="M721" t="n">
        <v>0</v>
      </c>
      <c r="N721" t="n">
        <v>0</v>
      </c>
      <c r="O721" t="n">
        <v>0</v>
      </c>
      <c r="P721" t="n">
        <v>0</v>
      </c>
      <c r="Q721" t="n">
        <v>0</v>
      </c>
      <c r="R721" s="2" t="inlineStr"/>
    </row>
    <row r="722" ht="15" customHeight="1">
      <c r="A722" t="inlineStr">
        <is>
          <t>A 1480-2021</t>
        </is>
      </c>
      <c r="B722" s="1" t="n">
        <v>44208</v>
      </c>
      <c r="C722" s="1" t="n">
        <v>45841</v>
      </c>
      <c r="D722" t="inlineStr">
        <is>
          <t>VÄSTERNORRLANDS LÄN</t>
        </is>
      </c>
      <c r="E722" t="inlineStr">
        <is>
          <t>SUNDSVALL</t>
        </is>
      </c>
      <c r="G722" t="n">
        <v>7</v>
      </c>
      <c r="H722" t="n">
        <v>0</v>
      </c>
      <c r="I722" t="n">
        <v>0</v>
      </c>
      <c r="J722" t="n">
        <v>0</v>
      </c>
      <c r="K722" t="n">
        <v>0</v>
      </c>
      <c r="L722" t="n">
        <v>0</v>
      </c>
      <c r="M722" t="n">
        <v>0</v>
      </c>
      <c r="N722" t="n">
        <v>0</v>
      </c>
      <c r="O722" t="n">
        <v>0</v>
      </c>
      <c r="P722" t="n">
        <v>0</v>
      </c>
      <c r="Q722" t="n">
        <v>0</v>
      </c>
      <c r="R722" s="2" t="inlineStr"/>
    </row>
    <row r="723" ht="15" customHeight="1">
      <c r="A723" t="inlineStr">
        <is>
          <t>A 1473-2021</t>
        </is>
      </c>
      <c r="B723" s="1" t="n">
        <v>44208</v>
      </c>
      <c r="C723" s="1" t="n">
        <v>45841</v>
      </c>
      <c r="D723" t="inlineStr">
        <is>
          <t>VÄSTERNORRLANDS LÄN</t>
        </is>
      </c>
      <c r="E723" t="inlineStr">
        <is>
          <t>SUNDSVALL</t>
        </is>
      </c>
      <c r="G723" t="n">
        <v>3.7</v>
      </c>
      <c r="H723" t="n">
        <v>0</v>
      </c>
      <c r="I723" t="n">
        <v>0</v>
      </c>
      <c r="J723" t="n">
        <v>0</v>
      </c>
      <c r="K723" t="n">
        <v>0</v>
      </c>
      <c r="L723" t="n">
        <v>0</v>
      </c>
      <c r="M723" t="n">
        <v>0</v>
      </c>
      <c r="N723" t="n">
        <v>0</v>
      </c>
      <c r="O723" t="n">
        <v>0</v>
      </c>
      <c r="P723" t="n">
        <v>0</v>
      </c>
      <c r="Q723" t="n">
        <v>0</v>
      </c>
      <c r="R723" s="2" t="inlineStr"/>
    </row>
    <row r="724" ht="15" customHeight="1">
      <c r="A724" t="inlineStr">
        <is>
          <t>A 1561-2021</t>
        </is>
      </c>
      <c r="B724" s="1" t="n">
        <v>44209</v>
      </c>
      <c r="C724" s="1" t="n">
        <v>45841</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2233-2021</t>
        </is>
      </c>
      <c r="B725" s="1" t="n">
        <v>44211</v>
      </c>
      <c r="C725" s="1" t="n">
        <v>45841</v>
      </c>
      <c r="D725" t="inlineStr">
        <is>
          <t>VÄSTERNORRLANDS LÄN</t>
        </is>
      </c>
      <c r="E725" t="inlineStr">
        <is>
          <t>SUNDSVALL</t>
        </is>
      </c>
      <c r="G725" t="n">
        <v>2.3</v>
      </c>
      <c r="H725" t="n">
        <v>0</v>
      </c>
      <c r="I725" t="n">
        <v>0</v>
      </c>
      <c r="J725" t="n">
        <v>0</v>
      </c>
      <c r="K725" t="n">
        <v>0</v>
      </c>
      <c r="L725" t="n">
        <v>0</v>
      </c>
      <c r="M725" t="n">
        <v>0</v>
      </c>
      <c r="N725" t="n">
        <v>0</v>
      </c>
      <c r="O725" t="n">
        <v>0</v>
      </c>
      <c r="P725" t="n">
        <v>0</v>
      </c>
      <c r="Q725" t="n">
        <v>0</v>
      </c>
      <c r="R725" s="2" t="inlineStr"/>
    </row>
    <row r="726" ht="15" customHeight="1">
      <c r="A726" t="inlineStr">
        <is>
          <t>A 2835-2021</t>
        </is>
      </c>
      <c r="B726" s="1" t="n">
        <v>44215</v>
      </c>
      <c r="C726" s="1" t="n">
        <v>45841</v>
      </c>
      <c r="D726" t="inlineStr">
        <is>
          <t>VÄSTERNORRLANDS LÄN</t>
        </is>
      </c>
      <c r="E726" t="inlineStr">
        <is>
          <t>SUNDSVALL</t>
        </is>
      </c>
      <c r="G726" t="n">
        <v>2.6</v>
      </c>
      <c r="H726" t="n">
        <v>0</v>
      </c>
      <c r="I726" t="n">
        <v>0</v>
      </c>
      <c r="J726" t="n">
        <v>0</v>
      </c>
      <c r="K726" t="n">
        <v>0</v>
      </c>
      <c r="L726" t="n">
        <v>0</v>
      </c>
      <c r="M726" t="n">
        <v>0</v>
      </c>
      <c r="N726" t="n">
        <v>0</v>
      </c>
      <c r="O726" t="n">
        <v>0</v>
      </c>
      <c r="P726" t="n">
        <v>0</v>
      </c>
      <c r="Q726" t="n">
        <v>0</v>
      </c>
      <c r="R726" s="2" t="inlineStr"/>
    </row>
    <row r="727" ht="15" customHeight="1">
      <c r="A727" t="inlineStr">
        <is>
          <t>A 2836-2021</t>
        </is>
      </c>
      <c r="B727" s="1" t="n">
        <v>44215</v>
      </c>
      <c r="C727" s="1" t="n">
        <v>45841</v>
      </c>
      <c r="D727" t="inlineStr">
        <is>
          <t>VÄSTERNORRLANDS LÄN</t>
        </is>
      </c>
      <c r="E727" t="inlineStr">
        <is>
          <t>SUNDSVALL</t>
        </is>
      </c>
      <c r="G727" t="n">
        <v>1.6</v>
      </c>
      <c r="H727" t="n">
        <v>0</v>
      </c>
      <c r="I727" t="n">
        <v>0</v>
      </c>
      <c r="J727" t="n">
        <v>0</v>
      </c>
      <c r="K727" t="n">
        <v>0</v>
      </c>
      <c r="L727" t="n">
        <v>0</v>
      </c>
      <c r="M727" t="n">
        <v>0</v>
      </c>
      <c r="N727" t="n">
        <v>0</v>
      </c>
      <c r="O727" t="n">
        <v>0</v>
      </c>
      <c r="P727" t="n">
        <v>0</v>
      </c>
      <c r="Q727" t="n">
        <v>0</v>
      </c>
      <c r="R727" s="2" t="inlineStr"/>
    </row>
    <row r="728" ht="15" customHeight="1">
      <c r="A728" t="inlineStr">
        <is>
          <t>A 3351-2021</t>
        </is>
      </c>
      <c r="B728" s="1" t="n">
        <v>44217</v>
      </c>
      <c r="C728" s="1" t="n">
        <v>45841</v>
      </c>
      <c r="D728" t="inlineStr">
        <is>
          <t>VÄSTERNORRLANDS LÄN</t>
        </is>
      </c>
      <c r="E728" t="inlineStr">
        <is>
          <t>SUNDSVALL</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3811-2021</t>
        </is>
      </c>
      <c r="B729" s="1" t="n">
        <v>44221</v>
      </c>
      <c r="C729" s="1" t="n">
        <v>45841</v>
      </c>
      <c r="D729" t="inlineStr">
        <is>
          <t>VÄSTERNORRLANDS LÄN</t>
        </is>
      </c>
      <c r="E729" t="inlineStr">
        <is>
          <t>SUNDSVALL</t>
        </is>
      </c>
      <c r="G729" t="n">
        <v>1.5</v>
      </c>
      <c r="H729" t="n">
        <v>0</v>
      </c>
      <c r="I729" t="n">
        <v>0</v>
      </c>
      <c r="J729" t="n">
        <v>0</v>
      </c>
      <c r="K729" t="n">
        <v>0</v>
      </c>
      <c r="L729" t="n">
        <v>0</v>
      </c>
      <c r="M729" t="n">
        <v>0</v>
      </c>
      <c r="N729" t="n">
        <v>0</v>
      </c>
      <c r="O729" t="n">
        <v>0</v>
      </c>
      <c r="P729" t="n">
        <v>0</v>
      </c>
      <c r="Q729" t="n">
        <v>0</v>
      </c>
      <c r="R729" s="2" t="inlineStr"/>
    </row>
    <row r="730" ht="15" customHeight="1">
      <c r="A730" t="inlineStr">
        <is>
          <t>A 4365-2021</t>
        </is>
      </c>
      <c r="B730" s="1" t="n">
        <v>44221</v>
      </c>
      <c r="C730" s="1" t="n">
        <v>45841</v>
      </c>
      <c r="D730" t="inlineStr">
        <is>
          <t>VÄSTERNORRLANDS LÄN</t>
        </is>
      </c>
      <c r="E730" t="inlineStr">
        <is>
          <t>SUNDSVALL</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3821-2021</t>
        </is>
      </c>
      <c r="B731" s="1" t="n">
        <v>44222</v>
      </c>
      <c r="C731" s="1" t="n">
        <v>45841</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3824-2021</t>
        </is>
      </c>
      <c r="B732" s="1" t="n">
        <v>44222</v>
      </c>
      <c r="C732" s="1" t="n">
        <v>45841</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4123-2021</t>
        </is>
      </c>
      <c r="B733" s="1" t="n">
        <v>44222</v>
      </c>
      <c r="C733" s="1" t="n">
        <v>45841</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3822-2021</t>
        </is>
      </c>
      <c r="B734" s="1" t="n">
        <v>44222</v>
      </c>
      <c r="C734" s="1" t="n">
        <v>45841</v>
      </c>
      <c r="D734" t="inlineStr">
        <is>
          <t>VÄSTERNORRLANDS LÄN</t>
        </is>
      </c>
      <c r="E734" t="inlineStr">
        <is>
          <t>SUNDSVALL</t>
        </is>
      </c>
      <c r="G734" t="n">
        <v>5.2</v>
      </c>
      <c r="H734" t="n">
        <v>0</v>
      </c>
      <c r="I734" t="n">
        <v>0</v>
      </c>
      <c r="J734" t="n">
        <v>0</v>
      </c>
      <c r="K734" t="n">
        <v>0</v>
      </c>
      <c r="L734" t="n">
        <v>0</v>
      </c>
      <c r="M734" t="n">
        <v>0</v>
      </c>
      <c r="N734" t="n">
        <v>0</v>
      </c>
      <c r="O734" t="n">
        <v>0</v>
      </c>
      <c r="P734" t="n">
        <v>0</v>
      </c>
      <c r="Q734" t="n">
        <v>0</v>
      </c>
      <c r="R734" s="2" t="inlineStr"/>
    </row>
    <row r="735" ht="15" customHeight="1">
      <c r="A735" t="inlineStr">
        <is>
          <t>A 4659-2021</t>
        </is>
      </c>
      <c r="B735" s="1" t="n">
        <v>44224</v>
      </c>
      <c r="C735" s="1" t="n">
        <v>45841</v>
      </c>
      <c r="D735" t="inlineStr">
        <is>
          <t>VÄSTERNORRLANDS LÄN</t>
        </is>
      </c>
      <c r="E735" t="inlineStr">
        <is>
          <t>SUNDSVALL</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4760-2021</t>
        </is>
      </c>
      <c r="B736" s="1" t="n">
        <v>44225</v>
      </c>
      <c r="C736" s="1" t="n">
        <v>45841</v>
      </c>
      <c r="D736" t="inlineStr">
        <is>
          <t>VÄSTERNORRLANDS LÄN</t>
        </is>
      </c>
      <c r="E736" t="inlineStr">
        <is>
          <t>SUNDSVALL</t>
        </is>
      </c>
      <c r="F736" t="inlineStr">
        <is>
          <t>Kommuner</t>
        </is>
      </c>
      <c r="G736" t="n">
        <v>5.5</v>
      </c>
      <c r="H736" t="n">
        <v>0</v>
      </c>
      <c r="I736" t="n">
        <v>0</v>
      </c>
      <c r="J736" t="n">
        <v>0</v>
      </c>
      <c r="K736" t="n">
        <v>0</v>
      </c>
      <c r="L736" t="n">
        <v>0</v>
      </c>
      <c r="M736" t="n">
        <v>0</v>
      </c>
      <c r="N736" t="n">
        <v>0</v>
      </c>
      <c r="O736" t="n">
        <v>0</v>
      </c>
      <c r="P736" t="n">
        <v>0</v>
      </c>
      <c r="Q736" t="n">
        <v>0</v>
      </c>
      <c r="R736" s="2" t="inlineStr"/>
    </row>
    <row r="737" ht="15" customHeight="1">
      <c r="A737" t="inlineStr">
        <is>
          <t>A 5799-2021</t>
        </is>
      </c>
      <c r="B737" s="1" t="n">
        <v>44230</v>
      </c>
      <c r="C737" s="1" t="n">
        <v>45841</v>
      </c>
      <c r="D737" t="inlineStr">
        <is>
          <t>VÄSTERNORRLANDS LÄN</t>
        </is>
      </c>
      <c r="E737" t="inlineStr">
        <is>
          <t>SUNDSVALL</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5798-2021</t>
        </is>
      </c>
      <c r="B738" s="1" t="n">
        <v>44230</v>
      </c>
      <c r="C738" s="1" t="n">
        <v>45841</v>
      </c>
      <c r="D738" t="inlineStr">
        <is>
          <t>VÄSTERNORRLANDS LÄN</t>
        </is>
      </c>
      <c r="E738" t="inlineStr">
        <is>
          <t>SUNDSVALL</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5797-2021</t>
        </is>
      </c>
      <c r="B739" s="1" t="n">
        <v>44230</v>
      </c>
      <c r="C739" s="1" t="n">
        <v>45841</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6009-2021</t>
        </is>
      </c>
      <c r="B740" s="1" t="n">
        <v>44231</v>
      </c>
      <c r="C740" s="1" t="n">
        <v>45841</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6220-2021</t>
        </is>
      </c>
      <c r="B741" s="1" t="n">
        <v>44232</v>
      </c>
      <c r="C741" s="1" t="n">
        <v>45841</v>
      </c>
      <c r="D741" t="inlineStr">
        <is>
          <t>VÄSTERNORRLANDS LÄN</t>
        </is>
      </c>
      <c r="E741" t="inlineStr">
        <is>
          <t>SUNDSVALL</t>
        </is>
      </c>
      <c r="G741" t="n">
        <v>0.9</v>
      </c>
      <c r="H741" t="n">
        <v>0</v>
      </c>
      <c r="I741" t="n">
        <v>0</v>
      </c>
      <c r="J741" t="n">
        <v>0</v>
      </c>
      <c r="K741" t="n">
        <v>0</v>
      </c>
      <c r="L741" t="n">
        <v>0</v>
      </c>
      <c r="M741" t="n">
        <v>0</v>
      </c>
      <c r="N741" t="n">
        <v>0</v>
      </c>
      <c r="O741" t="n">
        <v>0</v>
      </c>
      <c r="P741" t="n">
        <v>0</v>
      </c>
      <c r="Q741" t="n">
        <v>0</v>
      </c>
      <c r="R741" s="2" t="inlineStr"/>
    </row>
    <row r="742" ht="15" customHeight="1">
      <c r="A742" t="inlineStr">
        <is>
          <t>A 6708-2021</t>
        </is>
      </c>
      <c r="B742" s="1" t="n">
        <v>44236</v>
      </c>
      <c r="C742" s="1" t="n">
        <v>45841</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7639-2021</t>
        </is>
      </c>
      <c r="B743" s="1" t="n">
        <v>44242</v>
      </c>
      <c r="C743" s="1" t="n">
        <v>45841</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7638-2021</t>
        </is>
      </c>
      <c r="B744" s="1" t="n">
        <v>44242</v>
      </c>
      <c r="C744" s="1" t="n">
        <v>45841</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7875-2021</t>
        </is>
      </c>
      <c r="B745" s="1" t="n">
        <v>44242</v>
      </c>
      <c r="C745" s="1" t="n">
        <v>45841</v>
      </c>
      <c r="D745" t="inlineStr">
        <is>
          <t>VÄSTERNORRLANDS LÄN</t>
        </is>
      </c>
      <c r="E745" t="inlineStr">
        <is>
          <t>SUNDSVALL</t>
        </is>
      </c>
      <c r="G745" t="n">
        <v>2.4</v>
      </c>
      <c r="H745" t="n">
        <v>0</v>
      </c>
      <c r="I745" t="n">
        <v>0</v>
      </c>
      <c r="J745" t="n">
        <v>0</v>
      </c>
      <c r="K745" t="n">
        <v>0</v>
      </c>
      <c r="L745" t="n">
        <v>0</v>
      </c>
      <c r="M745" t="n">
        <v>0</v>
      </c>
      <c r="N745" t="n">
        <v>0</v>
      </c>
      <c r="O745" t="n">
        <v>0</v>
      </c>
      <c r="P745" t="n">
        <v>0</v>
      </c>
      <c r="Q745" t="n">
        <v>0</v>
      </c>
      <c r="R745" s="2" t="inlineStr"/>
    </row>
    <row r="746" ht="15" customHeight="1">
      <c r="A746" t="inlineStr">
        <is>
          <t>A 7878-2021</t>
        </is>
      </c>
      <c r="B746" s="1" t="n">
        <v>44242</v>
      </c>
      <c r="C746" s="1" t="n">
        <v>45841</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7899-2021</t>
        </is>
      </c>
      <c r="B747" s="1" t="n">
        <v>44242</v>
      </c>
      <c r="C747" s="1" t="n">
        <v>45841</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7879-2021</t>
        </is>
      </c>
      <c r="B748" s="1" t="n">
        <v>44242</v>
      </c>
      <c r="C748" s="1" t="n">
        <v>45841</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8234-2021</t>
        </is>
      </c>
      <c r="B749" s="1" t="n">
        <v>44244</v>
      </c>
      <c r="C749" s="1" t="n">
        <v>45841</v>
      </c>
      <c r="D749" t="inlineStr">
        <is>
          <t>VÄSTERNORRLANDS LÄN</t>
        </is>
      </c>
      <c r="E749" t="inlineStr">
        <is>
          <t>SUNDSVALL</t>
        </is>
      </c>
      <c r="G749" t="n">
        <v>2.7</v>
      </c>
      <c r="H749" t="n">
        <v>0</v>
      </c>
      <c r="I749" t="n">
        <v>0</v>
      </c>
      <c r="J749" t="n">
        <v>0</v>
      </c>
      <c r="K749" t="n">
        <v>0</v>
      </c>
      <c r="L749" t="n">
        <v>0</v>
      </c>
      <c r="M749" t="n">
        <v>0</v>
      </c>
      <c r="N749" t="n">
        <v>0</v>
      </c>
      <c r="O749" t="n">
        <v>0</v>
      </c>
      <c r="P749" t="n">
        <v>0</v>
      </c>
      <c r="Q749" t="n">
        <v>0</v>
      </c>
      <c r="R749" s="2" t="inlineStr"/>
    </row>
    <row r="750" ht="15" customHeight="1">
      <c r="A750" t="inlineStr">
        <is>
          <t>A 9177-2021</t>
        </is>
      </c>
      <c r="B750" s="1" t="n">
        <v>44249</v>
      </c>
      <c r="C750" s="1" t="n">
        <v>45841</v>
      </c>
      <c r="D750" t="inlineStr">
        <is>
          <t>VÄSTERNORRLANDS LÄN</t>
        </is>
      </c>
      <c r="E750" t="inlineStr">
        <is>
          <t>SUNDSVALL</t>
        </is>
      </c>
      <c r="F750" t="inlineStr">
        <is>
          <t>SCA</t>
        </is>
      </c>
      <c r="G750" t="n">
        <v>46.4</v>
      </c>
      <c r="H750" t="n">
        <v>0</v>
      </c>
      <c r="I750" t="n">
        <v>0</v>
      </c>
      <c r="J750" t="n">
        <v>0</v>
      </c>
      <c r="K750" t="n">
        <v>0</v>
      </c>
      <c r="L750" t="n">
        <v>0</v>
      </c>
      <c r="M750" t="n">
        <v>0</v>
      </c>
      <c r="N750" t="n">
        <v>0</v>
      </c>
      <c r="O750" t="n">
        <v>0</v>
      </c>
      <c r="P750" t="n">
        <v>0</v>
      </c>
      <c r="Q750" t="n">
        <v>0</v>
      </c>
      <c r="R750" s="2" t="inlineStr"/>
    </row>
    <row r="751" ht="15" customHeight="1">
      <c r="A751" t="inlineStr">
        <is>
          <t>A 9628-2021</t>
        </is>
      </c>
      <c r="B751" s="1" t="n">
        <v>44251</v>
      </c>
      <c r="C751" s="1" t="n">
        <v>45841</v>
      </c>
      <c r="D751" t="inlineStr">
        <is>
          <t>VÄSTERNORRLANDS LÄN</t>
        </is>
      </c>
      <c r="E751" t="inlineStr">
        <is>
          <t>SUNDSVALL</t>
        </is>
      </c>
      <c r="G751" t="n">
        <v>0.6</v>
      </c>
      <c r="H751" t="n">
        <v>0</v>
      </c>
      <c r="I751" t="n">
        <v>0</v>
      </c>
      <c r="J751" t="n">
        <v>0</v>
      </c>
      <c r="K751" t="n">
        <v>0</v>
      </c>
      <c r="L751" t="n">
        <v>0</v>
      </c>
      <c r="M751" t="n">
        <v>0</v>
      </c>
      <c r="N751" t="n">
        <v>0</v>
      </c>
      <c r="O751" t="n">
        <v>0</v>
      </c>
      <c r="P751" t="n">
        <v>0</v>
      </c>
      <c r="Q751" t="n">
        <v>0</v>
      </c>
      <c r="R751" s="2" t="inlineStr"/>
    </row>
    <row r="752" ht="15" customHeight="1">
      <c r="A752" t="inlineStr">
        <is>
          <t>A 9624-2021</t>
        </is>
      </c>
      <c r="B752" s="1" t="n">
        <v>44251</v>
      </c>
      <c r="C752" s="1" t="n">
        <v>45841</v>
      </c>
      <c r="D752" t="inlineStr">
        <is>
          <t>VÄSTERNORRLANDS LÄN</t>
        </is>
      </c>
      <c r="E752" t="inlineStr">
        <is>
          <t>SUNDSVALL</t>
        </is>
      </c>
      <c r="G752" t="n">
        <v>1.2</v>
      </c>
      <c r="H752" t="n">
        <v>0</v>
      </c>
      <c r="I752" t="n">
        <v>0</v>
      </c>
      <c r="J752" t="n">
        <v>0</v>
      </c>
      <c r="K752" t="n">
        <v>0</v>
      </c>
      <c r="L752" t="n">
        <v>0</v>
      </c>
      <c r="M752" t="n">
        <v>0</v>
      </c>
      <c r="N752" t="n">
        <v>0</v>
      </c>
      <c r="O752" t="n">
        <v>0</v>
      </c>
      <c r="P752" t="n">
        <v>0</v>
      </c>
      <c r="Q752" t="n">
        <v>0</v>
      </c>
      <c r="R752" s="2" t="inlineStr"/>
    </row>
    <row r="753" ht="15" customHeight="1">
      <c r="A753" t="inlineStr">
        <is>
          <t>A 10482-2021</t>
        </is>
      </c>
      <c r="B753" s="1" t="n">
        <v>44257</v>
      </c>
      <c r="C753" s="1" t="n">
        <v>45841</v>
      </c>
      <c r="D753" t="inlineStr">
        <is>
          <t>VÄSTERNORRLANDS LÄN</t>
        </is>
      </c>
      <c r="E753" t="inlineStr">
        <is>
          <t>SUNDSVALL</t>
        </is>
      </c>
      <c r="G753" t="n">
        <v>5.7</v>
      </c>
      <c r="H753" t="n">
        <v>0</v>
      </c>
      <c r="I753" t="n">
        <v>0</v>
      </c>
      <c r="J753" t="n">
        <v>0</v>
      </c>
      <c r="K753" t="n">
        <v>0</v>
      </c>
      <c r="L753" t="n">
        <v>0</v>
      </c>
      <c r="M753" t="n">
        <v>0</v>
      </c>
      <c r="N753" t="n">
        <v>0</v>
      </c>
      <c r="O753" t="n">
        <v>0</v>
      </c>
      <c r="P753" t="n">
        <v>0</v>
      </c>
      <c r="Q753" t="n">
        <v>0</v>
      </c>
      <c r="R753" s="2" t="inlineStr"/>
    </row>
    <row r="754" ht="15" customHeight="1">
      <c r="A754" t="inlineStr">
        <is>
          <t>A 10602-2021</t>
        </is>
      </c>
      <c r="B754" s="1" t="n">
        <v>44258</v>
      </c>
      <c r="C754" s="1" t="n">
        <v>45841</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11139-2021</t>
        </is>
      </c>
      <c r="B755" s="1" t="n">
        <v>44260</v>
      </c>
      <c r="C755" s="1" t="n">
        <v>45841</v>
      </c>
      <c r="D755" t="inlineStr">
        <is>
          <t>VÄSTERNORRLANDS LÄN</t>
        </is>
      </c>
      <c r="E755" t="inlineStr">
        <is>
          <t>SUNDSVALL</t>
        </is>
      </c>
      <c r="F755" t="inlineStr">
        <is>
          <t>Naturvårdsverket</t>
        </is>
      </c>
      <c r="G755" t="n">
        <v>19.5</v>
      </c>
      <c r="H755" t="n">
        <v>0</v>
      </c>
      <c r="I755" t="n">
        <v>0</v>
      </c>
      <c r="J755" t="n">
        <v>0</v>
      </c>
      <c r="K755" t="n">
        <v>0</v>
      </c>
      <c r="L755" t="n">
        <v>0</v>
      </c>
      <c r="M755" t="n">
        <v>0</v>
      </c>
      <c r="N755" t="n">
        <v>0</v>
      </c>
      <c r="O755" t="n">
        <v>0</v>
      </c>
      <c r="P755" t="n">
        <v>0</v>
      </c>
      <c r="Q755" t="n">
        <v>0</v>
      </c>
      <c r="R755" s="2" t="inlineStr"/>
    </row>
    <row r="756" ht="15" customHeight="1">
      <c r="A756" t="inlineStr">
        <is>
          <t>A 11696-2021</t>
        </is>
      </c>
      <c r="B756" s="1" t="n">
        <v>44264</v>
      </c>
      <c r="C756" s="1" t="n">
        <v>45841</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13038-2021</t>
        </is>
      </c>
      <c r="B757" s="1" t="n">
        <v>44271</v>
      </c>
      <c r="C757" s="1" t="n">
        <v>45841</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13574-2021</t>
        </is>
      </c>
      <c r="B758" s="1" t="n">
        <v>44273</v>
      </c>
      <c r="C758" s="1" t="n">
        <v>45841</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13987-2021</t>
        </is>
      </c>
      <c r="B759" s="1" t="n">
        <v>44277</v>
      </c>
      <c r="C759" s="1" t="n">
        <v>45841</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14113-2021</t>
        </is>
      </c>
      <c r="B760" s="1" t="n">
        <v>44277</v>
      </c>
      <c r="C760" s="1" t="n">
        <v>45841</v>
      </c>
      <c r="D760" t="inlineStr">
        <is>
          <t>VÄSTERNORRLANDS LÄN</t>
        </is>
      </c>
      <c r="E760" t="inlineStr">
        <is>
          <t>SUNDSVALL</t>
        </is>
      </c>
      <c r="G760" t="n">
        <v>2.6</v>
      </c>
      <c r="H760" t="n">
        <v>0</v>
      </c>
      <c r="I760" t="n">
        <v>0</v>
      </c>
      <c r="J760" t="n">
        <v>0</v>
      </c>
      <c r="K760" t="n">
        <v>0</v>
      </c>
      <c r="L760" t="n">
        <v>0</v>
      </c>
      <c r="M760" t="n">
        <v>0</v>
      </c>
      <c r="N760" t="n">
        <v>0</v>
      </c>
      <c r="O760" t="n">
        <v>0</v>
      </c>
      <c r="P760" t="n">
        <v>0</v>
      </c>
      <c r="Q760" t="n">
        <v>0</v>
      </c>
      <c r="R760" s="2" t="inlineStr"/>
    </row>
    <row r="761" ht="15" customHeight="1">
      <c r="A761" t="inlineStr">
        <is>
          <t>A 14231-2021</t>
        </is>
      </c>
      <c r="B761" s="1" t="n">
        <v>44277</v>
      </c>
      <c r="C761" s="1" t="n">
        <v>45841</v>
      </c>
      <c r="D761" t="inlineStr">
        <is>
          <t>VÄSTERNORRLANDS LÄN</t>
        </is>
      </c>
      <c r="E761" t="inlineStr">
        <is>
          <t>SUNDSVALL</t>
        </is>
      </c>
      <c r="G761" t="n">
        <v>0.9</v>
      </c>
      <c r="H761" t="n">
        <v>0</v>
      </c>
      <c r="I761" t="n">
        <v>0</v>
      </c>
      <c r="J761" t="n">
        <v>0</v>
      </c>
      <c r="K761" t="n">
        <v>0</v>
      </c>
      <c r="L761" t="n">
        <v>0</v>
      </c>
      <c r="M761" t="n">
        <v>0</v>
      </c>
      <c r="N761" t="n">
        <v>0</v>
      </c>
      <c r="O761" t="n">
        <v>0</v>
      </c>
      <c r="P761" t="n">
        <v>0</v>
      </c>
      <c r="Q761" t="n">
        <v>0</v>
      </c>
      <c r="R761" s="2" t="inlineStr"/>
    </row>
    <row r="762" ht="15" customHeight="1">
      <c r="A762" t="inlineStr">
        <is>
          <t>A 14328-2021</t>
        </is>
      </c>
      <c r="B762" s="1" t="n">
        <v>44278</v>
      </c>
      <c r="C762" s="1" t="n">
        <v>45841</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15769-2021</t>
        </is>
      </c>
      <c r="B763" s="1" t="n">
        <v>44286</v>
      </c>
      <c r="C763" s="1" t="n">
        <v>45841</v>
      </c>
      <c r="D763" t="inlineStr">
        <is>
          <t>VÄSTERNORRLANDS LÄN</t>
        </is>
      </c>
      <c r="E763" t="inlineStr">
        <is>
          <t>SUNDSVALL</t>
        </is>
      </c>
      <c r="F763" t="inlineStr">
        <is>
          <t>Kommuner</t>
        </is>
      </c>
      <c r="G763" t="n">
        <v>1.3</v>
      </c>
      <c r="H763" t="n">
        <v>0</v>
      </c>
      <c r="I763" t="n">
        <v>0</v>
      </c>
      <c r="J763" t="n">
        <v>0</v>
      </c>
      <c r="K763" t="n">
        <v>0</v>
      </c>
      <c r="L763" t="n">
        <v>0</v>
      </c>
      <c r="M763" t="n">
        <v>0</v>
      </c>
      <c r="N763" t="n">
        <v>0</v>
      </c>
      <c r="O763" t="n">
        <v>0</v>
      </c>
      <c r="P763" t="n">
        <v>0</v>
      </c>
      <c r="Q763" t="n">
        <v>0</v>
      </c>
      <c r="R763" s="2" t="inlineStr"/>
    </row>
    <row r="764" ht="15" customHeight="1">
      <c r="A764" t="inlineStr">
        <is>
          <t>A 16334-2021</t>
        </is>
      </c>
      <c r="B764" s="1" t="n">
        <v>44292</v>
      </c>
      <c r="C764" s="1" t="n">
        <v>45841</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16424-2021</t>
        </is>
      </c>
      <c r="B765" s="1" t="n">
        <v>44292</v>
      </c>
      <c r="C765" s="1" t="n">
        <v>45841</v>
      </c>
      <c r="D765" t="inlineStr">
        <is>
          <t>VÄSTERNORRLANDS LÄN</t>
        </is>
      </c>
      <c r="E765" t="inlineStr">
        <is>
          <t>SUNDSVALL</t>
        </is>
      </c>
      <c r="G765" t="n">
        <v>0.2</v>
      </c>
      <c r="H765" t="n">
        <v>0</v>
      </c>
      <c r="I765" t="n">
        <v>0</v>
      </c>
      <c r="J765" t="n">
        <v>0</v>
      </c>
      <c r="K765" t="n">
        <v>0</v>
      </c>
      <c r="L765" t="n">
        <v>0</v>
      </c>
      <c r="M765" t="n">
        <v>0</v>
      </c>
      <c r="N765" t="n">
        <v>0</v>
      </c>
      <c r="O765" t="n">
        <v>0</v>
      </c>
      <c r="P765" t="n">
        <v>0</v>
      </c>
      <c r="Q765" t="n">
        <v>0</v>
      </c>
      <c r="R765" s="2" t="inlineStr"/>
    </row>
    <row r="766" ht="15" customHeight="1">
      <c r="A766" t="inlineStr">
        <is>
          <t>A 17379-2021</t>
        </is>
      </c>
      <c r="B766" s="1" t="n">
        <v>44298</v>
      </c>
      <c r="C766" s="1" t="n">
        <v>45841</v>
      </c>
      <c r="D766" t="inlineStr">
        <is>
          <t>VÄSTERNORRLANDS LÄN</t>
        </is>
      </c>
      <c r="E766" t="inlineStr">
        <is>
          <t>SUNDSVALL</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17690-2021</t>
        </is>
      </c>
      <c r="B767" s="1" t="n">
        <v>44300</v>
      </c>
      <c r="C767" s="1" t="n">
        <v>45841</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17845-2021</t>
        </is>
      </c>
      <c r="B768" s="1" t="n">
        <v>44301</v>
      </c>
      <c r="C768" s="1" t="n">
        <v>45841</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18453-2021</t>
        </is>
      </c>
      <c r="B769" s="1" t="n">
        <v>44306</v>
      </c>
      <c r="C769" s="1" t="n">
        <v>45841</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18672-2021</t>
        </is>
      </c>
      <c r="B770" s="1" t="n">
        <v>44306</v>
      </c>
      <c r="C770" s="1" t="n">
        <v>45841</v>
      </c>
      <c r="D770" t="inlineStr">
        <is>
          <t>VÄSTERNORRLANDS LÄN</t>
        </is>
      </c>
      <c r="E770" t="inlineStr">
        <is>
          <t>SUNDSVALL</t>
        </is>
      </c>
      <c r="G770" t="n">
        <v>3.1</v>
      </c>
      <c r="H770" t="n">
        <v>0</v>
      </c>
      <c r="I770" t="n">
        <v>0</v>
      </c>
      <c r="J770" t="n">
        <v>0</v>
      </c>
      <c r="K770" t="n">
        <v>0</v>
      </c>
      <c r="L770" t="n">
        <v>0</v>
      </c>
      <c r="M770" t="n">
        <v>0</v>
      </c>
      <c r="N770" t="n">
        <v>0</v>
      </c>
      <c r="O770" t="n">
        <v>0</v>
      </c>
      <c r="P770" t="n">
        <v>0</v>
      </c>
      <c r="Q770" t="n">
        <v>0</v>
      </c>
      <c r="R770" s="2" t="inlineStr"/>
    </row>
    <row r="771" ht="15" customHeight="1">
      <c r="A771" t="inlineStr">
        <is>
          <t>A 18774-2021</t>
        </is>
      </c>
      <c r="B771" s="1" t="n">
        <v>44307</v>
      </c>
      <c r="C771" s="1" t="n">
        <v>45841</v>
      </c>
      <c r="D771" t="inlineStr">
        <is>
          <t>VÄSTERNORRLANDS LÄN</t>
        </is>
      </c>
      <c r="E771" t="inlineStr">
        <is>
          <t>SUNDSVALL</t>
        </is>
      </c>
      <c r="G771" t="n">
        <v>0.3</v>
      </c>
      <c r="H771" t="n">
        <v>0</v>
      </c>
      <c r="I771" t="n">
        <v>0</v>
      </c>
      <c r="J771" t="n">
        <v>0</v>
      </c>
      <c r="K771" t="n">
        <v>0</v>
      </c>
      <c r="L771" t="n">
        <v>0</v>
      </c>
      <c r="M771" t="n">
        <v>0</v>
      </c>
      <c r="N771" t="n">
        <v>0</v>
      </c>
      <c r="O771" t="n">
        <v>0</v>
      </c>
      <c r="P771" t="n">
        <v>0</v>
      </c>
      <c r="Q771" t="n">
        <v>0</v>
      </c>
      <c r="R771" s="2" t="inlineStr"/>
    </row>
    <row r="772" ht="15" customHeight="1">
      <c r="A772" t="inlineStr">
        <is>
          <t>A 19208-2021</t>
        </is>
      </c>
      <c r="B772" s="1" t="n">
        <v>44308</v>
      </c>
      <c r="C772" s="1" t="n">
        <v>45841</v>
      </c>
      <c r="D772" t="inlineStr">
        <is>
          <t>VÄSTERNORRLANDS LÄN</t>
        </is>
      </c>
      <c r="E772" t="inlineStr">
        <is>
          <t>SUNDSVALL</t>
        </is>
      </c>
      <c r="G772" t="n">
        <v>19.1</v>
      </c>
      <c r="H772" t="n">
        <v>0</v>
      </c>
      <c r="I772" t="n">
        <v>0</v>
      </c>
      <c r="J772" t="n">
        <v>0</v>
      </c>
      <c r="K772" t="n">
        <v>0</v>
      </c>
      <c r="L772" t="n">
        <v>0</v>
      </c>
      <c r="M772" t="n">
        <v>0</v>
      </c>
      <c r="N772" t="n">
        <v>0</v>
      </c>
      <c r="O772" t="n">
        <v>0</v>
      </c>
      <c r="P772" t="n">
        <v>0</v>
      </c>
      <c r="Q772" t="n">
        <v>0</v>
      </c>
      <c r="R772" s="2" t="inlineStr"/>
    </row>
    <row r="773" ht="15" customHeight="1">
      <c r="A773" t="inlineStr">
        <is>
          <t>A 19236-2021</t>
        </is>
      </c>
      <c r="B773" s="1" t="n">
        <v>44309</v>
      </c>
      <c r="C773" s="1" t="n">
        <v>45841</v>
      </c>
      <c r="D773" t="inlineStr">
        <is>
          <t>VÄSTERNORRLANDS LÄN</t>
        </is>
      </c>
      <c r="E773" t="inlineStr">
        <is>
          <t>SUNDSVALL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20416-2021</t>
        </is>
      </c>
      <c r="B774" s="1" t="n">
        <v>44312</v>
      </c>
      <c r="C774" s="1" t="n">
        <v>45841</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19729-2021</t>
        </is>
      </c>
      <c r="B775" s="1" t="n">
        <v>44312</v>
      </c>
      <c r="C775" s="1" t="n">
        <v>45841</v>
      </c>
      <c r="D775" t="inlineStr">
        <is>
          <t>VÄSTERNORRLANDS LÄN</t>
        </is>
      </c>
      <c r="E775" t="inlineStr">
        <is>
          <t>SUNDSVALL</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20010-2021</t>
        </is>
      </c>
      <c r="B776" s="1" t="n">
        <v>44313</v>
      </c>
      <c r="C776" s="1" t="n">
        <v>45841</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20011-2021</t>
        </is>
      </c>
      <c r="B777" s="1" t="n">
        <v>44313</v>
      </c>
      <c r="C777" s="1" t="n">
        <v>45841</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20186-2021</t>
        </is>
      </c>
      <c r="B778" s="1" t="n">
        <v>44314</v>
      </c>
      <c r="C778" s="1" t="n">
        <v>45841</v>
      </c>
      <c r="D778" t="inlineStr">
        <is>
          <t>VÄSTERNORRLANDS LÄN</t>
        </is>
      </c>
      <c r="E778" t="inlineStr">
        <is>
          <t>SUNDSVALL</t>
        </is>
      </c>
      <c r="G778" t="n">
        <v>2.3</v>
      </c>
      <c r="H778" t="n">
        <v>0</v>
      </c>
      <c r="I778" t="n">
        <v>0</v>
      </c>
      <c r="J778" t="n">
        <v>0</v>
      </c>
      <c r="K778" t="n">
        <v>0</v>
      </c>
      <c r="L778" t="n">
        <v>0</v>
      </c>
      <c r="M778" t="n">
        <v>0</v>
      </c>
      <c r="N778" t="n">
        <v>0</v>
      </c>
      <c r="O778" t="n">
        <v>0</v>
      </c>
      <c r="P778" t="n">
        <v>0</v>
      </c>
      <c r="Q778" t="n">
        <v>0</v>
      </c>
      <c r="R778" s="2" t="inlineStr"/>
    </row>
    <row r="779" ht="15" customHeight="1">
      <c r="A779" t="inlineStr">
        <is>
          <t>A 20514-2021</t>
        </is>
      </c>
      <c r="B779" s="1" t="n">
        <v>44315</v>
      </c>
      <c r="C779" s="1" t="n">
        <v>45841</v>
      </c>
      <c r="D779" t="inlineStr">
        <is>
          <t>VÄSTERNORRLANDS LÄN</t>
        </is>
      </c>
      <c r="E779" t="inlineStr">
        <is>
          <t>SUNDSVALL</t>
        </is>
      </c>
      <c r="G779" t="n">
        <v>6.7</v>
      </c>
      <c r="H779" t="n">
        <v>0</v>
      </c>
      <c r="I779" t="n">
        <v>0</v>
      </c>
      <c r="J779" t="n">
        <v>0</v>
      </c>
      <c r="K779" t="n">
        <v>0</v>
      </c>
      <c r="L779" t="n">
        <v>0</v>
      </c>
      <c r="M779" t="n">
        <v>0</v>
      </c>
      <c r="N779" t="n">
        <v>0</v>
      </c>
      <c r="O779" t="n">
        <v>0</v>
      </c>
      <c r="P779" t="n">
        <v>0</v>
      </c>
      <c r="Q779" t="n">
        <v>0</v>
      </c>
      <c r="R779" s="2" t="inlineStr"/>
    </row>
    <row r="780" ht="15" customHeight="1">
      <c r="A780" t="inlineStr">
        <is>
          <t>A 20520-2021</t>
        </is>
      </c>
      <c r="B780" s="1" t="n">
        <v>44315</v>
      </c>
      <c r="C780" s="1" t="n">
        <v>45841</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20698-2021</t>
        </is>
      </c>
      <c r="B781" s="1" t="n">
        <v>44316</v>
      </c>
      <c r="C781" s="1" t="n">
        <v>45841</v>
      </c>
      <c r="D781" t="inlineStr">
        <is>
          <t>VÄSTERNORRLANDS LÄN</t>
        </is>
      </c>
      <c r="E781" t="inlineStr">
        <is>
          <t>SUNDSVALL</t>
        </is>
      </c>
      <c r="G781" t="n">
        <v>5.2</v>
      </c>
      <c r="H781" t="n">
        <v>0</v>
      </c>
      <c r="I781" t="n">
        <v>0</v>
      </c>
      <c r="J781" t="n">
        <v>0</v>
      </c>
      <c r="K781" t="n">
        <v>0</v>
      </c>
      <c r="L781" t="n">
        <v>0</v>
      </c>
      <c r="M781" t="n">
        <v>0</v>
      </c>
      <c r="N781" t="n">
        <v>0</v>
      </c>
      <c r="O781" t="n">
        <v>0</v>
      </c>
      <c r="P781" t="n">
        <v>0</v>
      </c>
      <c r="Q781" t="n">
        <v>0</v>
      </c>
      <c r="R781" s="2" t="inlineStr"/>
    </row>
    <row r="782" ht="15" customHeight="1">
      <c r="A782" t="inlineStr">
        <is>
          <t>A 20713-2021</t>
        </is>
      </c>
      <c r="B782" s="1" t="n">
        <v>44316</v>
      </c>
      <c r="C782" s="1" t="n">
        <v>45841</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20660-2021</t>
        </is>
      </c>
      <c r="B783" s="1" t="n">
        <v>44316</v>
      </c>
      <c r="C783" s="1" t="n">
        <v>45841</v>
      </c>
      <c r="D783" t="inlineStr">
        <is>
          <t>VÄSTERNORRLANDS LÄN</t>
        </is>
      </c>
      <c r="E783" t="inlineStr">
        <is>
          <t>SUNDSVALL</t>
        </is>
      </c>
      <c r="G783" t="n">
        <v>1.7</v>
      </c>
      <c r="H783" t="n">
        <v>0</v>
      </c>
      <c r="I783" t="n">
        <v>0</v>
      </c>
      <c r="J783" t="n">
        <v>0</v>
      </c>
      <c r="K783" t="n">
        <v>0</v>
      </c>
      <c r="L783" t="n">
        <v>0</v>
      </c>
      <c r="M783" t="n">
        <v>0</v>
      </c>
      <c r="N783" t="n">
        <v>0</v>
      </c>
      <c r="O783" t="n">
        <v>0</v>
      </c>
      <c r="P783" t="n">
        <v>0</v>
      </c>
      <c r="Q783" t="n">
        <v>0</v>
      </c>
      <c r="R783" s="2" t="inlineStr"/>
    </row>
    <row r="784" ht="15" customHeight="1">
      <c r="A784" t="inlineStr">
        <is>
          <t>A 21099-2021</t>
        </is>
      </c>
      <c r="B784" s="1" t="n">
        <v>44319</v>
      </c>
      <c r="C784" s="1" t="n">
        <v>45841</v>
      </c>
      <c r="D784" t="inlineStr">
        <is>
          <t>VÄSTERNORRLANDS LÄN</t>
        </is>
      </c>
      <c r="E784" t="inlineStr">
        <is>
          <t>SUNDSVALL</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21102-2021</t>
        </is>
      </c>
      <c r="B785" s="1" t="n">
        <v>44319</v>
      </c>
      <c r="C785" s="1" t="n">
        <v>45841</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21370-2021</t>
        </is>
      </c>
      <c r="B786" s="1" t="n">
        <v>44320</v>
      </c>
      <c r="C786" s="1" t="n">
        <v>45841</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21427-2021</t>
        </is>
      </c>
      <c r="B787" s="1" t="n">
        <v>44320</v>
      </c>
      <c r="C787" s="1" t="n">
        <v>45841</v>
      </c>
      <c r="D787" t="inlineStr">
        <is>
          <t>VÄSTERNORRLANDS LÄN</t>
        </is>
      </c>
      <c r="E787" t="inlineStr">
        <is>
          <t>SUNDSVALL</t>
        </is>
      </c>
      <c r="G787" t="n">
        <v>0.9</v>
      </c>
      <c r="H787" t="n">
        <v>0</v>
      </c>
      <c r="I787" t="n">
        <v>0</v>
      </c>
      <c r="J787" t="n">
        <v>0</v>
      </c>
      <c r="K787" t="n">
        <v>0</v>
      </c>
      <c r="L787" t="n">
        <v>0</v>
      </c>
      <c r="M787" t="n">
        <v>0</v>
      </c>
      <c r="N787" t="n">
        <v>0</v>
      </c>
      <c r="O787" t="n">
        <v>0</v>
      </c>
      <c r="P787" t="n">
        <v>0</v>
      </c>
      <c r="Q787" t="n">
        <v>0</v>
      </c>
      <c r="R787" s="2" t="inlineStr"/>
    </row>
    <row r="788" ht="15" customHeight="1">
      <c r="A788" t="inlineStr">
        <is>
          <t>A 22336-2021</t>
        </is>
      </c>
      <c r="B788" s="1" t="n">
        <v>44326</v>
      </c>
      <c r="C788" s="1" t="n">
        <v>45841</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23052-2021</t>
        </is>
      </c>
      <c r="B789" s="1" t="n">
        <v>44329</v>
      </c>
      <c r="C789" s="1" t="n">
        <v>45841</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23480-2021</t>
        </is>
      </c>
      <c r="B790" s="1" t="n">
        <v>44333</v>
      </c>
      <c r="C790" s="1" t="n">
        <v>45841</v>
      </c>
      <c r="D790" t="inlineStr">
        <is>
          <t>VÄSTERNORRLANDS LÄN</t>
        </is>
      </c>
      <c r="E790" t="inlineStr">
        <is>
          <t>SUNDSVALL</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23951-2021</t>
        </is>
      </c>
      <c r="B791" s="1" t="n">
        <v>44335</v>
      </c>
      <c r="C791" s="1" t="n">
        <v>45841</v>
      </c>
      <c r="D791" t="inlineStr">
        <is>
          <t>VÄSTERNORRLANDS LÄN</t>
        </is>
      </c>
      <c r="E791" t="inlineStr">
        <is>
          <t>SUNDSVALL</t>
        </is>
      </c>
      <c r="G791" t="n">
        <v>3.3</v>
      </c>
      <c r="H791" t="n">
        <v>0</v>
      </c>
      <c r="I791" t="n">
        <v>0</v>
      </c>
      <c r="J791" t="n">
        <v>0</v>
      </c>
      <c r="K791" t="n">
        <v>0</v>
      </c>
      <c r="L791" t="n">
        <v>0</v>
      </c>
      <c r="M791" t="n">
        <v>0</v>
      </c>
      <c r="N791" t="n">
        <v>0</v>
      </c>
      <c r="O791" t="n">
        <v>0</v>
      </c>
      <c r="P791" t="n">
        <v>0</v>
      </c>
      <c r="Q791" t="n">
        <v>0</v>
      </c>
      <c r="R791" s="2" t="inlineStr"/>
    </row>
    <row r="792" ht="15" customHeight="1">
      <c r="A792" t="inlineStr">
        <is>
          <t>A 24068-2021</t>
        </is>
      </c>
      <c r="B792" s="1" t="n">
        <v>44336</v>
      </c>
      <c r="C792" s="1" t="n">
        <v>45841</v>
      </c>
      <c r="D792" t="inlineStr">
        <is>
          <t>VÄSTERNORRLANDS LÄN</t>
        </is>
      </c>
      <c r="E792" t="inlineStr">
        <is>
          <t>SUNDSVALL</t>
        </is>
      </c>
      <c r="G792" t="n">
        <v>39</v>
      </c>
      <c r="H792" t="n">
        <v>0</v>
      </c>
      <c r="I792" t="n">
        <v>0</v>
      </c>
      <c r="J792" t="n">
        <v>0</v>
      </c>
      <c r="K792" t="n">
        <v>0</v>
      </c>
      <c r="L792" t="n">
        <v>0</v>
      </c>
      <c r="M792" t="n">
        <v>0</v>
      </c>
      <c r="N792" t="n">
        <v>0</v>
      </c>
      <c r="O792" t="n">
        <v>0</v>
      </c>
      <c r="P792" t="n">
        <v>0</v>
      </c>
      <c r="Q792" t="n">
        <v>0</v>
      </c>
      <c r="R792" s="2" t="inlineStr"/>
    </row>
    <row r="793" ht="15" customHeight="1">
      <c r="A793" t="inlineStr">
        <is>
          <t>A 24342-2021</t>
        </is>
      </c>
      <c r="B793" s="1" t="n">
        <v>44337</v>
      </c>
      <c r="C793" s="1" t="n">
        <v>45841</v>
      </c>
      <c r="D793" t="inlineStr">
        <is>
          <t>VÄSTERNORRLANDS LÄN</t>
        </is>
      </c>
      <c r="E793" t="inlineStr">
        <is>
          <t>SUNDSVALL</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24433-2021</t>
        </is>
      </c>
      <c r="B794" s="1" t="n">
        <v>44337</v>
      </c>
      <c r="C794" s="1" t="n">
        <v>45841</v>
      </c>
      <c r="D794" t="inlineStr">
        <is>
          <t>VÄSTERNORRLANDS LÄN</t>
        </is>
      </c>
      <c r="E794" t="inlineStr">
        <is>
          <t>SUNDSVALL</t>
        </is>
      </c>
      <c r="G794" t="n">
        <v>1</v>
      </c>
      <c r="H794" t="n">
        <v>0</v>
      </c>
      <c r="I794" t="n">
        <v>0</v>
      </c>
      <c r="J794" t="n">
        <v>0</v>
      </c>
      <c r="K794" t="n">
        <v>0</v>
      </c>
      <c r="L794" t="n">
        <v>0</v>
      </c>
      <c r="M794" t="n">
        <v>0</v>
      </c>
      <c r="N794" t="n">
        <v>0</v>
      </c>
      <c r="O794" t="n">
        <v>0</v>
      </c>
      <c r="P794" t="n">
        <v>0</v>
      </c>
      <c r="Q794" t="n">
        <v>0</v>
      </c>
      <c r="R794" s="2" t="inlineStr"/>
    </row>
    <row r="795" ht="15" customHeight="1">
      <c r="A795" t="inlineStr">
        <is>
          <t>A 24505-2021</t>
        </is>
      </c>
      <c r="B795" s="1" t="n">
        <v>44338</v>
      </c>
      <c r="C795" s="1" t="n">
        <v>45841</v>
      </c>
      <c r="D795" t="inlineStr">
        <is>
          <t>VÄSTERNORRLANDS LÄN</t>
        </is>
      </c>
      <c r="E795" t="inlineStr">
        <is>
          <t>SUNDSVALL</t>
        </is>
      </c>
      <c r="G795" t="n">
        <v>2.7</v>
      </c>
      <c r="H795" t="n">
        <v>0</v>
      </c>
      <c r="I795" t="n">
        <v>0</v>
      </c>
      <c r="J795" t="n">
        <v>0</v>
      </c>
      <c r="K795" t="n">
        <v>0</v>
      </c>
      <c r="L795" t="n">
        <v>0</v>
      </c>
      <c r="M795" t="n">
        <v>0</v>
      </c>
      <c r="N795" t="n">
        <v>0</v>
      </c>
      <c r="O795" t="n">
        <v>0</v>
      </c>
      <c r="P795" t="n">
        <v>0</v>
      </c>
      <c r="Q795" t="n">
        <v>0</v>
      </c>
      <c r="R795" s="2" t="inlineStr"/>
    </row>
    <row r="796" ht="15" customHeight="1">
      <c r="A796" t="inlineStr">
        <is>
          <t>A 24853-2021</t>
        </is>
      </c>
      <c r="B796" s="1" t="n">
        <v>44340</v>
      </c>
      <c r="C796" s="1" t="n">
        <v>45841</v>
      </c>
      <c r="D796" t="inlineStr">
        <is>
          <t>VÄSTERNORRLANDS LÄN</t>
        </is>
      </c>
      <c r="E796" t="inlineStr">
        <is>
          <t>SUNDSVALL</t>
        </is>
      </c>
      <c r="G796" t="n">
        <v>3.2</v>
      </c>
      <c r="H796" t="n">
        <v>0</v>
      </c>
      <c r="I796" t="n">
        <v>0</v>
      </c>
      <c r="J796" t="n">
        <v>0</v>
      </c>
      <c r="K796" t="n">
        <v>0</v>
      </c>
      <c r="L796" t="n">
        <v>0</v>
      </c>
      <c r="M796" t="n">
        <v>0</v>
      </c>
      <c r="N796" t="n">
        <v>0</v>
      </c>
      <c r="O796" t="n">
        <v>0</v>
      </c>
      <c r="P796" t="n">
        <v>0</v>
      </c>
      <c r="Q796" t="n">
        <v>0</v>
      </c>
      <c r="R796" s="2" t="inlineStr"/>
    </row>
    <row r="797" ht="15" customHeight="1">
      <c r="A797" t="inlineStr">
        <is>
          <t>A 25147-2021</t>
        </is>
      </c>
      <c r="B797" s="1" t="n">
        <v>44341</v>
      </c>
      <c r="C797" s="1" t="n">
        <v>45841</v>
      </c>
      <c r="D797" t="inlineStr">
        <is>
          <t>VÄSTERNORRLANDS LÄN</t>
        </is>
      </c>
      <c r="E797" t="inlineStr">
        <is>
          <t>SUNDSVALL</t>
        </is>
      </c>
      <c r="G797" t="n">
        <v>2</v>
      </c>
      <c r="H797" t="n">
        <v>0</v>
      </c>
      <c r="I797" t="n">
        <v>0</v>
      </c>
      <c r="J797" t="n">
        <v>0</v>
      </c>
      <c r="K797" t="n">
        <v>0</v>
      </c>
      <c r="L797" t="n">
        <v>0</v>
      </c>
      <c r="M797" t="n">
        <v>0</v>
      </c>
      <c r="N797" t="n">
        <v>0</v>
      </c>
      <c r="O797" t="n">
        <v>0</v>
      </c>
      <c r="P797" t="n">
        <v>0</v>
      </c>
      <c r="Q797" t="n">
        <v>0</v>
      </c>
      <c r="R797" s="2" t="inlineStr"/>
    </row>
    <row r="798" ht="15" customHeight="1">
      <c r="A798" t="inlineStr">
        <is>
          <t>A 25148-2021</t>
        </is>
      </c>
      <c r="B798" s="1" t="n">
        <v>44341</v>
      </c>
      <c r="C798" s="1" t="n">
        <v>45841</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25371-2021</t>
        </is>
      </c>
      <c r="B799" s="1" t="n">
        <v>44342</v>
      </c>
      <c r="C799" s="1" t="n">
        <v>45841</v>
      </c>
      <c r="D799" t="inlineStr">
        <is>
          <t>VÄSTERNORRLANDS LÄN</t>
        </is>
      </c>
      <c r="E799" t="inlineStr">
        <is>
          <t>SUNDSVALL</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25484-2021</t>
        </is>
      </c>
      <c r="B800" s="1" t="n">
        <v>44342</v>
      </c>
      <c r="C800" s="1" t="n">
        <v>45841</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25747-2021</t>
        </is>
      </c>
      <c r="B801" s="1" t="n">
        <v>44343</v>
      </c>
      <c r="C801" s="1" t="n">
        <v>45841</v>
      </c>
      <c r="D801" t="inlineStr">
        <is>
          <t>VÄSTERNORRLANDS LÄN</t>
        </is>
      </c>
      <c r="E801" t="inlineStr">
        <is>
          <t>SUNDSVALL</t>
        </is>
      </c>
      <c r="F801" t="inlineStr">
        <is>
          <t>Kyrkan</t>
        </is>
      </c>
      <c r="G801" t="n">
        <v>2.9</v>
      </c>
      <c r="H801" t="n">
        <v>0</v>
      </c>
      <c r="I801" t="n">
        <v>0</v>
      </c>
      <c r="J801" t="n">
        <v>0</v>
      </c>
      <c r="K801" t="n">
        <v>0</v>
      </c>
      <c r="L801" t="n">
        <v>0</v>
      </c>
      <c r="M801" t="n">
        <v>0</v>
      </c>
      <c r="N801" t="n">
        <v>0</v>
      </c>
      <c r="O801" t="n">
        <v>0</v>
      </c>
      <c r="P801" t="n">
        <v>0</v>
      </c>
      <c r="Q801" t="n">
        <v>0</v>
      </c>
      <c r="R801" s="2" t="inlineStr"/>
    </row>
    <row r="802" ht="15" customHeight="1">
      <c r="A802" t="inlineStr">
        <is>
          <t>A 25539-2021</t>
        </is>
      </c>
      <c r="B802" s="1" t="n">
        <v>44343</v>
      </c>
      <c r="C802" s="1" t="n">
        <v>45841</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25748-2021</t>
        </is>
      </c>
      <c r="B803" s="1" t="n">
        <v>44343</v>
      </c>
      <c r="C803" s="1" t="n">
        <v>45841</v>
      </c>
      <c r="D803" t="inlineStr">
        <is>
          <t>VÄSTERNORRLANDS LÄN</t>
        </is>
      </c>
      <c r="E803" t="inlineStr">
        <is>
          <t>SUNDSVALL</t>
        </is>
      </c>
      <c r="F803" t="inlineStr">
        <is>
          <t>Kyrkan</t>
        </is>
      </c>
      <c r="G803" t="n">
        <v>1</v>
      </c>
      <c r="H803" t="n">
        <v>0</v>
      </c>
      <c r="I803" t="n">
        <v>0</v>
      </c>
      <c r="J803" t="n">
        <v>0</v>
      </c>
      <c r="K803" t="n">
        <v>0</v>
      </c>
      <c r="L803" t="n">
        <v>0</v>
      </c>
      <c r="M803" t="n">
        <v>0</v>
      </c>
      <c r="N803" t="n">
        <v>0</v>
      </c>
      <c r="O803" t="n">
        <v>0</v>
      </c>
      <c r="P803" t="n">
        <v>0</v>
      </c>
      <c r="Q803" t="n">
        <v>0</v>
      </c>
      <c r="R803" s="2" t="inlineStr"/>
    </row>
    <row r="804" ht="15" customHeight="1">
      <c r="A804" t="inlineStr">
        <is>
          <t>A 25980-2021</t>
        </is>
      </c>
      <c r="B804" s="1" t="n">
        <v>44344</v>
      </c>
      <c r="C804" s="1" t="n">
        <v>45841</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26089-2021</t>
        </is>
      </c>
      <c r="B805" s="1" t="n">
        <v>44344</v>
      </c>
      <c r="C805" s="1" t="n">
        <v>45841</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26108-2021</t>
        </is>
      </c>
      <c r="B806" s="1" t="n">
        <v>44344</v>
      </c>
      <c r="C806" s="1" t="n">
        <v>45841</v>
      </c>
      <c r="D806" t="inlineStr">
        <is>
          <t>VÄSTERNORRLANDS LÄN</t>
        </is>
      </c>
      <c r="E806" t="inlineStr">
        <is>
          <t>SUNDSVALL</t>
        </is>
      </c>
      <c r="G806" t="n">
        <v>5.1</v>
      </c>
      <c r="H806" t="n">
        <v>0</v>
      </c>
      <c r="I806" t="n">
        <v>0</v>
      </c>
      <c r="J806" t="n">
        <v>0</v>
      </c>
      <c r="K806" t="n">
        <v>0</v>
      </c>
      <c r="L806" t="n">
        <v>0</v>
      </c>
      <c r="M806" t="n">
        <v>0</v>
      </c>
      <c r="N806" t="n">
        <v>0</v>
      </c>
      <c r="O806" t="n">
        <v>0</v>
      </c>
      <c r="P806" t="n">
        <v>0</v>
      </c>
      <c r="Q806" t="n">
        <v>0</v>
      </c>
      <c r="R806" s="2" t="inlineStr"/>
    </row>
    <row r="807" ht="15" customHeight="1">
      <c r="A807" t="inlineStr">
        <is>
          <t>A 26424-2021</t>
        </is>
      </c>
      <c r="B807" s="1" t="n">
        <v>44347</v>
      </c>
      <c r="C807" s="1" t="n">
        <v>45841</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26396-2021</t>
        </is>
      </c>
      <c r="B808" s="1" t="n">
        <v>44347</v>
      </c>
      <c r="C808" s="1" t="n">
        <v>45841</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26972-2021</t>
        </is>
      </c>
      <c r="B809" s="1" t="n">
        <v>44350</v>
      </c>
      <c r="C809" s="1" t="n">
        <v>45841</v>
      </c>
      <c r="D809" t="inlineStr">
        <is>
          <t>VÄSTERNORRLANDS LÄN</t>
        </is>
      </c>
      <c r="E809" t="inlineStr">
        <is>
          <t>SUNDSVALL</t>
        </is>
      </c>
      <c r="F809" t="inlineStr">
        <is>
          <t>SCA</t>
        </is>
      </c>
      <c r="G809" t="n">
        <v>7.5</v>
      </c>
      <c r="H809" t="n">
        <v>0</v>
      </c>
      <c r="I809" t="n">
        <v>0</v>
      </c>
      <c r="J809" t="n">
        <v>0</v>
      </c>
      <c r="K809" t="n">
        <v>0</v>
      </c>
      <c r="L809" t="n">
        <v>0</v>
      </c>
      <c r="M809" t="n">
        <v>0</v>
      </c>
      <c r="N809" t="n">
        <v>0</v>
      </c>
      <c r="O809" t="n">
        <v>0</v>
      </c>
      <c r="P809" t="n">
        <v>0</v>
      </c>
      <c r="Q809" t="n">
        <v>0</v>
      </c>
      <c r="R809" s="2" t="inlineStr"/>
    </row>
    <row r="810" ht="15" customHeight="1">
      <c r="A810" t="inlineStr">
        <is>
          <t>A 26950-2021</t>
        </is>
      </c>
      <c r="B810" s="1" t="n">
        <v>44349</v>
      </c>
      <c r="C810" s="1" t="n">
        <v>45841</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27015-2021</t>
        </is>
      </c>
      <c r="B811" s="1" t="n">
        <v>44349</v>
      </c>
      <c r="C811" s="1" t="n">
        <v>45841</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27170-2021</t>
        </is>
      </c>
      <c r="B812" s="1" t="n">
        <v>44350</v>
      </c>
      <c r="C812" s="1" t="n">
        <v>45841</v>
      </c>
      <c r="D812" t="inlineStr">
        <is>
          <t>VÄSTERNORRLANDS LÄN</t>
        </is>
      </c>
      <c r="E812" t="inlineStr">
        <is>
          <t>SUNDSVALL</t>
        </is>
      </c>
      <c r="G812" t="n">
        <v>7.2</v>
      </c>
      <c r="H812" t="n">
        <v>0</v>
      </c>
      <c r="I812" t="n">
        <v>0</v>
      </c>
      <c r="J812" t="n">
        <v>0</v>
      </c>
      <c r="K812" t="n">
        <v>0</v>
      </c>
      <c r="L812" t="n">
        <v>0</v>
      </c>
      <c r="M812" t="n">
        <v>0</v>
      </c>
      <c r="N812" t="n">
        <v>0</v>
      </c>
      <c r="O812" t="n">
        <v>0</v>
      </c>
      <c r="P812" t="n">
        <v>0</v>
      </c>
      <c r="Q812" t="n">
        <v>0</v>
      </c>
      <c r="R812" s="2" t="inlineStr"/>
    </row>
    <row r="813" ht="15" customHeight="1">
      <c r="A813" t="inlineStr">
        <is>
          <t>A 27238-2021</t>
        </is>
      </c>
      <c r="B813" s="1" t="n">
        <v>44350</v>
      </c>
      <c r="C813" s="1" t="n">
        <v>45841</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27366-2021</t>
        </is>
      </c>
      <c r="B814" s="1" t="n">
        <v>44351</v>
      </c>
      <c r="C814" s="1" t="n">
        <v>45841</v>
      </c>
      <c r="D814" t="inlineStr">
        <is>
          <t>VÄSTERNORRLANDS LÄN</t>
        </is>
      </c>
      <c r="E814" t="inlineStr">
        <is>
          <t>SUNDSVALL</t>
        </is>
      </c>
      <c r="G814" t="n">
        <v>15.9</v>
      </c>
      <c r="H814" t="n">
        <v>0</v>
      </c>
      <c r="I814" t="n">
        <v>0</v>
      </c>
      <c r="J814" t="n">
        <v>0</v>
      </c>
      <c r="K814" t="n">
        <v>0</v>
      </c>
      <c r="L814" t="n">
        <v>0</v>
      </c>
      <c r="M814" t="n">
        <v>0</v>
      </c>
      <c r="N814" t="n">
        <v>0</v>
      </c>
      <c r="O814" t="n">
        <v>0</v>
      </c>
      <c r="P814" t="n">
        <v>0</v>
      </c>
      <c r="Q814" t="n">
        <v>0</v>
      </c>
      <c r="R814" s="2" t="inlineStr"/>
    </row>
    <row r="815" ht="15" customHeight="1">
      <c r="A815" t="inlineStr">
        <is>
          <t>A 27959-2021</t>
        </is>
      </c>
      <c r="B815" s="1" t="n">
        <v>44354</v>
      </c>
      <c r="C815" s="1" t="n">
        <v>45841</v>
      </c>
      <c r="D815" t="inlineStr">
        <is>
          <t>VÄSTERNORRLANDS LÄN</t>
        </is>
      </c>
      <c r="E815" t="inlineStr">
        <is>
          <t>SUNDSVALL</t>
        </is>
      </c>
      <c r="G815" t="n">
        <v>1.3</v>
      </c>
      <c r="H815" t="n">
        <v>0</v>
      </c>
      <c r="I815" t="n">
        <v>0</v>
      </c>
      <c r="J815" t="n">
        <v>0</v>
      </c>
      <c r="K815" t="n">
        <v>0</v>
      </c>
      <c r="L815" t="n">
        <v>0</v>
      </c>
      <c r="M815" t="n">
        <v>0</v>
      </c>
      <c r="N815" t="n">
        <v>0</v>
      </c>
      <c r="O815" t="n">
        <v>0</v>
      </c>
      <c r="P815" t="n">
        <v>0</v>
      </c>
      <c r="Q815" t="n">
        <v>0</v>
      </c>
      <c r="R815" s="2" t="inlineStr"/>
    </row>
    <row r="816" ht="15" customHeight="1">
      <c r="A816" t="inlineStr">
        <is>
          <t>A 28238-2021</t>
        </is>
      </c>
      <c r="B816" s="1" t="n">
        <v>44355</v>
      </c>
      <c r="C816" s="1" t="n">
        <v>45841</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28264-2021</t>
        </is>
      </c>
      <c r="B817" s="1" t="n">
        <v>44355</v>
      </c>
      <c r="C817" s="1" t="n">
        <v>45841</v>
      </c>
      <c r="D817" t="inlineStr">
        <is>
          <t>VÄSTERNORRLANDS LÄN</t>
        </is>
      </c>
      <c r="E817" t="inlineStr">
        <is>
          <t>SUNDSVALL</t>
        </is>
      </c>
      <c r="G817" t="n">
        <v>0.1</v>
      </c>
      <c r="H817" t="n">
        <v>0</v>
      </c>
      <c r="I817" t="n">
        <v>0</v>
      </c>
      <c r="J817" t="n">
        <v>0</v>
      </c>
      <c r="K817" t="n">
        <v>0</v>
      </c>
      <c r="L817" t="n">
        <v>0</v>
      </c>
      <c r="M817" t="n">
        <v>0</v>
      </c>
      <c r="N817" t="n">
        <v>0</v>
      </c>
      <c r="O817" t="n">
        <v>0</v>
      </c>
      <c r="P817" t="n">
        <v>0</v>
      </c>
      <c r="Q817" t="n">
        <v>0</v>
      </c>
      <c r="R817" s="2" t="inlineStr"/>
    </row>
    <row r="818" ht="15" customHeight="1">
      <c r="A818" t="inlineStr">
        <is>
          <t>A 28341-2021</t>
        </is>
      </c>
      <c r="B818" s="1" t="n">
        <v>44356</v>
      </c>
      <c r="C818" s="1" t="n">
        <v>45841</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28595-2021</t>
        </is>
      </c>
      <c r="B819" s="1" t="n">
        <v>44356</v>
      </c>
      <c r="C819" s="1" t="n">
        <v>45841</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28594-2021</t>
        </is>
      </c>
      <c r="B820" s="1" t="n">
        <v>44356</v>
      </c>
      <c r="C820" s="1" t="n">
        <v>45841</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28684-2021</t>
        </is>
      </c>
      <c r="B821" s="1" t="n">
        <v>44357</v>
      </c>
      <c r="C821" s="1" t="n">
        <v>45841</v>
      </c>
      <c r="D821" t="inlineStr">
        <is>
          <t>VÄSTERNORRLANDS LÄN</t>
        </is>
      </c>
      <c r="E821" t="inlineStr">
        <is>
          <t>SUNDSVALL</t>
        </is>
      </c>
      <c r="G821" t="n">
        <v>12.2</v>
      </c>
      <c r="H821" t="n">
        <v>0</v>
      </c>
      <c r="I821" t="n">
        <v>0</v>
      </c>
      <c r="J821" t="n">
        <v>0</v>
      </c>
      <c r="K821" t="n">
        <v>0</v>
      </c>
      <c r="L821" t="n">
        <v>0</v>
      </c>
      <c r="M821" t="n">
        <v>0</v>
      </c>
      <c r="N821" t="n">
        <v>0</v>
      </c>
      <c r="O821" t="n">
        <v>0</v>
      </c>
      <c r="P821" t="n">
        <v>0</v>
      </c>
      <c r="Q821" t="n">
        <v>0</v>
      </c>
      <c r="R821" s="2" t="inlineStr"/>
    </row>
    <row r="822" ht="15" customHeight="1">
      <c r="A822" t="inlineStr">
        <is>
          <t>A 28825-2021</t>
        </is>
      </c>
      <c r="B822" s="1" t="n">
        <v>44357</v>
      </c>
      <c r="C822" s="1" t="n">
        <v>45841</v>
      </c>
      <c r="D822" t="inlineStr">
        <is>
          <t>VÄSTERNORRLANDS LÄN</t>
        </is>
      </c>
      <c r="E822" t="inlineStr">
        <is>
          <t>SUNDSVALL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28829-2021</t>
        </is>
      </c>
      <c r="B823" s="1" t="n">
        <v>44357</v>
      </c>
      <c r="C823" s="1" t="n">
        <v>45841</v>
      </c>
      <c r="D823" t="inlineStr">
        <is>
          <t>VÄSTERNORRLANDS LÄN</t>
        </is>
      </c>
      <c r="E823" t="inlineStr">
        <is>
          <t>SUNDSVALL</t>
        </is>
      </c>
      <c r="F823" t="inlineStr">
        <is>
          <t>Holmen skog AB</t>
        </is>
      </c>
      <c r="G823" t="n">
        <v>1.7</v>
      </c>
      <c r="H823" t="n">
        <v>0</v>
      </c>
      <c r="I823" t="n">
        <v>0</v>
      </c>
      <c r="J823" t="n">
        <v>0</v>
      </c>
      <c r="K823" t="n">
        <v>0</v>
      </c>
      <c r="L823" t="n">
        <v>0</v>
      </c>
      <c r="M823" t="n">
        <v>0</v>
      </c>
      <c r="N823" t="n">
        <v>0</v>
      </c>
      <c r="O823" t="n">
        <v>0</v>
      </c>
      <c r="P823" t="n">
        <v>0</v>
      </c>
      <c r="Q823" t="n">
        <v>0</v>
      </c>
      <c r="R823" s="2" t="inlineStr"/>
    </row>
    <row r="824" ht="15" customHeight="1">
      <c r="A824" t="inlineStr">
        <is>
          <t>A 29292-2021</t>
        </is>
      </c>
      <c r="B824" s="1" t="n">
        <v>44358</v>
      </c>
      <c r="C824" s="1" t="n">
        <v>45841</v>
      </c>
      <c r="D824" t="inlineStr">
        <is>
          <t>VÄSTERNORRLANDS LÄN</t>
        </is>
      </c>
      <c r="E824" t="inlineStr">
        <is>
          <t>SUNDSVALL</t>
        </is>
      </c>
      <c r="G824" t="n">
        <v>0.2</v>
      </c>
      <c r="H824" t="n">
        <v>0</v>
      </c>
      <c r="I824" t="n">
        <v>0</v>
      </c>
      <c r="J824" t="n">
        <v>0</v>
      </c>
      <c r="K824" t="n">
        <v>0</v>
      </c>
      <c r="L824" t="n">
        <v>0</v>
      </c>
      <c r="M824" t="n">
        <v>0</v>
      </c>
      <c r="N824" t="n">
        <v>0</v>
      </c>
      <c r="O824" t="n">
        <v>0</v>
      </c>
      <c r="P824" t="n">
        <v>0</v>
      </c>
      <c r="Q824" t="n">
        <v>0</v>
      </c>
      <c r="R824" s="2" t="inlineStr"/>
    </row>
    <row r="825" ht="15" customHeight="1">
      <c r="A825" t="inlineStr">
        <is>
          <t>A 29256-2021</t>
        </is>
      </c>
      <c r="B825" s="1" t="n">
        <v>44361</v>
      </c>
      <c r="C825" s="1" t="n">
        <v>45841</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29322-2021</t>
        </is>
      </c>
      <c r="B826" s="1" t="n">
        <v>44361</v>
      </c>
      <c r="C826" s="1" t="n">
        <v>45841</v>
      </c>
      <c r="D826" t="inlineStr">
        <is>
          <t>VÄSTERNORRLANDS LÄN</t>
        </is>
      </c>
      <c r="E826" t="inlineStr">
        <is>
          <t>SUNDSVALL</t>
        </is>
      </c>
      <c r="G826" t="n">
        <v>7.2</v>
      </c>
      <c r="H826" t="n">
        <v>0</v>
      </c>
      <c r="I826" t="n">
        <v>0</v>
      </c>
      <c r="J826" t="n">
        <v>0</v>
      </c>
      <c r="K826" t="n">
        <v>0</v>
      </c>
      <c r="L826" t="n">
        <v>0</v>
      </c>
      <c r="M826" t="n">
        <v>0</v>
      </c>
      <c r="N826" t="n">
        <v>0</v>
      </c>
      <c r="O826" t="n">
        <v>0</v>
      </c>
      <c r="P826" t="n">
        <v>0</v>
      </c>
      <c r="Q826" t="n">
        <v>0</v>
      </c>
      <c r="R826" s="2" t="inlineStr"/>
    </row>
    <row r="827" ht="15" customHeight="1">
      <c r="A827" t="inlineStr">
        <is>
          <t>A 29301-2021</t>
        </is>
      </c>
      <c r="B827" s="1" t="n">
        <v>44361</v>
      </c>
      <c r="C827" s="1" t="n">
        <v>45841</v>
      </c>
      <c r="D827" t="inlineStr">
        <is>
          <t>VÄSTERNORRLANDS LÄN</t>
        </is>
      </c>
      <c r="E827" t="inlineStr">
        <is>
          <t>SUNDSVALL</t>
        </is>
      </c>
      <c r="G827" t="n">
        <v>3.8</v>
      </c>
      <c r="H827" t="n">
        <v>0</v>
      </c>
      <c r="I827" t="n">
        <v>0</v>
      </c>
      <c r="J827" t="n">
        <v>0</v>
      </c>
      <c r="K827" t="n">
        <v>0</v>
      </c>
      <c r="L827" t="n">
        <v>0</v>
      </c>
      <c r="M827" t="n">
        <v>0</v>
      </c>
      <c r="N827" t="n">
        <v>0</v>
      </c>
      <c r="O827" t="n">
        <v>0</v>
      </c>
      <c r="P827" t="n">
        <v>0</v>
      </c>
      <c r="Q827" t="n">
        <v>0</v>
      </c>
      <c r="R827" s="2" t="inlineStr"/>
    </row>
    <row r="828" ht="15" customHeight="1">
      <c r="A828" t="inlineStr">
        <is>
          <t>A 29403-2021</t>
        </is>
      </c>
      <c r="B828" s="1" t="n">
        <v>44361</v>
      </c>
      <c r="C828" s="1" t="n">
        <v>45841</v>
      </c>
      <c r="D828" t="inlineStr">
        <is>
          <t>VÄSTERNORRLANDS LÄN</t>
        </is>
      </c>
      <c r="E828" t="inlineStr">
        <is>
          <t>SUNDSVALL</t>
        </is>
      </c>
      <c r="G828" t="n">
        <v>1</v>
      </c>
      <c r="H828" t="n">
        <v>0</v>
      </c>
      <c r="I828" t="n">
        <v>0</v>
      </c>
      <c r="J828" t="n">
        <v>0</v>
      </c>
      <c r="K828" t="n">
        <v>0</v>
      </c>
      <c r="L828" t="n">
        <v>0</v>
      </c>
      <c r="M828" t="n">
        <v>0</v>
      </c>
      <c r="N828" t="n">
        <v>0</v>
      </c>
      <c r="O828" t="n">
        <v>0</v>
      </c>
      <c r="P828" t="n">
        <v>0</v>
      </c>
      <c r="Q828" t="n">
        <v>0</v>
      </c>
      <c r="R828" s="2" t="inlineStr"/>
    </row>
    <row r="829" ht="15" customHeight="1">
      <c r="A829" t="inlineStr">
        <is>
          <t>A 29468-2021</t>
        </is>
      </c>
      <c r="B829" s="1" t="n">
        <v>44361</v>
      </c>
      <c r="C829" s="1" t="n">
        <v>45841</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29484-2021</t>
        </is>
      </c>
      <c r="B830" s="1" t="n">
        <v>44361</v>
      </c>
      <c r="C830" s="1" t="n">
        <v>45841</v>
      </c>
      <c r="D830" t="inlineStr">
        <is>
          <t>VÄSTERNORRLANDS LÄN</t>
        </is>
      </c>
      <c r="E830" t="inlineStr">
        <is>
          <t>SUNDSVALL</t>
        </is>
      </c>
      <c r="G830" t="n">
        <v>1.2</v>
      </c>
      <c r="H830" t="n">
        <v>0</v>
      </c>
      <c r="I830" t="n">
        <v>0</v>
      </c>
      <c r="J830" t="n">
        <v>0</v>
      </c>
      <c r="K830" t="n">
        <v>0</v>
      </c>
      <c r="L830" t="n">
        <v>0</v>
      </c>
      <c r="M830" t="n">
        <v>0</v>
      </c>
      <c r="N830" t="n">
        <v>0</v>
      </c>
      <c r="O830" t="n">
        <v>0</v>
      </c>
      <c r="P830" t="n">
        <v>0</v>
      </c>
      <c r="Q830" t="n">
        <v>0</v>
      </c>
      <c r="R830" s="2" t="inlineStr"/>
    </row>
    <row r="831" ht="15" customHeight="1">
      <c r="A831" t="inlineStr">
        <is>
          <t>A 29535-2021</t>
        </is>
      </c>
      <c r="B831" s="1" t="n">
        <v>44361</v>
      </c>
      <c r="C831" s="1" t="n">
        <v>45841</v>
      </c>
      <c r="D831" t="inlineStr">
        <is>
          <t>VÄSTERNORRLANDS LÄN</t>
        </is>
      </c>
      <c r="E831" t="inlineStr">
        <is>
          <t>SUNDSVALL</t>
        </is>
      </c>
      <c r="G831" t="n">
        <v>1.9</v>
      </c>
      <c r="H831" t="n">
        <v>0</v>
      </c>
      <c r="I831" t="n">
        <v>0</v>
      </c>
      <c r="J831" t="n">
        <v>0</v>
      </c>
      <c r="K831" t="n">
        <v>0</v>
      </c>
      <c r="L831" t="n">
        <v>0</v>
      </c>
      <c r="M831" t="n">
        <v>0</v>
      </c>
      <c r="N831" t="n">
        <v>0</v>
      </c>
      <c r="O831" t="n">
        <v>0</v>
      </c>
      <c r="P831" t="n">
        <v>0</v>
      </c>
      <c r="Q831" t="n">
        <v>0</v>
      </c>
      <c r="R831" s="2" t="inlineStr"/>
    </row>
    <row r="832" ht="15" customHeight="1">
      <c r="A832" t="inlineStr">
        <is>
          <t>A 29576-2021</t>
        </is>
      </c>
      <c r="B832" s="1" t="n">
        <v>44361</v>
      </c>
      <c r="C832" s="1" t="n">
        <v>45841</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29577-2021</t>
        </is>
      </c>
      <c r="B833" s="1" t="n">
        <v>44361</v>
      </c>
      <c r="C833" s="1" t="n">
        <v>45841</v>
      </c>
      <c r="D833" t="inlineStr">
        <is>
          <t>VÄSTERNORRLANDS LÄN</t>
        </is>
      </c>
      <c r="E833" t="inlineStr">
        <is>
          <t>SUNDSVALL</t>
        </is>
      </c>
      <c r="G833" t="n">
        <v>2.3</v>
      </c>
      <c r="H833" t="n">
        <v>0</v>
      </c>
      <c r="I833" t="n">
        <v>0</v>
      </c>
      <c r="J833" t="n">
        <v>0</v>
      </c>
      <c r="K833" t="n">
        <v>0</v>
      </c>
      <c r="L833" t="n">
        <v>0</v>
      </c>
      <c r="M833" t="n">
        <v>0</v>
      </c>
      <c r="N833" t="n">
        <v>0</v>
      </c>
      <c r="O833" t="n">
        <v>0</v>
      </c>
      <c r="P833" t="n">
        <v>0</v>
      </c>
      <c r="Q833" t="n">
        <v>0</v>
      </c>
      <c r="R833" s="2" t="inlineStr"/>
    </row>
    <row r="834" ht="15" customHeight="1">
      <c r="A834" t="inlineStr">
        <is>
          <t>A 29584-2021</t>
        </is>
      </c>
      <c r="B834" s="1" t="n">
        <v>44361</v>
      </c>
      <c r="C834" s="1" t="n">
        <v>45841</v>
      </c>
      <c r="D834" t="inlineStr">
        <is>
          <t>VÄSTERNORRLANDS LÄN</t>
        </is>
      </c>
      <c r="E834" t="inlineStr">
        <is>
          <t>SUNDSVALL</t>
        </is>
      </c>
      <c r="G834" t="n">
        <v>14.6</v>
      </c>
      <c r="H834" t="n">
        <v>0</v>
      </c>
      <c r="I834" t="n">
        <v>0</v>
      </c>
      <c r="J834" t="n">
        <v>0</v>
      </c>
      <c r="K834" t="n">
        <v>0</v>
      </c>
      <c r="L834" t="n">
        <v>0</v>
      </c>
      <c r="M834" t="n">
        <v>0</v>
      </c>
      <c r="N834" t="n">
        <v>0</v>
      </c>
      <c r="O834" t="n">
        <v>0</v>
      </c>
      <c r="P834" t="n">
        <v>0</v>
      </c>
      <c r="Q834" t="n">
        <v>0</v>
      </c>
      <c r="R834" s="2" t="inlineStr"/>
    </row>
    <row r="835" ht="15" customHeight="1">
      <c r="A835" t="inlineStr">
        <is>
          <t>A 29643-2021</t>
        </is>
      </c>
      <c r="B835" s="1" t="n">
        <v>44361</v>
      </c>
      <c r="C835" s="1" t="n">
        <v>45841</v>
      </c>
      <c r="D835" t="inlineStr">
        <is>
          <t>VÄSTERNORRLANDS LÄN</t>
        </is>
      </c>
      <c r="E835" t="inlineStr">
        <is>
          <t>SUNDSVALL</t>
        </is>
      </c>
      <c r="F835" t="inlineStr">
        <is>
          <t>SCA</t>
        </is>
      </c>
      <c r="G835" t="n">
        <v>15.2</v>
      </c>
      <c r="H835" t="n">
        <v>0</v>
      </c>
      <c r="I835" t="n">
        <v>0</v>
      </c>
      <c r="J835" t="n">
        <v>0</v>
      </c>
      <c r="K835" t="n">
        <v>0</v>
      </c>
      <c r="L835" t="n">
        <v>0</v>
      </c>
      <c r="M835" t="n">
        <v>0</v>
      </c>
      <c r="N835" t="n">
        <v>0</v>
      </c>
      <c r="O835" t="n">
        <v>0</v>
      </c>
      <c r="P835" t="n">
        <v>0</v>
      </c>
      <c r="Q835" t="n">
        <v>0</v>
      </c>
      <c r="R835" s="2" t="inlineStr"/>
    </row>
    <row r="836" ht="15" customHeight="1">
      <c r="A836" t="inlineStr">
        <is>
          <t>A 29925-2021</t>
        </is>
      </c>
      <c r="B836" s="1" t="n">
        <v>44363</v>
      </c>
      <c r="C836" s="1" t="n">
        <v>45841</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29926-2021</t>
        </is>
      </c>
      <c r="B837" s="1" t="n">
        <v>44363</v>
      </c>
      <c r="C837" s="1" t="n">
        <v>45841</v>
      </c>
      <c r="D837" t="inlineStr">
        <is>
          <t>VÄSTERNORRLANDS LÄN</t>
        </is>
      </c>
      <c r="E837" t="inlineStr">
        <is>
          <t>SUNDSVALL</t>
        </is>
      </c>
      <c r="G837" t="n">
        <v>3.3</v>
      </c>
      <c r="H837" t="n">
        <v>0</v>
      </c>
      <c r="I837" t="n">
        <v>0</v>
      </c>
      <c r="J837" t="n">
        <v>0</v>
      </c>
      <c r="K837" t="n">
        <v>0</v>
      </c>
      <c r="L837" t="n">
        <v>0</v>
      </c>
      <c r="M837" t="n">
        <v>0</v>
      </c>
      <c r="N837" t="n">
        <v>0</v>
      </c>
      <c r="O837" t="n">
        <v>0</v>
      </c>
      <c r="P837" t="n">
        <v>0</v>
      </c>
      <c r="Q837" t="n">
        <v>0</v>
      </c>
      <c r="R837" s="2" t="inlineStr"/>
    </row>
    <row r="838" ht="15" customHeight="1">
      <c r="A838" t="inlineStr">
        <is>
          <t>A 30019-2021</t>
        </is>
      </c>
      <c r="B838" s="1" t="n">
        <v>44363</v>
      </c>
      <c r="C838" s="1" t="n">
        <v>45841</v>
      </c>
      <c r="D838" t="inlineStr">
        <is>
          <t>VÄSTERNORRLANDS LÄN</t>
        </is>
      </c>
      <c r="E838" t="inlineStr">
        <is>
          <t>SUNDSVALL</t>
        </is>
      </c>
      <c r="G838" t="n">
        <v>1.8</v>
      </c>
      <c r="H838" t="n">
        <v>0</v>
      </c>
      <c r="I838" t="n">
        <v>0</v>
      </c>
      <c r="J838" t="n">
        <v>0</v>
      </c>
      <c r="K838" t="n">
        <v>0</v>
      </c>
      <c r="L838" t="n">
        <v>0</v>
      </c>
      <c r="M838" t="n">
        <v>0</v>
      </c>
      <c r="N838" t="n">
        <v>0</v>
      </c>
      <c r="O838" t="n">
        <v>0</v>
      </c>
      <c r="P838" t="n">
        <v>0</v>
      </c>
      <c r="Q838" t="n">
        <v>0</v>
      </c>
      <c r="R838" s="2" t="inlineStr"/>
    </row>
    <row r="839" ht="15" customHeight="1">
      <c r="A839" t="inlineStr">
        <is>
          <t>A 30450-2021</t>
        </is>
      </c>
      <c r="B839" s="1" t="n">
        <v>44364</v>
      </c>
      <c r="C839" s="1" t="n">
        <v>45841</v>
      </c>
      <c r="D839" t="inlineStr">
        <is>
          <t>VÄSTERNORRLANDS LÄN</t>
        </is>
      </c>
      <c r="E839" t="inlineStr">
        <is>
          <t>SUNDSVALL</t>
        </is>
      </c>
      <c r="G839" t="n">
        <v>6.3</v>
      </c>
      <c r="H839" t="n">
        <v>0</v>
      </c>
      <c r="I839" t="n">
        <v>0</v>
      </c>
      <c r="J839" t="n">
        <v>0</v>
      </c>
      <c r="K839" t="n">
        <v>0</v>
      </c>
      <c r="L839" t="n">
        <v>0</v>
      </c>
      <c r="M839" t="n">
        <v>0</v>
      </c>
      <c r="N839" t="n">
        <v>0</v>
      </c>
      <c r="O839" t="n">
        <v>0</v>
      </c>
      <c r="P839" t="n">
        <v>0</v>
      </c>
      <c r="Q839" t="n">
        <v>0</v>
      </c>
      <c r="R839" s="2" t="inlineStr"/>
    </row>
    <row r="840" ht="15" customHeight="1">
      <c r="A840" t="inlineStr">
        <is>
          <t>A 30460-2021</t>
        </is>
      </c>
      <c r="B840" s="1" t="n">
        <v>44364</v>
      </c>
      <c r="C840" s="1" t="n">
        <v>45841</v>
      </c>
      <c r="D840" t="inlineStr">
        <is>
          <t>VÄSTERNORRLANDS LÄN</t>
        </is>
      </c>
      <c r="E840" t="inlineStr">
        <is>
          <t>SUNDSVALL</t>
        </is>
      </c>
      <c r="G840" t="n">
        <v>1</v>
      </c>
      <c r="H840" t="n">
        <v>0</v>
      </c>
      <c r="I840" t="n">
        <v>0</v>
      </c>
      <c r="J840" t="n">
        <v>0</v>
      </c>
      <c r="K840" t="n">
        <v>0</v>
      </c>
      <c r="L840" t="n">
        <v>0</v>
      </c>
      <c r="M840" t="n">
        <v>0</v>
      </c>
      <c r="N840" t="n">
        <v>0</v>
      </c>
      <c r="O840" t="n">
        <v>0</v>
      </c>
      <c r="P840" t="n">
        <v>0</v>
      </c>
      <c r="Q840" t="n">
        <v>0</v>
      </c>
      <c r="R840" s="2" t="inlineStr"/>
    </row>
    <row r="841" ht="15" customHeight="1">
      <c r="A841" t="inlineStr">
        <is>
          <t>A 31510-2021</t>
        </is>
      </c>
      <c r="B841" s="1" t="n">
        <v>44369</v>
      </c>
      <c r="C841" s="1" t="n">
        <v>45841</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32172-2021</t>
        </is>
      </c>
      <c r="B842" s="1" t="n">
        <v>44371</v>
      </c>
      <c r="C842" s="1" t="n">
        <v>45841</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32183-2021</t>
        </is>
      </c>
      <c r="B843" s="1" t="n">
        <v>44371</v>
      </c>
      <c r="C843" s="1" t="n">
        <v>45841</v>
      </c>
      <c r="D843" t="inlineStr">
        <is>
          <t>VÄSTERNORRLANDS LÄN</t>
        </is>
      </c>
      <c r="E843" t="inlineStr">
        <is>
          <t>SUNDSVALL</t>
        </is>
      </c>
      <c r="G843" t="n">
        <v>1.7</v>
      </c>
      <c r="H843" t="n">
        <v>0</v>
      </c>
      <c r="I843" t="n">
        <v>0</v>
      </c>
      <c r="J843" t="n">
        <v>0</v>
      </c>
      <c r="K843" t="n">
        <v>0</v>
      </c>
      <c r="L843" t="n">
        <v>0</v>
      </c>
      <c r="M843" t="n">
        <v>0</v>
      </c>
      <c r="N843" t="n">
        <v>0</v>
      </c>
      <c r="O843" t="n">
        <v>0</v>
      </c>
      <c r="P843" t="n">
        <v>0</v>
      </c>
      <c r="Q843" t="n">
        <v>0</v>
      </c>
      <c r="R843" s="2" t="inlineStr"/>
    </row>
    <row r="844" ht="15" customHeight="1">
      <c r="A844" t="inlineStr">
        <is>
          <t>A 32203-2021</t>
        </is>
      </c>
      <c r="B844" s="1" t="n">
        <v>44371</v>
      </c>
      <c r="C844" s="1" t="n">
        <v>45841</v>
      </c>
      <c r="D844" t="inlineStr">
        <is>
          <t>VÄSTERNORRLANDS LÄN</t>
        </is>
      </c>
      <c r="E844" t="inlineStr">
        <is>
          <t>SUNDSVALL</t>
        </is>
      </c>
      <c r="G844" t="n">
        <v>0.7</v>
      </c>
      <c r="H844" t="n">
        <v>0</v>
      </c>
      <c r="I844" t="n">
        <v>0</v>
      </c>
      <c r="J844" t="n">
        <v>0</v>
      </c>
      <c r="K844" t="n">
        <v>0</v>
      </c>
      <c r="L844" t="n">
        <v>0</v>
      </c>
      <c r="M844" t="n">
        <v>0</v>
      </c>
      <c r="N844" t="n">
        <v>0</v>
      </c>
      <c r="O844" t="n">
        <v>0</v>
      </c>
      <c r="P844" t="n">
        <v>0</v>
      </c>
      <c r="Q844" t="n">
        <v>0</v>
      </c>
      <c r="R844" s="2" t="inlineStr"/>
    </row>
    <row r="845" ht="15" customHeight="1">
      <c r="A845" t="inlineStr">
        <is>
          <t>A 32275-2021</t>
        </is>
      </c>
      <c r="B845" s="1" t="n">
        <v>44371</v>
      </c>
      <c r="C845" s="1" t="n">
        <v>45841</v>
      </c>
      <c r="D845" t="inlineStr">
        <is>
          <t>VÄSTERNORRLANDS LÄN</t>
        </is>
      </c>
      <c r="E845" t="inlineStr">
        <is>
          <t>SUNDSVALL</t>
        </is>
      </c>
      <c r="G845" t="n">
        <v>3.9</v>
      </c>
      <c r="H845" t="n">
        <v>0</v>
      </c>
      <c r="I845" t="n">
        <v>0</v>
      </c>
      <c r="J845" t="n">
        <v>0</v>
      </c>
      <c r="K845" t="n">
        <v>0</v>
      </c>
      <c r="L845" t="n">
        <v>0</v>
      </c>
      <c r="M845" t="n">
        <v>0</v>
      </c>
      <c r="N845" t="n">
        <v>0</v>
      </c>
      <c r="O845" t="n">
        <v>0</v>
      </c>
      <c r="P845" t="n">
        <v>0</v>
      </c>
      <c r="Q845" t="n">
        <v>0</v>
      </c>
      <c r="R845" s="2" t="inlineStr"/>
    </row>
    <row r="846" ht="15" customHeight="1">
      <c r="A846" t="inlineStr">
        <is>
          <t>A 32285-2021</t>
        </is>
      </c>
      <c r="B846" s="1" t="n">
        <v>44371</v>
      </c>
      <c r="C846" s="1" t="n">
        <v>45841</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32335-2021</t>
        </is>
      </c>
      <c r="B847" s="1" t="n">
        <v>44371</v>
      </c>
      <c r="C847" s="1" t="n">
        <v>45841</v>
      </c>
      <c r="D847" t="inlineStr">
        <is>
          <t>VÄSTERNORRLANDS LÄN</t>
        </is>
      </c>
      <c r="E847" t="inlineStr">
        <is>
          <t>SUNDSVALL</t>
        </is>
      </c>
      <c r="G847" t="n">
        <v>3.1</v>
      </c>
      <c r="H847" t="n">
        <v>0</v>
      </c>
      <c r="I847" t="n">
        <v>0</v>
      </c>
      <c r="J847" t="n">
        <v>0</v>
      </c>
      <c r="K847" t="n">
        <v>0</v>
      </c>
      <c r="L847" t="n">
        <v>0</v>
      </c>
      <c r="M847" t="n">
        <v>0</v>
      </c>
      <c r="N847" t="n">
        <v>0</v>
      </c>
      <c r="O847" t="n">
        <v>0</v>
      </c>
      <c r="P847" t="n">
        <v>0</v>
      </c>
      <c r="Q847" t="n">
        <v>0</v>
      </c>
      <c r="R847" s="2" t="inlineStr"/>
    </row>
    <row r="848" ht="15" customHeight="1">
      <c r="A848" t="inlineStr">
        <is>
          <t>A 33206-2021</t>
        </is>
      </c>
      <c r="B848" s="1" t="n">
        <v>44377</v>
      </c>
      <c r="C848" s="1" t="n">
        <v>45841</v>
      </c>
      <c r="D848" t="inlineStr">
        <is>
          <t>VÄSTERNORRLANDS LÄN</t>
        </is>
      </c>
      <c r="E848" t="inlineStr">
        <is>
          <t>SUNDSVALL</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33990-2021</t>
        </is>
      </c>
      <c r="B849" s="1" t="n">
        <v>44379</v>
      </c>
      <c r="C849" s="1" t="n">
        <v>45841</v>
      </c>
      <c r="D849" t="inlineStr">
        <is>
          <t>VÄSTERNORRLANDS LÄN</t>
        </is>
      </c>
      <c r="E849" t="inlineStr">
        <is>
          <t>SUNDSVALL</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34198-2021</t>
        </is>
      </c>
      <c r="B850" s="1" t="n">
        <v>44379</v>
      </c>
      <c r="C850" s="1" t="n">
        <v>45841</v>
      </c>
      <c r="D850" t="inlineStr">
        <is>
          <t>VÄSTERNORRLANDS LÄN</t>
        </is>
      </c>
      <c r="E850" t="inlineStr">
        <is>
          <t>SUNDSVALL</t>
        </is>
      </c>
      <c r="G850" t="n">
        <v>5.5</v>
      </c>
      <c r="H850" t="n">
        <v>0</v>
      </c>
      <c r="I850" t="n">
        <v>0</v>
      </c>
      <c r="J850" t="n">
        <v>0</v>
      </c>
      <c r="K850" t="n">
        <v>0</v>
      </c>
      <c r="L850" t="n">
        <v>0</v>
      </c>
      <c r="M850" t="n">
        <v>0</v>
      </c>
      <c r="N850" t="n">
        <v>0</v>
      </c>
      <c r="O850" t="n">
        <v>0</v>
      </c>
      <c r="P850" t="n">
        <v>0</v>
      </c>
      <c r="Q850" t="n">
        <v>0</v>
      </c>
      <c r="R850" s="2" t="inlineStr"/>
    </row>
    <row r="851" ht="15" customHeight="1">
      <c r="A851" t="inlineStr">
        <is>
          <t>A 34605-2021</t>
        </is>
      </c>
      <c r="B851" s="1" t="n">
        <v>44379</v>
      </c>
      <c r="C851" s="1" t="n">
        <v>45841</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34612-2021</t>
        </is>
      </c>
      <c r="B852" s="1" t="n">
        <v>44379</v>
      </c>
      <c r="C852" s="1" t="n">
        <v>45841</v>
      </c>
      <c r="D852" t="inlineStr">
        <is>
          <t>VÄSTERNORRLANDS LÄN</t>
        </is>
      </c>
      <c r="E852" t="inlineStr">
        <is>
          <t>SUNDSVALL</t>
        </is>
      </c>
      <c r="G852" t="n">
        <v>0.4</v>
      </c>
      <c r="H852" t="n">
        <v>0</v>
      </c>
      <c r="I852" t="n">
        <v>0</v>
      </c>
      <c r="J852" t="n">
        <v>0</v>
      </c>
      <c r="K852" t="n">
        <v>0</v>
      </c>
      <c r="L852" t="n">
        <v>0</v>
      </c>
      <c r="M852" t="n">
        <v>0</v>
      </c>
      <c r="N852" t="n">
        <v>0</v>
      </c>
      <c r="O852" t="n">
        <v>0</v>
      </c>
      <c r="P852" t="n">
        <v>0</v>
      </c>
      <c r="Q852" t="n">
        <v>0</v>
      </c>
      <c r="R852" s="2" t="inlineStr"/>
    </row>
    <row r="853" ht="15" customHeight="1">
      <c r="A853" t="inlineStr">
        <is>
          <t>A 34931-2021</t>
        </is>
      </c>
      <c r="B853" s="1" t="n">
        <v>44379</v>
      </c>
      <c r="C853" s="1" t="n">
        <v>45841</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34643-2021</t>
        </is>
      </c>
      <c r="B854" s="1" t="n">
        <v>44379</v>
      </c>
      <c r="C854" s="1" t="n">
        <v>45841</v>
      </c>
      <c r="D854" t="inlineStr">
        <is>
          <t>VÄSTERNORRLANDS LÄN</t>
        </is>
      </c>
      <c r="E854" t="inlineStr">
        <is>
          <t>SUNDSVALL</t>
        </is>
      </c>
      <c r="G854" t="n">
        <v>1.5</v>
      </c>
      <c r="H854" t="n">
        <v>0</v>
      </c>
      <c r="I854" t="n">
        <v>0</v>
      </c>
      <c r="J854" t="n">
        <v>0</v>
      </c>
      <c r="K854" t="n">
        <v>0</v>
      </c>
      <c r="L854" t="n">
        <v>0</v>
      </c>
      <c r="M854" t="n">
        <v>0</v>
      </c>
      <c r="N854" t="n">
        <v>0</v>
      </c>
      <c r="O854" t="n">
        <v>0</v>
      </c>
      <c r="P854" t="n">
        <v>0</v>
      </c>
      <c r="Q854" t="n">
        <v>0</v>
      </c>
      <c r="R854" s="2" t="inlineStr"/>
    </row>
    <row r="855" ht="15" customHeight="1">
      <c r="A855" t="inlineStr">
        <is>
          <t>A 35318-2021</t>
        </is>
      </c>
      <c r="B855" s="1" t="n">
        <v>44384</v>
      </c>
      <c r="C855" s="1" t="n">
        <v>45841</v>
      </c>
      <c r="D855" t="inlineStr">
        <is>
          <t>VÄSTERNORRLANDS LÄN</t>
        </is>
      </c>
      <c r="E855" t="inlineStr">
        <is>
          <t>SUNDSVALL</t>
        </is>
      </c>
      <c r="G855" t="n">
        <v>2.6</v>
      </c>
      <c r="H855" t="n">
        <v>0</v>
      </c>
      <c r="I855" t="n">
        <v>0</v>
      </c>
      <c r="J855" t="n">
        <v>0</v>
      </c>
      <c r="K855" t="n">
        <v>0</v>
      </c>
      <c r="L855" t="n">
        <v>0</v>
      </c>
      <c r="M855" t="n">
        <v>0</v>
      </c>
      <c r="N855" t="n">
        <v>0</v>
      </c>
      <c r="O855" t="n">
        <v>0</v>
      </c>
      <c r="P855" t="n">
        <v>0</v>
      </c>
      <c r="Q855" t="n">
        <v>0</v>
      </c>
      <c r="R855" s="2" t="inlineStr"/>
    </row>
    <row r="856" ht="15" customHeight="1">
      <c r="A856" t="inlineStr">
        <is>
          <t>A 36007-2021</t>
        </is>
      </c>
      <c r="B856" s="1" t="n">
        <v>44389</v>
      </c>
      <c r="C856" s="1" t="n">
        <v>45841</v>
      </c>
      <c r="D856" t="inlineStr">
        <is>
          <t>VÄSTERNORRLANDS LÄN</t>
        </is>
      </c>
      <c r="E856" t="inlineStr">
        <is>
          <t>SUNDSVALL</t>
        </is>
      </c>
      <c r="G856" t="n">
        <v>6.4</v>
      </c>
      <c r="H856" t="n">
        <v>0</v>
      </c>
      <c r="I856" t="n">
        <v>0</v>
      </c>
      <c r="J856" t="n">
        <v>0</v>
      </c>
      <c r="K856" t="n">
        <v>0</v>
      </c>
      <c r="L856" t="n">
        <v>0</v>
      </c>
      <c r="M856" t="n">
        <v>0</v>
      </c>
      <c r="N856" t="n">
        <v>0</v>
      </c>
      <c r="O856" t="n">
        <v>0</v>
      </c>
      <c r="P856" t="n">
        <v>0</v>
      </c>
      <c r="Q856" t="n">
        <v>0</v>
      </c>
      <c r="R856" s="2" t="inlineStr"/>
    </row>
    <row r="857" ht="15" customHeight="1">
      <c r="A857" t="inlineStr">
        <is>
          <t>A 36226-2021</t>
        </is>
      </c>
      <c r="B857" s="1" t="n">
        <v>44390</v>
      </c>
      <c r="C857" s="1" t="n">
        <v>45841</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36251-2021</t>
        </is>
      </c>
      <c r="B858" s="1" t="n">
        <v>44390</v>
      </c>
      <c r="C858" s="1" t="n">
        <v>45841</v>
      </c>
      <c r="D858" t="inlineStr">
        <is>
          <t>VÄSTERNORRLANDS LÄN</t>
        </is>
      </c>
      <c r="E858" t="inlineStr">
        <is>
          <t>SUNDSVALL</t>
        </is>
      </c>
      <c r="G858" t="n">
        <v>1.9</v>
      </c>
      <c r="H858" t="n">
        <v>0</v>
      </c>
      <c r="I858" t="n">
        <v>0</v>
      </c>
      <c r="J858" t="n">
        <v>0</v>
      </c>
      <c r="K858" t="n">
        <v>0</v>
      </c>
      <c r="L858" t="n">
        <v>0</v>
      </c>
      <c r="M858" t="n">
        <v>0</v>
      </c>
      <c r="N858" t="n">
        <v>0</v>
      </c>
      <c r="O858" t="n">
        <v>0</v>
      </c>
      <c r="P858" t="n">
        <v>0</v>
      </c>
      <c r="Q858" t="n">
        <v>0</v>
      </c>
      <c r="R858" s="2" t="inlineStr"/>
    </row>
    <row r="859" ht="15" customHeight="1">
      <c r="A859" t="inlineStr">
        <is>
          <t>A 36316-2021</t>
        </is>
      </c>
      <c r="B859" s="1" t="n">
        <v>44390</v>
      </c>
      <c r="C859" s="1" t="n">
        <v>45841</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36809-2021</t>
        </is>
      </c>
      <c r="B860" s="1" t="n">
        <v>44392</v>
      </c>
      <c r="C860" s="1" t="n">
        <v>45841</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37040-2021</t>
        </is>
      </c>
      <c r="B861" s="1" t="n">
        <v>44394</v>
      </c>
      <c r="C861" s="1" t="n">
        <v>45841</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37059-2021</t>
        </is>
      </c>
      <c r="B862" s="1" t="n">
        <v>44394</v>
      </c>
      <c r="C862" s="1" t="n">
        <v>45841</v>
      </c>
      <c r="D862" t="inlineStr">
        <is>
          <t>VÄSTERNORRLANDS LÄN</t>
        </is>
      </c>
      <c r="E862" t="inlineStr">
        <is>
          <t>SUNDSVALL</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37617-2021</t>
        </is>
      </c>
      <c r="B863" s="1" t="n">
        <v>44399</v>
      </c>
      <c r="C863" s="1" t="n">
        <v>45841</v>
      </c>
      <c r="D863" t="inlineStr">
        <is>
          <t>VÄSTERNORRLANDS LÄN</t>
        </is>
      </c>
      <c r="E863" t="inlineStr">
        <is>
          <t>SUNDSVALL</t>
        </is>
      </c>
      <c r="G863" t="n">
        <v>6.8</v>
      </c>
      <c r="H863" t="n">
        <v>0</v>
      </c>
      <c r="I863" t="n">
        <v>0</v>
      </c>
      <c r="J863" t="n">
        <v>0</v>
      </c>
      <c r="K863" t="n">
        <v>0</v>
      </c>
      <c r="L863" t="n">
        <v>0</v>
      </c>
      <c r="M863" t="n">
        <v>0</v>
      </c>
      <c r="N863" t="n">
        <v>0</v>
      </c>
      <c r="O863" t="n">
        <v>0</v>
      </c>
      <c r="P863" t="n">
        <v>0</v>
      </c>
      <c r="Q863" t="n">
        <v>0</v>
      </c>
      <c r="R863" s="2" t="inlineStr"/>
    </row>
    <row r="864" ht="15" customHeight="1">
      <c r="A864" t="inlineStr">
        <is>
          <t>A 37611-2021</t>
        </is>
      </c>
      <c r="B864" s="1" t="n">
        <v>44399</v>
      </c>
      <c r="C864" s="1" t="n">
        <v>45841</v>
      </c>
      <c r="D864" t="inlineStr">
        <is>
          <t>VÄSTERNORRLANDS LÄN</t>
        </is>
      </c>
      <c r="E864" t="inlineStr">
        <is>
          <t>SUNDSVALL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37708-2021</t>
        </is>
      </c>
      <c r="B865" s="1" t="n">
        <v>44400</v>
      </c>
      <c r="C865" s="1" t="n">
        <v>45841</v>
      </c>
      <c r="D865" t="inlineStr">
        <is>
          <t>VÄSTERNORRLANDS LÄN</t>
        </is>
      </c>
      <c r="E865" t="inlineStr">
        <is>
          <t>SUNDSVALL</t>
        </is>
      </c>
      <c r="G865" t="n">
        <v>1.4</v>
      </c>
      <c r="H865" t="n">
        <v>0</v>
      </c>
      <c r="I865" t="n">
        <v>0</v>
      </c>
      <c r="J865" t="n">
        <v>0</v>
      </c>
      <c r="K865" t="n">
        <v>0</v>
      </c>
      <c r="L865" t="n">
        <v>0</v>
      </c>
      <c r="M865" t="n">
        <v>0</v>
      </c>
      <c r="N865" t="n">
        <v>0</v>
      </c>
      <c r="O865" t="n">
        <v>0</v>
      </c>
      <c r="P865" t="n">
        <v>0</v>
      </c>
      <c r="Q865" t="n">
        <v>0</v>
      </c>
      <c r="R865" s="2" t="inlineStr"/>
    </row>
    <row r="866" ht="15" customHeight="1">
      <c r="A866" t="inlineStr">
        <is>
          <t>A 37718-2021</t>
        </is>
      </c>
      <c r="B866" s="1" t="n">
        <v>44400</v>
      </c>
      <c r="C866" s="1" t="n">
        <v>45841</v>
      </c>
      <c r="D866" t="inlineStr">
        <is>
          <t>VÄSTERNORRLANDS LÄN</t>
        </is>
      </c>
      <c r="E866" t="inlineStr">
        <is>
          <t>SUNDSVALL</t>
        </is>
      </c>
      <c r="G866" t="n">
        <v>7.2</v>
      </c>
      <c r="H866" t="n">
        <v>0</v>
      </c>
      <c r="I866" t="n">
        <v>0</v>
      </c>
      <c r="J866" t="n">
        <v>0</v>
      </c>
      <c r="K866" t="n">
        <v>0</v>
      </c>
      <c r="L866" t="n">
        <v>0</v>
      </c>
      <c r="M866" t="n">
        <v>0</v>
      </c>
      <c r="N866" t="n">
        <v>0</v>
      </c>
      <c r="O866" t="n">
        <v>0</v>
      </c>
      <c r="P866" t="n">
        <v>0</v>
      </c>
      <c r="Q866" t="n">
        <v>0</v>
      </c>
      <c r="R866" s="2" t="inlineStr"/>
    </row>
    <row r="867" ht="15" customHeight="1">
      <c r="A867" t="inlineStr">
        <is>
          <t>A 37704-2021</t>
        </is>
      </c>
      <c r="B867" s="1" t="n">
        <v>44400</v>
      </c>
      <c r="C867" s="1" t="n">
        <v>45841</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37965-2021</t>
        </is>
      </c>
      <c r="B868" s="1" t="n">
        <v>44404</v>
      </c>
      <c r="C868" s="1" t="n">
        <v>45841</v>
      </c>
      <c r="D868" t="inlineStr">
        <is>
          <t>VÄSTERNORRLANDS LÄN</t>
        </is>
      </c>
      <c r="E868" t="inlineStr">
        <is>
          <t>SUNDSVALL</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37962-2021</t>
        </is>
      </c>
      <c r="B869" s="1" t="n">
        <v>44404</v>
      </c>
      <c r="C869" s="1" t="n">
        <v>45841</v>
      </c>
      <c r="D869" t="inlineStr">
        <is>
          <t>VÄSTERNORRLANDS LÄN</t>
        </is>
      </c>
      <c r="E869" t="inlineStr">
        <is>
          <t>SUNDSVALL</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38306-2021</t>
        </is>
      </c>
      <c r="B870" s="1" t="n">
        <v>44406</v>
      </c>
      <c r="C870" s="1" t="n">
        <v>45841</v>
      </c>
      <c r="D870" t="inlineStr">
        <is>
          <t>VÄSTERNORRLANDS LÄN</t>
        </is>
      </c>
      <c r="E870" t="inlineStr">
        <is>
          <t>SUNDSVALL</t>
        </is>
      </c>
      <c r="G870" t="n">
        <v>1.7</v>
      </c>
      <c r="H870" t="n">
        <v>0</v>
      </c>
      <c r="I870" t="n">
        <v>0</v>
      </c>
      <c r="J870" t="n">
        <v>0</v>
      </c>
      <c r="K870" t="n">
        <v>0</v>
      </c>
      <c r="L870" t="n">
        <v>0</v>
      </c>
      <c r="M870" t="n">
        <v>0</v>
      </c>
      <c r="N870" t="n">
        <v>0</v>
      </c>
      <c r="O870" t="n">
        <v>0</v>
      </c>
      <c r="P870" t="n">
        <v>0</v>
      </c>
      <c r="Q870" t="n">
        <v>0</v>
      </c>
      <c r="R870" s="2" t="inlineStr"/>
    </row>
    <row r="871" ht="15" customHeight="1">
      <c r="A871" t="inlineStr">
        <is>
          <t>A 39169-2021</t>
        </is>
      </c>
      <c r="B871" s="1" t="n">
        <v>44412</v>
      </c>
      <c r="C871" s="1" t="n">
        <v>45841</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39502-2021</t>
        </is>
      </c>
      <c r="B872" s="1" t="n">
        <v>44414</v>
      </c>
      <c r="C872" s="1" t="n">
        <v>45841</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39503-2021</t>
        </is>
      </c>
      <c r="B873" s="1" t="n">
        <v>44414</v>
      </c>
      <c r="C873" s="1" t="n">
        <v>45841</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39676-2021</t>
        </is>
      </c>
      <c r="B874" s="1" t="n">
        <v>44414</v>
      </c>
      <c r="C874" s="1" t="n">
        <v>45841</v>
      </c>
      <c r="D874" t="inlineStr">
        <is>
          <t>VÄSTERNORRLANDS LÄN</t>
        </is>
      </c>
      <c r="E874" t="inlineStr">
        <is>
          <t>SUNDSVALL</t>
        </is>
      </c>
      <c r="G874" t="n">
        <v>2.8</v>
      </c>
      <c r="H874" t="n">
        <v>0</v>
      </c>
      <c r="I874" t="n">
        <v>0</v>
      </c>
      <c r="J874" t="n">
        <v>0</v>
      </c>
      <c r="K874" t="n">
        <v>0</v>
      </c>
      <c r="L874" t="n">
        <v>0</v>
      </c>
      <c r="M874" t="n">
        <v>0</v>
      </c>
      <c r="N874" t="n">
        <v>0</v>
      </c>
      <c r="O874" t="n">
        <v>0</v>
      </c>
      <c r="P874" t="n">
        <v>0</v>
      </c>
      <c r="Q874" t="n">
        <v>0</v>
      </c>
      <c r="R874" s="2" t="inlineStr"/>
    </row>
    <row r="875" ht="15" customHeight="1">
      <c r="A875" t="inlineStr">
        <is>
          <t>A 39933-2021</t>
        </is>
      </c>
      <c r="B875" s="1" t="n">
        <v>44417</v>
      </c>
      <c r="C875" s="1" t="n">
        <v>45841</v>
      </c>
      <c r="D875" t="inlineStr">
        <is>
          <t>VÄSTERNORRLANDS LÄN</t>
        </is>
      </c>
      <c r="E875" t="inlineStr">
        <is>
          <t>SUNDSVALL</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40141-2021</t>
        </is>
      </c>
      <c r="B876" s="1" t="n">
        <v>44418</v>
      </c>
      <c r="C876" s="1" t="n">
        <v>45841</v>
      </c>
      <c r="D876" t="inlineStr">
        <is>
          <t>VÄSTERNORRLANDS LÄN</t>
        </is>
      </c>
      <c r="E876" t="inlineStr">
        <is>
          <t>SUNDSVALL</t>
        </is>
      </c>
      <c r="G876" t="n">
        <v>5.3</v>
      </c>
      <c r="H876" t="n">
        <v>0</v>
      </c>
      <c r="I876" t="n">
        <v>0</v>
      </c>
      <c r="J876" t="n">
        <v>0</v>
      </c>
      <c r="K876" t="n">
        <v>0</v>
      </c>
      <c r="L876" t="n">
        <v>0</v>
      </c>
      <c r="M876" t="n">
        <v>0</v>
      </c>
      <c r="N876" t="n">
        <v>0</v>
      </c>
      <c r="O876" t="n">
        <v>0</v>
      </c>
      <c r="P876" t="n">
        <v>0</v>
      </c>
      <c r="Q876" t="n">
        <v>0</v>
      </c>
      <c r="R876" s="2" t="inlineStr"/>
    </row>
    <row r="877" ht="15" customHeight="1">
      <c r="A877" t="inlineStr">
        <is>
          <t>A 40160-2021</t>
        </is>
      </c>
      <c r="B877" s="1" t="n">
        <v>44418</v>
      </c>
      <c r="C877" s="1" t="n">
        <v>45841</v>
      </c>
      <c r="D877" t="inlineStr">
        <is>
          <t>VÄSTERNORRLANDS LÄN</t>
        </is>
      </c>
      <c r="E877" t="inlineStr">
        <is>
          <t>SUNDSVALL</t>
        </is>
      </c>
      <c r="G877" t="n">
        <v>1.6</v>
      </c>
      <c r="H877" t="n">
        <v>0</v>
      </c>
      <c r="I877" t="n">
        <v>0</v>
      </c>
      <c r="J877" t="n">
        <v>0</v>
      </c>
      <c r="K877" t="n">
        <v>0</v>
      </c>
      <c r="L877" t="n">
        <v>0</v>
      </c>
      <c r="M877" t="n">
        <v>0</v>
      </c>
      <c r="N877" t="n">
        <v>0</v>
      </c>
      <c r="O877" t="n">
        <v>0</v>
      </c>
      <c r="P877" t="n">
        <v>0</v>
      </c>
      <c r="Q877" t="n">
        <v>0</v>
      </c>
      <c r="R877" s="2" t="inlineStr"/>
    </row>
    <row r="878" ht="15" customHeight="1">
      <c r="A878" t="inlineStr">
        <is>
          <t>A 40534-2021</t>
        </is>
      </c>
      <c r="B878" s="1" t="n">
        <v>44420</v>
      </c>
      <c r="C878" s="1" t="n">
        <v>45841</v>
      </c>
      <c r="D878" t="inlineStr">
        <is>
          <t>VÄSTERNORRLANDS LÄN</t>
        </is>
      </c>
      <c r="E878" t="inlineStr">
        <is>
          <t>SUNDSVALL</t>
        </is>
      </c>
      <c r="F878" t="inlineStr">
        <is>
          <t>Holmen skog AB</t>
        </is>
      </c>
      <c r="G878" t="n">
        <v>6.8</v>
      </c>
      <c r="H878" t="n">
        <v>0</v>
      </c>
      <c r="I878" t="n">
        <v>0</v>
      </c>
      <c r="J878" t="n">
        <v>0</v>
      </c>
      <c r="K878" t="n">
        <v>0</v>
      </c>
      <c r="L878" t="n">
        <v>0</v>
      </c>
      <c r="M878" t="n">
        <v>0</v>
      </c>
      <c r="N878" t="n">
        <v>0</v>
      </c>
      <c r="O878" t="n">
        <v>0</v>
      </c>
      <c r="P878" t="n">
        <v>0</v>
      </c>
      <c r="Q878" t="n">
        <v>0</v>
      </c>
      <c r="R878" s="2" t="inlineStr"/>
    </row>
    <row r="879" ht="15" customHeight="1">
      <c r="A879" t="inlineStr">
        <is>
          <t>A 40908-2021</t>
        </is>
      </c>
      <c r="B879" s="1" t="n">
        <v>44421</v>
      </c>
      <c r="C879" s="1" t="n">
        <v>45841</v>
      </c>
      <c r="D879" t="inlineStr">
        <is>
          <t>VÄSTERNORRLANDS LÄN</t>
        </is>
      </c>
      <c r="E879" t="inlineStr">
        <is>
          <t>SUNDSVALL</t>
        </is>
      </c>
      <c r="G879" t="n">
        <v>12.9</v>
      </c>
      <c r="H879" t="n">
        <v>0</v>
      </c>
      <c r="I879" t="n">
        <v>0</v>
      </c>
      <c r="J879" t="n">
        <v>0</v>
      </c>
      <c r="K879" t="n">
        <v>0</v>
      </c>
      <c r="L879" t="n">
        <v>0</v>
      </c>
      <c r="M879" t="n">
        <v>0</v>
      </c>
      <c r="N879" t="n">
        <v>0</v>
      </c>
      <c r="O879" t="n">
        <v>0</v>
      </c>
      <c r="P879" t="n">
        <v>0</v>
      </c>
      <c r="Q879" t="n">
        <v>0</v>
      </c>
      <c r="R879" s="2" t="inlineStr"/>
    </row>
    <row r="880" ht="15" customHeight="1">
      <c r="A880" t="inlineStr">
        <is>
          <t>A 41469-2021</t>
        </is>
      </c>
      <c r="B880" s="1" t="n">
        <v>44424</v>
      </c>
      <c r="C880" s="1" t="n">
        <v>45841</v>
      </c>
      <c r="D880" t="inlineStr">
        <is>
          <t>VÄSTERNORRLANDS LÄN</t>
        </is>
      </c>
      <c r="E880" t="inlineStr">
        <is>
          <t>SUNDSVALL</t>
        </is>
      </c>
      <c r="G880" t="n">
        <v>3.3</v>
      </c>
      <c r="H880" t="n">
        <v>0</v>
      </c>
      <c r="I880" t="n">
        <v>0</v>
      </c>
      <c r="J880" t="n">
        <v>0</v>
      </c>
      <c r="K880" t="n">
        <v>0</v>
      </c>
      <c r="L880" t="n">
        <v>0</v>
      </c>
      <c r="M880" t="n">
        <v>0</v>
      </c>
      <c r="N880" t="n">
        <v>0</v>
      </c>
      <c r="O880" t="n">
        <v>0</v>
      </c>
      <c r="P880" t="n">
        <v>0</v>
      </c>
      <c r="Q880" t="n">
        <v>0</v>
      </c>
      <c r="R880" s="2" t="inlineStr"/>
    </row>
    <row r="881" ht="15" customHeight="1">
      <c r="A881" t="inlineStr">
        <is>
          <t>A 42169-2021</t>
        </is>
      </c>
      <c r="B881" s="1" t="n">
        <v>44426</v>
      </c>
      <c r="C881" s="1" t="n">
        <v>45841</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42199-2021</t>
        </is>
      </c>
      <c r="B882" s="1" t="n">
        <v>44426</v>
      </c>
      <c r="C882" s="1" t="n">
        <v>45841</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42201-2021</t>
        </is>
      </c>
      <c r="B883" s="1" t="n">
        <v>44426</v>
      </c>
      <c r="C883" s="1" t="n">
        <v>45841</v>
      </c>
      <c r="D883" t="inlineStr">
        <is>
          <t>VÄSTERNORRLANDS LÄN</t>
        </is>
      </c>
      <c r="E883" t="inlineStr">
        <is>
          <t>SUNDSVALL</t>
        </is>
      </c>
      <c r="G883" t="n">
        <v>5.7</v>
      </c>
      <c r="H883" t="n">
        <v>0</v>
      </c>
      <c r="I883" t="n">
        <v>0</v>
      </c>
      <c r="J883" t="n">
        <v>0</v>
      </c>
      <c r="K883" t="n">
        <v>0</v>
      </c>
      <c r="L883" t="n">
        <v>0</v>
      </c>
      <c r="M883" t="n">
        <v>0</v>
      </c>
      <c r="N883" t="n">
        <v>0</v>
      </c>
      <c r="O883" t="n">
        <v>0</v>
      </c>
      <c r="P883" t="n">
        <v>0</v>
      </c>
      <c r="Q883" t="n">
        <v>0</v>
      </c>
      <c r="R883" s="2" t="inlineStr"/>
    </row>
    <row r="884" ht="15" customHeight="1">
      <c r="A884" t="inlineStr">
        <is>
          <t>A 42195-2021</t>
        </is>
      </c>
      <c r="B884" s="1" t="n">
        <v>44426</v>
      </c>
      <c r="C884" s="1" t="n">
        <v>45841</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42700-2021</t>
        </is>
      </c>
      <c r="B885" s="1" t="n">
        <v>44428</v>
      </c>
      <c r="C885" s="1" t="n">
        <v>45841</v>
      </c>
      <c r="D885" t="inlineStr">
        <is>
          <t>VÄSTERNORRLANDS LÄN</t>
        </is>
      </c>
      <c r="E885" t="inlineStr">
        <is>
          <t>SUNDSVALL</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42728-2021</t>
        </is>
      </c>
      <c r="B886" s="1" t="n">
        <v>44428</v>
      </c>
      <c r="C886" s="1" t="n">
        <v>45841</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43194-2021</t>
        </is>
      </c>
      <c r="B887" s="1" t="n">
        <v>44431</v>
      </c>
      <c r="C887" s="1" t="n">
        <v>45841</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43199-2021</t>
        </is>
      </c>
      <c r="B888" s="1" t="n">
        <v>44432</v>
      </c>
      <c r="C888" s="1" t="n">
        <v>45841</v>
      </c>
      <c r="D888" t="inlineStr">
        <is>
          <t>VÄSTERNORRLANDS LÄN</t>
        </is>
      </c>
      <c r="E888" t="inlineStr">
        <is>
          <t>SUNDSVALL</t>
        </is>
      </c>
      <c r="G888" t="n">
        <v>0.8</v>
      </c>
      <c r="H888" t="n">
        <v>0</v>
      </c>
      <c r="I888" t="n">
        <v>0</v>
      </c>
      <c r="J888" t="n">
        <v>0</v>
      </c>
      <c r="K888" t="n">
        <v>0</v>
      </c>
      <c r="L888" t="n">
        <v>0</v>
      </c>
      <c r="M888" t="n">
        <v>0</v>
      </c>
      <c r="N888" t="n">
        <v>0</v>
      </c>
      <c r="O888" t="n">
        <v>0</v>
      </c>
      <c r="P888" t="n">
        <v>0</v>
      </c>
      <c r="Q888" t="n">
        <v>0</v>
      </c>
      <c r="R888" s="2" t="inlineStr"/>
    </row>
    <row r="889" ht="15" customHeight="1">
      <c r="A889" t="inlineStr">
        <is>
          <t>A 43195-2021</t>
        </is>
      </c>
      <c r="B889" s="1" t="n">
        <v>44431</v>
      </c>
      <c r="C889" s="1" t="n">
        <v>45841</v>
      </c>
      <c r="D889" t="inlineStr">
        <is>
          <t>VÄSTERNORRLANDS LÄN</t>
        </is>
      </c>
      <c r="E889" t="inlineStr">
        <is>
          <t>SUNDSVALL</t>
        </is>
      </c>
      <c r="G889" t="n">
        <v>3.7</v>
      </c>
      <c r="H889" t="n">
        <v>0</v>
      </c>
      <c r="I889" t="n">
        <v>0</v>
      </c>
      <c r="J889" t="n">
        <v>0</v>
      </c>
      <c r="K889" t="n">
        <v>0</v>
      </c>
      <c r="L889" t="n">
        <v>0</v>
      </c>
      <c r="M889" t="n">
        <v>0</v>
      </c>
      <c r="N889" t="n">
        <v>0</v>
      </c>
      <c r="O889" t="n">
        <v>0</v>
      </c>
      <c r="P889" t="n">
        <v>0</v>
      </c>
      <c r="Q889" t="n">
        <v>0</v>
      </c>
      <c r="R889" s="2" t="inlineStr"/>
    </row>
    <row r="890" ht="15" customHeight="1">
      <c r="A890" t="inlineStr">
        <is>
          <t>A 43204-2021</t>
        </is>
      </c>
      <c r="B890" s="1" t="n">
        <v>44431</v>
      </c>
      <c r="C890" s="1" t="n">
        <v>45841</v>
      </c>
      <c r="D890" t="inlineStr">
        <is>
          <t>VÄSTERNORRLANDS LÄN</t>
        </is>
      </c>
      <c r="E890" t="inlineStr">
        <is>
          <t>SUNDSVALL</t>
        </is>
      </c>
      <c r="G890" t="n">
        <v>3.9</v>
      </c>
      <c r="H890" t="n">
        <v>0</v>
      </c>
      <c r="I890" t="n">
        <v>0</v>
      </c>
      <c r="J890" t="n">
        <v>0</v>
      </c>
      <c r="K890" t="n">
        <v>0</v>
      </c>
      <c r="L890" t="n">
        <v>0</v>
      </c>
      <c r="M890" t="n">
        <v>0</v>
      </c>
      <c r="N890" t="n">
        <v>0</v>
      </c>
      <c r="O890" t="n">
        <v>0</v>
      </c>
      <c r="P890" t="n">
        <v>0</v>
      </c>
      <c r="Q890" t="n">
        <v>0</v>
      </c>
      <c r="R890" s="2" t="inlineStr"/>
    </row>
    <row r="891" ht="15" customHeight="1">
      <c r="A891" t="inlineStr">
        <is>
          <t>A 43197-2021</t>
        </is>
      </c>
      <c r="B891" s="1" t="n">
        <v>44432</v>
      </c>
      <c r="C891" s="1" t="n">
        <v>45841</v>
      </c>
      <c r="D891" t="inlineStr">
        <is>
          <t>VÄSTERNORRLANDS LÄN</t>
        </is>
      </c>
      <c r="E891" t="inlineStr">
        <is>
          <t>SUNDSVALL</t>
        </is>
      </c>
      <c r="G891" t="n">
        <v>3.1</v>
      </c>
      <c r="H891" t="n">
        <v>0</v>
      </c>
      <c r="I891" t="n">
        <v>0</v>
      </c>
      <c r="J891" t="n">
        <v>0</v>
      </c>
      <c r="K891" t="n">
        <v>0</v>
      </c>
      <c r="L891" t="n">
        <v>0</v>
      </c>
      <c r="M891" t="n">
        <v>0</v>
      </c>
      <c r="N891" t="n">
        <v>0</v>
      </c>
      <c r="O891" t="n">
        <v>0</v>
      </c>
      <c r="P891" t="n">
        <v>0</v>
      </c>
      <c r="Q891" t="n">
        <v>0</v>
      </c>
      <c r="R891" s="2" t="inlineStr"/>
    </row>
    <row r="892" ht="15" customHeight="1">
      <c r="A892" t="inlineStr">
        <is>
          <t>A 43205-2021</t>
        </is>
      </c>
      <c r="B892" s="1" t="n">
        <v>44431</v>
      </c>
      <c r="C892" s="1" t="n">
        <v>45841</v>
      </c>
      <c r="D892" t="inlineStr">
        <is>
          <t>VÄSTERNORRLANDS LÄN</t>
        </is>
      </c>
      <c r="E892" t="inlineStr">
        <is>
          <t>SUNDSVALL</t>
        </is>
      </c>
      <c r="G892" t="n">
        <v>2.9</v>
      </c>
      <c r="H892" t="n">
        <v>0</v>
      </c>
      <c r="I892" t="n">
        <v>0</v>
      </c>
      <c r="J892" t="n">
        <v>0</v>
      </c>
      <c r="K892" t="n">
        <v>0</v>
      </c>
      <c r="L892" t="n">
        <v>0</v>
      </c>
      <c r="M892" t="n">
        <v>0</v>
      </c>
      <c r="N892" t="n">
        <v>0</v>
      </c>
      <c r="O892" t="n">
        <v>0</v>
      </c>
      <c r="P892" t="n">
        <v>0</v>
      </c>
      <c r="Q892" t="n">
        <v>0</v>
      </c>
      <c r="R892" s="2" t="inlineStr"/>
    </row>
    <row r="893" ht="15" customHeight="1">
      <c r="A893" t="inlineStr">
        <is>
          <t>A 43834-2021</t>
        </is>
      </c>
      <c r="B893" s="1" t="n">
        <v>44433</v>
      </c>
      <c r="C893" s="1" t="n">
        <v>45841</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44030-2021</t>
        </is>
      </c>
      <c r="B894" s="1" t="n">
        <v>44434</v>
      </c>
      <c r="C894" s="1" t="n">
        <v>45841</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44039-2021</t>
        </is>
      </c>
      <c r="B895" s="1" t="n">
        <v>44434</v>
      </c>
      <c r="C895" s="1" t="n">
        <v>45841</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44610-2021</t>
        </is>
      </c>
      <c r="B896" s="1" t="n">
        <v>44436</v>
      </c>
      <c r="C896" s="1" t="n">
        <v>45841</v>
      </c>
      <c r="D896" t="inlineStr">
        <is>
          <t>VÄSTERNORRLANDS LÄN</t>
        </is>
      </c>
      <c r="E896" t="inlineStr">
        <is>
          <t>SUNDSVALL</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45005-2021</t>
        </is>
      </c>
      <c r="B897" s="1" t="n">
        <v>44439</v>
      </c>
      <c r="C897" s="1" t="n">
        <v>45841</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44920-2021</t>
        </is>
      </c>
      <c r="B898" s="1" t="n">
        <v>44438</v>
      </c>
      <c r="C898" s="1" t="n">
        <v>45841</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44934-2021</t>
        </is>
      </c>
      <c r="B899" s="1" t="n">
        <v>44438</v>
      </c>
      <c r="C899" s="1" t="n">
        <v>45841</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45000-2021</t>
        </is>
      </c>
      <c r="B900" s="1" t="n">
        <v>44439</v>
      </c>
      <c r="C900" s="1" t="n">
        <v>45841</v>
      </c>
      <c r="D900" t="inlineStr">
        <is>
          <t>VÄSTERNORRLANDS LÄN</t>
        </is>
      </c>
      <c r="E900" t="inlineStr">
        <is>
          <t>SUNDSVALL</t>
        </is>
      </c>
      <c r="G900" t="n">
        <v>4.8</v>
      </c>
      <c r="H900" t="n">
        <v>0</v>
      </c>
      <c r="I900" t="n">
        <v>0</v>
      </c>
      <c r="J900" t="n">
        <v>0</v>
      </c>
      <c r="K900" t="n">
        <v>0</v>
      </c>
      <c r="L900" t="n">
        <v>0</v>
      </c>
      <c r="M900" t="n">
        <v>0</v>
      </c>
      <c r="N900" t="n">
        <v>0</v>
      </c>
      <c r="O900" t="n">
        <v>0</v>
      </c>
      <c r="P900" t="n">
        <v>0</v>
      </c>
      <c r="Q900" t="n">
        <v>0</v>
      </c>
      <c r="R900" s="2" t="inlineStr"/>
    </row>
    <row r="901" ht="15" customHeight="1">
      <c r="A901" t="inlineStr">
        <is>
          <t>A 45006-2021</t>
        </is>
      </c>
      <c r="B901" s="1" t="n">
        <v>44439</v>
      </c>
      <c r="C901" s="1" t="n">
        <v>45841</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45506-2021</t>
        </is>
      </c>
      <c r="B902" s="1" t="n">
        <v>44440</v>
      </c>
      <c r="C902" s="1" t="n">
        <v>45841</v>
      </c>
      <c r="D902" t="inlineStr">
        <is>
          <t>VÄSTERNORRLANDS LÄN</t>
        </is>
      </c>
      <c r="E902" t="inlineStr">
        <is>
          <t>SUNDSVALL</t>
        </is>
      </c>
      <c r="G902" t="n">
        <v>2.5</v>
      </c>
      <c r="H902" t="n">
        <v>0</v>
      </c>
      <c r="I902" t="n">
        <v>0</v>
      </c>
      <c r="J902" t="n">
        <v>0</v>
      </c>
      <c r="K902" t="n">
        <v>0</v>
      </c>
      <c r="L902" t="n">
        <v>0</v>
      </c>
      <c r="M902" t="n">
        <v>0</v>
      </c>
      <c r="N902" t="n">
        <v>0</v>
      </c>
      <c r="O902" t="n">
        <v>0</v>
      </c>
      <c r="P902" t="n">
        <v>0</v>
      </c>
      <c r="Q902" t="n">
        <v>0</v>
      </c>
      <c r="R902" s="2" t="inlineStr"/>
    </row>
    <row r="903" ht="15" customHeight="1">
      <c r="A903" t="inlineStr">
        <is>
          <t>A 45515-2021</t>
        </is>
      </c>
      <c r="B903" s="1" t="n">
        <v>44440</v>
      </c>
      <c r="C903" s="1" t="n">
        <v>45841</v>
      </c>
      <c r="D903" t="inlineStr">
        <is>
          <t>VÄSTERNORRLANDS LÄN</t>
        </is>
      </c>
      <c r="E903" t="inlineStr">
        <is>
          <t>SUNDSVALL</t>
        </is>
      </c>
      <c r="G903" t="n">
        <v>7.3</v>
      </c>
      <c r="H903" t="n">
        <v>0</v>
      </c>
      <c r="I903" t="n">
        <v>0</v>
      </c>
      <c r="J903" t="n">
        <v>0</v>
      </c>
      <c r="K903" t="n">
        <v>0</v>
      </c>
      <c r="L903" t="n">
        <v>0</v>
      </c>
      <c r="M903" t="n">
        <v>0</v>
      </c>
      <c r="N903" t="n">
        <v>0</v>
      </c>
      <c r="O903" t="n">
        <v>0</v>
      </c>
      <c r="P903" t="n">
        <v>0</v>
      </c>
      <c r="Q903" t="n">
        <v>0</v>
      </c>
      <c r="R903" s="2" t="inlineStr"/>
    </row>
    <row r="904" ht="15" customHeight="1">
      <c r="A904" t="inlineStr">
        <is>
          <t>A 45646-2021</t>
        </is>
      </c>
      <c r="B904" s="1" t="n">
        <v>44440</v>
      </c>
      <c r="C904" s="1" t="n">
        <v>45841</v>
      </c>
      <c r="D904" t="inlineStr">
        <is>
          <t>VÄSTERNORRLANDS LÄN</t>
        </is>
      </c>
      <c r="E904" t="inlineStr">
        <is>
          <t>SUNDSVALL</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45775-2021</t>
        </is>
      </c>
      <c r="B905" s="1" t="n">
        <v>44441</v>
      </c>
      <c r="C905" s="1" t="n">
        <v>45841</v>
      </c>
      <c r="D905" t="inlineStr">
        <is>
          <t>VÄSTERNORRLANDS LÄN</t>
        </is>
      </c>
      <c r="E905" t="inlineStr">
        <is>
          <t>SUNDSVALL</t>
        </is>
      </c>
      <c r="G905" t="n">
        <v>3.7</v>
      </c>
      <c r="H905" t="n">
        <v>0</v>
      </c>
      <c r="I905" t="n">
        <v>0</v>
      </c>
      <c r="J905" t="n">
        <v>0</v>
      </c>
      <c r="K905" t="n">
        <v>0</v>
      </c>
      <c r="L905" t="n">
        <v>0</v>
      </c>
      <c r="M905" t="n">
        <v>0</v>
      </c>
      <c r="N905" t="n">
        <v>0</v>
      </c>
      <c r="O905" t="n">
        <v>0</v>
      </c>
      <c r="P905" t="n">
        <v>0</v>
      </c>
      <c r="Q905" t="n">
        <v>0</v>
      </c>
      <c r="R905" s="2" t="inlineStr"/>
    </row>
    <row r="906" ht="15" customHeight="1">
      <c r="A906" t="inlineStr">
        <is>
          <t>A 45739-2021</t>
        </is>
      </c>
      <c r="B906" s="1" t="n">
        <v>44441</v>
      </c>
      <c r="C906" s="1" t="n">
        <v>45841</v>
      </c>
      <c r="D906" t="inlineStr">
        <is>
          <t>VÄSTERNORRLANDS LÄN</t>
        </is>
      </c>
      <c r="E906" t="inlineStr">
        <is>
          <t>SUNDSVALL</t>
        </is>
      </c>
      <c r="G906" t="n">
        <v>14.8</v>
      </c>
      <c r="H906" t="n">
        <v>0</v>
      </c>
      <c r="I906" t="n">
        <v>0</v>
      </c>
      <c r="J906" t="n">
        <v>0</v>
      </c>
      <c r="K906" t="n">
        <v>0</v>
      </c>
      <c r="L906" t="n">
        <v>0</v>
      </c>
      <c r="M906" t="n">
        <v>0</v>
      </c>
      <c r="N906" t="n">
        <v>0</v>
      </c>
      <c r="O906" t="n">
        <v>0</v>
      </c>
      <c r="P906" t="n">
        <v>0</v>
      </c>
      <c r="Q906" t="n">
        <v>0</v>
      </c>
      <c r="R906" s="2" t="inlineStr"/>
    </row>
    <row r="907" ht="15" customHeight="1">
      <c r="A907" t="inlineStr">
        <is>
          <t>A 45959-2021</t>
        </is>
      </c>
      <c r="B907" s="1" t="n">
        <v>44441</v>
      </c>
      <c r="C907" s="1" t="n">
        <v>45841</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47565-2021</t>
        </is>
      </c>
      <c r="B908" s="1" t="n">
        <v>44447</v>
      </c>
      <c r="C908" s="1" t="n">
        <v>45841</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47944-2021</t>
        </is>
      </c>
      <c r="B909" s="1" t="n">
        <v>44448</v>
      </c>
      <c r="C909" s="1" t="n">
        <v>45841</v>
      </c>
      <c r="D909" t="inlineStr">
        <is>
          <t>VÄSTERNORRLANDS LÄN</t>
        </is>
      </c>
      <c r="E909" t="inlineStr">
        <is>
          <t>SUNDSVALL</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48662-2021</t>
        </is>
      </c>
      <c r="B910" s="1" t="n">
        <v>44452</v>
      </c>
      <c r="C910" s="1" t="n">
        <v>45841</v>
      </c>
      <c r="D910" t="inlineStr">
        <is>
          <t>VÄSTERNORRLANDS LÄN</t>
        </is>
      </c>
      <c r="E910" t="inlineStr">
        <is>
          <t>SUNDSVALL</t>
        </is>
      </c>
      <c r="G910" t="n">
        <v>2.5</v>
      </c>
      <c r="H910" t="n">
        <v>0</v>
      </c>
      <c r="I910" t="n">
        <v>0</v>
      </c>
      <c r="J910" t="n">
        <v>0</v>
      </c>
      <c r="K910" t="n">
        <v>0</v>
      </c>
      <c r="L910" t="n">
        <v>0</v>
      </c>
      <c r="M910" t="n">
        <v>0</v>
      </c>
      <c r="N910" t="n">
        <v>0</v>
      </c>
      <c r="O910" t="n">
        <v>0</v>
      </c>
      <c r="P910" t="n">
        <v>0</v>
      </c>
      <c r="Q910" t="n">
        <v>0</v>
      </c>
      <c r="R910" s="2" t="inlineStr"/>
    </row>
    <row r="911" ht="15" customHeight="1">
      <c r="A911" t="inlineStr">
        <is>
          <t>A 48705-2021</t>
        </is>
      </c>
      <c r="B911" s="1" t="n">
        <v>44452</v>
      </c>
      <c r="C911" s="1" t="n">
        <v>45841</v>
      </c>
      <c r="D911" t="inlineStr">
        <is>
          <t>VÄSTERNORRLANDS LÄN</t>
        </is>
      </c>
      <c r="E911" t="inlineStr">
        <is>
          <t>SUNDSVALL</t>
        </is>
      </c>
      <c r="G911" t="n">
        <v>3.3</v>
      </c>
      <c r="H911" t="n">
        <v>0</v>
      </c>
      <c r="I911" t="n">
        <v>0</v>
      </c>
      <c r="J911" t="n">
        <v>0</v>
      </c>
      <c r="K911" t="n">
        <v>0</v>
      </c>
      <c r="L911" t="n">
        <v>0</v>
      </c>
      <c r="M911" t="n">
        <v>0</v>
      </c>
      <c r="N911" t="n">
        <v>0</v>
      </c>
      <c r="O911" t="n">
        <v>0</v>
      </c>
      <c r="P911" t="n">
        <v>0</v>
      </c>
      <c r="Q911" t="n">
        <v>0</v>
      </c>
      <c r="R911" s="2" t="inlineStr"/>
    </row>
    <row r="912" ht="15" customHeight="1">
      <c r="A912" t="inlineStr">
        <is>
          <t>A 48878-2021</t>
        </is>
      </c>
      <c r="B912" s="1" t="n">
        <v>44453</v>
      </c>
      <c r="C912" s="1" t="n">
        <v>45841</v>
      </c>
      <c r="D912" t="inlineStr">
        <is>
          <t>VÄSTERNORRLANDS LÄN</t>
        </is>
      </c>
      <c r="E912" t="inlineStr">
        <is>
          <t>SUNDSVALL</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48864-2021</t>
        </is>
      </c>
      <c r="B913" s="1" t="n">
        <v>44453</v>
      </c>
      <c r="C913" s="1" t="n">
        <v>45841</v>
      </c>
      <c r="D913" t="inlineStr">
        <is>
          <t>VÄSTERNORRLANDS LÄN</t>
        </is>
      </c>
      <c r="E913" t="inlineStr">
        <is>
          <t>SUNDSVALL</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49480-2021</t>
        </is>
      </c>
      <c r="B914" s="1" t="n">
        <v>44454</v>
      </c>
      <c r="C914" s="1" t="n">
        <v>45841</v>
      </c>
      <c r="D914" t="inlineStr">
        <is>
          <t>VÄSTERNORRLANDS LÄN</t>
        </is>
      </c>
      <c r="E914" t="inlineStr">
        <is>
          <t>SUNDSVALL</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49368-2021</t>
        </is>
      </c>
      <c r="B915" s="1" t="n">
        <v>44454</v>
      </c>
      <c r="C915" s="1" t="n">
        <v>45841</v>
      </c>
      <c r="D915" t="inlineStr">
        <is>
          <t>VÄSTERNORRLANDS LÄN</t>
        </is>
      </c>
      <c r="E915" t="inlineStr">
        <is>
          <t>SUNDSVALL</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49380-2021</t>
        </is>
      </c>
      <c r="B916" s="1" t="n">
        <v>44454</v>
      </c>
      <c r="C916" s="1" t="n">
        <v>45841</v>
      </c>
      <c r="D916" t="inlineStr">
        <is>
          <t>VÄSTERNORRLANDS LÄN</t>
        </is>
      </c>
      <c r="E916" t="inlineStr">
        <is>
          <t>SUNDSVALL</t>
        </is>
      </c>
      <c r="F916" t="inlineStr">
        <is>
          <t>Kommuner</t>
        </is>
      </c>
      <c r="G916" t="n">
        <v>4.5</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45841</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45841</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45841</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45841</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45841</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45841</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45841</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45841</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45841</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45841</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45841</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45841</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45841</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45841</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45841</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45841</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45841</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45841</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45841</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45841</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45841</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45841</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45841</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45841</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45841</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45841</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45841</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45841</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45841</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45841</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45841</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45841</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45841</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45841</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45841</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45841</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45841</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45841</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45841</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45841</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45841</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45841</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45841</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45841</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45841</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45841</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45841</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45841</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45841</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45841</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45841</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45841</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45841</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45841</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45841</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45841</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45841</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45841</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45841</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45841</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45841</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45841</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45841</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45841</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45841</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45841</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45841</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45841</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45841</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45841</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45841</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45841</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45841</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45841</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45841</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45841</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45841</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45841</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45841</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45841</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45841</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45841</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45841</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45841</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45841</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45841</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45841</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45841</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45841</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45841</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45841</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45841</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45841</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45841</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45841</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45841</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45841</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45841</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45841</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45841</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45841</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45841</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45841</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45841</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45841</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45841</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45841</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45841</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45841</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45841</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45841</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45841</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45841</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45841</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45841</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45841</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45841</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45841</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45841</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45841</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45841</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45841</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45841</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45841</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45841</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45841</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45841</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45841</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45841</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45841</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45841</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45841</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45841</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45841</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45841</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45841</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45841</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45841</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45841</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45841</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45841</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45841</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45841</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45841</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45841</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45841</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45841</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45841</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45841</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45841</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45841</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45841</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45841</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45841</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45841</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45841</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45841</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45841</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45841</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45841</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45841</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45841</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45841</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45841</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45841</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45841</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45841</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45841</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45841</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45841</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45841</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45841</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45841</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45841</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45841</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45841</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45841</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45841</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45841</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45841</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45841</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45841</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45841</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45841</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45841</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45841</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45841</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45841</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45841</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45841</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45841</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45841</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45841</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45841</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45841</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45841</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45841</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45841</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45841</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45841</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45841</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45841</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45841</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45841</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45841</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45841</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45841</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45841</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45841</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45841</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45841</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45841</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45841</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45841</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45841</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45841</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45841</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45841</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45841</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45841</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45841</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45841</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45841</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45841</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45841</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45841</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45841</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45841</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45841</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45841</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45841</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45841</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45841</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45841</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45841</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45841</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45841</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45841</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45841</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45841</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45841</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45841</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45841</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45841</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45841</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45841</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45841</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45841</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45841</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45841</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45841</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45841</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45841</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45841</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45841</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45841</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45841</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45841</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45841</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45841</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45841</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45841</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45841</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45841</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45841</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45841</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45841</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45841</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45841</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45841</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45841</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45841</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45841</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45841</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45841</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45841</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45841</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45841</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45841</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45841</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45841</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45841</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45841</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45841</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45841</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45841</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45841</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45841</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45841</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45841</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45841</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45841</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45841</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45841</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45841</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45841</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45841</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45841</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45841</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45841</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45841</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45841</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45841</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45841</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45841</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45841</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45841</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45841</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45841</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45841</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45841</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45841</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45841</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45841</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45841</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45841</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45841</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45841</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45841</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45841</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45841</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45841</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45841</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45841</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45841</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45841</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45841</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45841</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45841</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45841</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45841</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45841</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45841</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45841</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45841</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45841</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45841</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45841</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45841</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45841</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45841</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45841</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45841</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45841</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45841</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45841</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45841</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45841</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45841</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45841</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45841</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45841</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45841</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45841</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45841</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45841</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45841</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45841</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45841</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45841</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45841</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45841</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45841</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45841</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45841</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45841</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45841</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45841</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45841</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45841</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45841</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45841</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45841</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45841</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45841</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45841</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45841</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45841</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45841</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45841</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45841</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45841</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45841</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45841</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45841</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45841</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45841</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45841</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45841</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45841</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45841</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45841</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45841</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45841</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45841</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45841</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45841</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45841</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45841</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45841</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45841</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45841</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45841</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45841</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45841</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45841</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45841</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45841</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45841</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45841</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45841</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45841</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45841</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45841</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45841</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45841</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45841</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45841</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45841</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45841</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45841</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45841</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45841</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45841</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45841</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45841</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45841</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45841</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45841</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45841</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45841</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45841</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45841</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45841</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45841</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45841</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45841</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45841</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45841</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45841</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45841</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45841</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45841</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45841</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45841</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45841</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45841</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45841</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45841</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45841</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45841</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45841</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45841</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45841</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45841</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45841</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45841</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45841</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45841</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45841</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45841</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45841</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45841</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45841</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45841</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45841</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45841</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45841</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45841</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45841</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45841</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45841</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45841</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45841</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45841</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45841</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45841</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45841</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45841</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45841</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45841</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45841</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45841</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45841</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45841</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45841</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45841</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45841</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45841</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45841</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45841</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45841</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45841</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45841</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45841</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45841</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45841</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45841</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45841</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45841</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45841</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45841</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45841</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45841</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45841</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45841</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45841</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45841</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45841</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45841</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45841</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45841</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45841</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45841</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45841</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45841</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45841</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45841</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45841</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45841</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45841</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45841</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45841</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45841</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45841</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45841</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45841</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45841</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45841</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45841</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45841</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45841</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45841</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45841</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45841</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45841</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45841</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45841</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45841</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45841</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45841</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45841</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45841</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45841</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45841</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45841</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45841</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45841</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45841</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45841</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45841</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45841</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45841</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45841</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45841</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45841</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45841</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45841</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45841</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45841</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45841</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45841</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45841</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45841</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45841</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45841</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45841</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45841</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45841</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45841</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45841</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45841</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45841</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45841</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45841</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45841</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45841</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45841</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45841</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45841</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45841</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45841</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45841</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45841</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45841</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45841</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45841</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45841</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45841</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45841</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45841</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45841</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45841</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45841</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45841</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45841</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45841</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45841</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45841</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45841</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45841</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45841</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45841</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45841</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45841</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45841</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45841</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45841</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45841</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45841</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45841</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45841</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45841</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45841</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45841</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45841</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45841</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45841</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45841</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45841</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45841</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45841</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45841</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45841</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45841</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45841</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45841</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45841</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45841</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45841</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45841</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45841</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45841</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45841</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45841</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45841</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45841</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45841</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45841</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45841</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45841</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45841</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45841</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45841</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45841</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45841</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45841</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45841</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45841</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45841</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45841</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45841</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45841</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45841</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45841</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45841</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45841</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45841</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45841</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45841</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45841</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45841</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45841</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45841</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45841</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45841</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45841</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45841</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45841</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45841</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45841</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45841</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45841</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45841</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45841</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45841</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45841</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45841</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45841</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45841</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45841</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45841</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45841</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45841</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45841</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45841</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45841</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45841</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45841</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45841</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45841</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45841</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45841</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45841</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45841</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45841</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45841</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45841</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45841</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45841</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45841</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45841</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45841</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45841</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45841</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45841</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45841</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45841</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45841</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45841</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45841</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45841</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45841</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45841</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45841</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45841</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45841</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45841</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45841</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45841</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45841</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45841</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45841</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45841</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45841</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45841</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45841</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45841</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45841</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45841</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45841</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45841</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45841</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45841</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45841</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45841</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45841</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45841</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45841</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45841</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45841</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45841</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45841</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45841</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45841</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45841</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45841</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45841</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45841</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45841</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45841</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45841</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45841</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45841</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45841</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45841</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45841</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45841</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45841</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45841</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45841</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45841</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45841</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45841</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45841</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45841</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45841</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45841</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45841</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45841</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45841</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45841</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45841</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45841</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45841</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45841</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45841</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45841</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45841</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45841</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45841</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45841</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45841</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45841</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45841</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45841</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45841</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45841</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45841</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45841</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45841</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45841</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45841</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45841</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45841</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45841</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45841</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45841</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45841</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45841</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45841</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45841</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45841</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45841</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45841</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45841</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45841</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45841</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45841</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45841</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45841</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45841</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45841</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45841</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45841</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45841</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45841</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45841</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45841</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45841</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45841</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45841</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45841</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45841</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45841</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45841</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45841</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45841</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45841</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45841</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45841</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45841</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45841</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45841</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45841</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45841</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45841</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45841</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45841</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45841</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45841</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45841</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45841</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45841</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45841</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45841</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45841</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45841</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45841</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45841</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45841</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45841</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45841</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45841</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45841</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45841</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45841</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45841</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45841</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45841</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45841</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45841</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45841</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45841</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45841</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45841</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45841</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45841</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45841</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45841</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45841</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45841</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45841</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45841</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45841</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45841</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45841</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45841</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45841</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45841</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45841</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45841</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45841</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45841</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45841</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45841</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45841</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45841</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45841</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45841</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45841</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45841</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45841</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45841</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45841</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45841</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45841</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45841</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45841</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45841</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45841</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45841</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45841</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45841</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45841</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45841</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45841</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45841</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45841</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45841</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45841</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45841</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45841</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45841</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45841</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45841</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45841</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45841</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45841</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45841</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45841</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45841</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45841</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45841</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45841</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45841</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45841</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45841</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45841</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45841</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45841</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45841</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45841</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45841</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45841</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45841</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45841</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45841</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45841</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45841</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45841</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45841</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45841</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45841</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45841</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45841</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45841</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45841</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45841</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45841</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45841</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45841</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45841</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45841</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45841</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45841</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45841</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45841</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45841</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45841</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45841</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45841</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45841</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45841</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45841</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45841</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45841</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45841</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45841</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45841</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45841</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45841</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45841</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45841</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45841</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45841</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45841</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45841</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45841</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45841</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45841</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45841</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45841</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45841</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45841</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45841</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45841</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45841</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45841</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45841</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45841</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45841</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45841</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45841</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45841</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45841</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45841</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45841</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45841</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45841</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45841</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45841</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45841</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45841</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45841</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45841</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45841</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45841</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45841</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45841</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45841</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45841</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45841</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45841</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45841</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45841</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45841</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45841</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45841</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45841</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45841</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45841</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45841</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45841</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45841</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45841</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45841</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45841</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45841</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45841</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45841</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45841</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45841</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45841</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45841</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45841</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45841</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45841</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45841</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45841</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45841</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45841</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45841</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45841</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45841</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45841</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45841</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45841</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45841</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45841</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45841</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45841</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45841</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45841</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45841</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45841</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45841</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45841</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45841</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45841</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45841</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45841</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45841</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45841</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45841</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45841</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45841</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45841</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45841</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45841</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45841</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45841</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45841</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45841</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45841</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45841</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45841</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45841</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45841</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45841</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45841</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45841</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45841</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45841</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45841</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45841</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45841</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45841</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45841</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45841</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45841</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45841</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45841</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45841</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45841</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45841</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45841</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45841</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45841</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45841</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45841</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45841</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45841</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45841</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45841</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45841</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45841</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45841</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45841</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45841</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45841</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45841</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45841</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45841</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45841</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45841</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45841</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45841</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45841</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45841</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45841</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45841</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45841</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45841</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45841</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45841</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45841</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45841</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45841</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45841</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45841</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45841</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45841</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45841</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45841</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45841</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45841</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45841</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45841</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45841</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45841</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45841</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45841</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45841</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45841</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45841</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45841</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45841</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45841</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45841</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45841</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45841</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45841</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45841</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45841</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45841</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45841</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45841</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45841</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45841</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45841</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45841</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45841</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45841</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45841</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45841</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45841</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45841</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45841</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45841</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45841</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45841</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45841</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45841</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45841</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45841</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45841</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45841</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45841</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45841</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45841</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45841</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45841</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45841</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45841</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45841</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45841</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45841</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45841</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45841</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45841</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45841</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45841</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45841</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45841</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45841</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45841</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45841</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45841</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45841</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45841</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45841</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45841</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45841</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45841</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45841</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45841</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45841</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45841</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45841</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45841</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45841</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45841</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45841</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45841</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45841</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45841</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45841</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45841</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45841</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45841</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45841</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45841</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45841</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45841</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45841</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45841</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45841</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45841</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45841</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45841</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45841</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45841</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45841</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45841</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45841</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45841</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45841</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45841</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45841</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45841</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45841</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45841</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45841</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45841</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45841</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45841</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45841</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45841</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45841</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45841</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45841</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45841</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45841</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45841</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45841</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45841</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45841</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45841</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45841</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45841</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45841</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45841</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45841</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45841</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45841</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45841</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45841</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45841</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45841</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45841</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45841</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45841</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45841</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45841</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45841</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45841</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45841</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45841</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45841</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45841</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45841</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45841</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45841</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45841</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45841</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45841</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45841</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45841</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45841</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45841</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45841</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45841</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45841</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45841</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45841</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45841</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45841</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45841</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45841</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45841</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45841</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45841</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45841</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45841</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45841</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45841</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45841</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45841</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45841</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45841</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45841</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45841</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45841</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45841</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45841</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45841</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45841</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45841</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45841</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45841</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45841</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45841</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45841</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45841</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45841</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45841</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45841</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45841</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45841</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45841</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45841</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45841</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45841</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45841</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45841</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45841</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45841</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45841</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45841</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45841</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45841</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45841</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45841</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45841</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45841</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45841</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45841</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45841</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45841</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45841</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45841</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45841</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45841</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45841</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45841</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45841</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45841</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45841</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45841</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45841</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45841</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45841</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45841</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45841</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45841</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45841</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45841</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45841</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45841</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45841</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45841</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45841</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45841</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45841</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45841</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45841</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45841</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45841</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45841</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45841</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45841</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45841</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45841</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45841</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45841</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45841</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45841</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45841</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45841</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45841</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45841</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45841</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45841</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45841</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45841</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45841</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45841</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45841</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45841</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45841</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45841</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45841</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45841</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45841</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45841</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45841</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45841</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45841</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45841</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45841</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45841</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45841</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45841</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45841</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45841</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45841</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45841</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45841</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45841</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45841</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45841</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45841</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45841</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45841</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45841</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45841</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45841</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45841</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45841</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45841</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45841</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45841</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45841</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45841</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45841</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45841</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45841</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45841</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45841</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45841</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45841</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45841</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45841</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45841</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45841</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45841</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45841</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45841</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45841</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45841</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45841</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45841</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45841</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45841</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45841</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45841</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45841</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45841</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45841</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45841</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45841</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45841</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45841</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45841</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45841</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45841</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45841</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45841</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45841</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45841</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45841</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45841</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45841</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45841</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45841</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45841</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45841</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45841</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45841</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45841</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45841</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45841</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45841</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45841</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45841</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45841</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45841</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45841</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45841</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45841</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45841</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45841</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45841</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45841</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45841</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45841</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45841</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45841</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45841</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45841</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45841</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45841</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45841</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45841</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45841</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45841</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45841</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45841</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45841</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45841</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45841</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45841</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45841</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45841</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45841</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45841</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45841</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45841</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45841</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45841</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45841</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45841</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45841</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45841</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45841</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45841</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45841</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45841</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45841</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45841</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45841</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45841</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45841</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45841</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45841</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45841</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45841</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45841</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45841</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45841</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45841</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45841</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45841</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45841</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45841</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45841</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45841</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45841</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45841</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45841</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45841</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45841</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45841</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45841</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45841</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45841</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45841</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45841</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45841</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45841</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45841</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45841</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45841</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45841</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45841</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45841</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45841</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45841</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45841</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45841</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45841</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45841</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45841</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45841</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45841</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45841</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45841</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45841</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45841</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45841</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45841</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45841</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45841</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45841</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45841</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45841</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45841</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45841</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45841</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45841</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45841</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45841</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45841</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45841</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45841</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45841</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45841</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45841</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45841</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45841</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45841</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45841</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45841</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45841</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45841</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45841</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45841</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45841</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45841</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45841</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45841</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45841</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45841</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45841</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45841</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45841</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45841</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45841</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45841</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45841</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45841</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45841</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45841</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45841</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45841</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45841</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45841</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45841</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45841</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45841</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45841</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45841</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45841</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45841</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45841</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45841</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45841</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45841</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45841</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45841</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45841</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45841</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45841</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45841</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45841</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45841</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45841</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45841</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45841</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45841</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45841</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45841</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45841</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45841</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45841</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45841</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45841</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45841</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45841</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45841</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45841</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45841</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45841</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45841</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45841</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45841</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45841</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45841</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45841</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45841</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45841</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45841</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45841</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45841</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45841</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45841</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45841</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45841</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45841</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45841</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45841</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45841</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45841</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45841</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45841</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45841</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45841</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45841</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45841</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45841</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45841</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45841</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45841</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45841</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45841</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45841</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45841</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45841</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45841</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45841</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45841</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45841</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45841</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45841</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45841</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45841</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45841</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45841</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45841</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45841</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45841</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45841</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45841</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45841</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45841</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45841</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45841</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45841</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45841</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45841</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45841</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45841</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45841</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45841</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45841</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45841</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45841</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45841</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45841</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45841</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45841</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45841</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45841</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45841</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45841</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45841</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45841</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45841</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45841</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45841</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45841</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45841</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45841</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45841</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45841</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45841</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45841</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45841</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45841</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45841</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45841</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45841</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45841</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45841</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45841</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45841</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45841</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45841</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45841</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45841</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45841</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45841</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45841</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45841</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45841</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45841</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45841</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45841</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45841</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45841</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45841</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45841</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45841</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45841</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45841</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45841</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45841</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45841</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45841</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45841</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45841</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45841</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45841</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45841</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45841</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45841</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45841</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45841</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45841</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45841</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45841</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45841</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45841</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45841</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45841</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45841</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45841</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45841</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45841</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45841</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45841</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45841</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45841</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45841</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45841</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45841</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45841</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45841</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45841</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45841</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45841</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45841</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45841</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45841</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45841</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45841</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45841</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45841</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45841</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45841</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45841</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45841</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45841</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45841</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45841</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45841</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45841</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45841</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45841</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45841</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45841</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45841</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45841</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45841</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45841</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45841</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45841</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45841</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45841</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45841</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45841</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45841</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45841</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45841</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45841</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45841</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45841</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45841</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45841</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45841</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45841</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45841</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45841</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45841</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45841</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45841</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45841</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45841</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45841</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45841</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45841</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45841</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45841</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45841</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45841</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45841</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45841</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45841</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45841</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45841</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45841</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45841</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45841</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45841</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45841</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45841</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45841</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45841</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45841</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45841</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45841</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45841</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45841</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45841</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45841</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45841</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45841</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45841</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45841</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45841</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45841</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45841</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45841</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45841</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45841</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45841</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45841</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45841</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45841</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45841</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45841</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45841</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45841</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45841</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45841</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45841</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45841</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45841</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45841</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45841</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45841</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45841</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45841</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45841</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45841</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45841</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45841</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45841</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45841</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45841</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45841</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45841</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45841</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45841</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45841</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45841</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45841</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45841</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45841</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45841</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45841</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45841</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45841</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45841</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45841</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45841</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45841</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45841</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45841</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45841</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45841</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45841</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45841</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45841</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45841</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45841</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45841</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45841</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45841</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45841</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45841</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45841</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45841</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45841</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45841</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45841</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45841</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45841</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45841</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45841</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45841</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45841</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45841</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45841</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45841</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45841</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45841</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45841</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45841</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45841</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45841</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45841</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45841</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45841</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45841</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45841</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45841</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45841</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45841</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45841</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45841</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45841</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45841</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45841</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45841</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45841</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45841</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45841</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45841</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45841</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45841</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45841</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45841</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45841</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45841</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45841</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45841</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45841</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45841</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45841</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45841</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45841</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45841</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45841</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45841</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45841</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45841</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45841</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45841</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45841</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45841</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45841</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45841</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45841</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45841</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45841</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45841</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45841</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45841</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45841</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45841</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45841</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45841</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45841</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45841</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45841</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45841</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45841</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45841</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45841</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45841</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45841</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45841</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45841</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45841</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45841</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45841</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45841</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45841</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45841</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45841</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45841</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45841</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45841</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45841</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45841</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45841</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45841</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45841</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45841</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45841</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45841</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45841</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45841</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45841</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45841</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45841</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45841</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45841</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45841</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45841</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45841</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45841</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45841</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45841</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45841</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45841</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45841</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45841</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45841</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45841</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45841</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45841</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45841</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45841</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45841</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45841</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45841</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45841</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45841</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45841</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45841</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45841</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45841</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45841</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45841</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45841</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45841</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45841</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45841</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45841</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45841</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45841</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45841</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45841</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45841</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45841</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45841</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45841</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45841</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45841</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45841</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45841</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45841</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45841</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45841</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45841</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45841</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45841</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45841</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45841</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45841</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45841</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45841</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45841</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45841</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45841</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45841</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45841</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45841</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45841</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45841</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45841</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45841</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45841</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45841</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45841</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45841</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45841</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45841</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45841</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45841</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45841</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45841</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45841</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45841</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45841</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45841</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45841</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45841</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45841</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45841</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45841</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45841</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45841</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45841</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45841</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45841</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45841</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45841</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45841</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45841</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45841</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45841</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45841</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45841</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45841</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45841</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45841</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45841</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45841</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45841</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45841</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45841</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45841</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45841</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45841</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45841</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45841</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45841</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45841</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45841</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45841</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45841</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45841</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45841</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45841</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45841</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45841</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45841</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45841</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45841</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45841</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45841</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45841</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45841</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45841</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45841</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45841</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45841</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45841</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45841</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45841</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45841</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45841</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45841</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45841</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45841</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45841</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45841</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45841</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45841</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45841</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45841</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45841</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45841</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45841</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45841</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45841</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45841</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45841</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45841</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45841</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45841</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45841</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45841</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45841</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45841</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45841</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45841</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45841</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45841</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45841</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45841</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45841</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45841</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45841</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45841</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45841</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45841</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45841</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45841</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45841</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45841</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45841</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45841</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45841</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45841</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45841</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45841</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45841</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45841</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45841</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45841</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45841</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45841</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45841</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45841</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45841</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45841</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45841</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45841</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45841</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45841</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45841</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45841</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45841</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45841</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45841</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45841</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45841</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45841</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45841</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45841</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45841</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45841</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45841</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45841</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45841</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45841</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45841</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45841</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45841</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45841</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45841</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45841</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45841</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45841</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45841</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45841</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45841</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45841</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45841</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45841</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45841</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45841</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45841</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45841</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45841</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45841</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45841</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45841</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45841</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45841</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45841</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45841</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45841</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45841</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45841</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45841</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45841</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45841</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45841</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45841</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45841</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45841</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45841</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45841</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45841</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45841</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45841</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45841</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45841</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45841</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45841</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45841</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45841</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45841</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45841</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45841</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45841</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45841</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45841</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45841</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45841</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45841</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45841</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45841</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45841</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45841</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45841</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45841</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45841</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45841</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45841</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45841</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45841</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45841</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45841</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45841</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45841</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45841</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45841</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45841</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45841</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45841</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45841</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45841</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45841</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45841</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45841</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45841</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45841</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45841</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45841</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45841</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45841</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45841</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45841</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45841</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45841</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45841</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45841</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45841</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45841</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45841</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45841</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45841</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45841</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45841</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45841</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45841</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45841</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45841</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45841</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45841</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45841</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45841</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45841</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45841</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45841</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45841</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45841</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45841</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45841</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45841</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45841</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45841</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45841</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45841</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45841</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45841</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45841</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45841</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45841</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45841</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45841</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45841</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45841</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45841</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45841</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45841</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45841</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45841</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45841</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45841</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45841</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45841</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45841</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45841</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45841</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45841</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45841</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45841</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45841</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45841</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45841</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45841</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45841</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45841</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45841</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45841</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45841</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45841</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45841</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45841</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45841</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45841</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45841</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45841</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45841</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45841</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45841</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45841</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45841</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45841</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45841</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45841</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45841</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45841</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45841</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45841</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45841</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45841</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45841</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45841</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45841</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45841</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45841</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45841</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45841</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45841</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45841</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45841</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45841</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45841</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45841</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45841</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45841</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45841</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45841</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45841</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45841</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45841</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45841</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45841</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45841</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45841</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45841</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45841</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45841</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45841</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45841</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45841</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45841</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45841</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45841</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45841</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45841</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45841</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45841</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45841</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45841</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45841</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45841</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45841</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45841</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45841</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45841</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45841</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45841</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45841</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45841</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45841</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45841</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45841</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45841</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45841</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45841</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45841</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45841</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45841</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45841</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45841</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45841</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45841</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45841</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45841</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45841</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45841</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45841</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45841</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45841</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45841</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45841</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45841</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45841</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45841</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45841</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27210-2025</t>
        </is>
      </c>
      <c r="B3437" s="1" t="n">
        <v>45812</v>
      </c>
      <c r="C3437" s="1" t="n">
        <v>45841</v>
      </c>
      <c r="D3437" t="inlineStr">
        <is>
          <t>VÄSTERNORRLANDS LÄN</t>
        </is>
      </c>
      <c r="E3437" t="inlineStr">
        <is>
          <t>SUNDSVALL</t>
        </is>
      </c>
      <c r="F3437" t="inlineStr">
        <is>
          <t>SCA</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27169-2025</t>
        </is>
      </c>
      <c r="B3438" s="1" t="n">
        <v>45812</v>
      </c>
      <c r="C3438" s="1" t="n">
        <v>45841</v>
      </c>
      <c r="D3438" t="inlineStr">
        <is>
          <t>VÄSTERNORRLANDS LÄN</t>
        </is>
      </c>
      <c r="E3438" t="inlineStr">
        <is>
          <t>SUNDSVALL</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27340-2025</t>
        </is>
      </c>
      <c r="B3439" s="1" t="n">
        <v>45812</v>
      </c>
      <c r="C3439" s="1" t="n">
        <v>45841</v>
      </c>
      <c r="D3439" t="inlineStr">
        <is>
          <t>VÄSTERNORRLANDS LÄN</t>
        </is>
      </c>
      <c r="E3439" t="inlineStr">
        <is>
          <t>SUNDSVALL</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45841</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45841</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45841</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27823-2025</t>
        </is>
      </c>
      <c r="B3443" s="1" t="n">
        <v>45817</v>
      </c>
      <c r="C3443" s="1" t="n">
        <v>45841</v>
      </c>
      <c r="D3443" t="inlineStr">
        <is>
          <t>VÄSTERNORRLANDS LÄN</t>
        </is>
      </c>
      <c r="E3443" t="inlineStr">
        <is>
          <t>SUNDSVALL</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45841</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28407-2025</t>
        </is>
      </c>
      <c r="B3445" s="1" t="n">
        <v>45819</v>
      </c>
      <c r="C3445" s="1" t="n">
        <v>45841</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45841</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45841</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45841</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45841</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45841</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29700-2025</t>
        </is>
      </c>
      <c r="B3451" s="1" t="n">
        <v>45825</v>
      </c>
      <c r="C3451" s="1" t="n">
        <v>45841</v>
      </c>
      <c r="D3451" t="inlineStr">
        <is>
          <t>VÄSTERNORRLANDS LÄN</t>
        </is>
      </c>
      <c r="E3451" t="inlineStr">
        <is>
          <t>SUNDSVALL</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29711-2025</t>
        </is>
      </c>
      <c r="B3452" s="1" t="n">
        <v>45825</v>
      </c>
      <c r="C3452" s="1" t="n">
        <v>45841</v>
      </c>
      <c r="D3452" t="inlineStr">
        <is>
          <t>VÄSTERNORRLANDS LÄN</t>
        </is>
      </c>
      <c r="E3452" t="inlineStr">
        <is>
          <t>SUNDSVALL</t>
        </is>
      </c>
      <c r="F3452" t="inlineStr">
        <is>
          <t>Kyrkan</t>
        </is>
      </c>
      <c r="G3452" t="n">
        <v>43.8</v>
      </c>
      <c r="H3452" t="n">
        <v>0</v>
      </c>
      <c r="I3452" t="n">
        <v>0</v>
      </c>
      <c r="J3452" t="n">
        <v>0</v>
      </c>
      <c r="K3452" t="n">
        <v>0</v>
      </c>
      <c r="L3452" t="n">
        <v>0</v>
      </c>
      <c r="M3452" t="n">
        <v>0</v>
      </c>
      <c r="N3452" t="n">
        <v>0</v>
      </c>
      <c r="O3452" t="n">
        <v>0</v>
      </c>
      <c r="P3452" t="n">
        <v>0</v>
      </c>
      <c r="Q3452" t="n">
        <v>0</v>
      </c>
      <c r="R3452" s="2" t="inlineStr"/>
    </row>
    <row r="3453" ht="15" customHeight="1">
      <c r="A3453" t="inlineStr">
        <is>
          <t>A 29954-2025</t>
        </is>
      </c>
      <c r="B3453" s="1" t="n">
        <v>45826</v>
      </c>
      <c r="C3453" s="1" t="n">
        <v>45841</v>
      </c>
      <c r="D3453" t="inlineStr">
        <is>
          <t>VÄSTERNORRLANDS LÄN</t>
        </is>
      </c>
      <c r="E3453" t="inlineStr">
        <is>
          <t>SUNDSVALL</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45841</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45841</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45841</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45841</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45841</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45841</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45841</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45841</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45841</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30259-2025</t>
        </is>
      </c>
      <c r="B3463" s="1" t="n">
        <v>45827</v>
      </c>
      <c r="C3463" s="1" t="n">
        <v>45841</v>
      </c>
      <c r="D3463" t="inlineStr">
        <is>
          <t>VÄSTERNORRLANDS LÄN</t>
        </is>
      </c>
      <c r="E3463" t="inlineStr">
        <is>
          <t>SUNDSVALL</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45841</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45841</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45841</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45841</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31185-2025</t>
        </is>
      </c>
      <c r="B3468" s="1" t="n">
        <v>45832</v>
      </c>
      <c r="C3468" s="1" t="n">
        <v>45841</v>
      </c>
      <c r="D3468" t="inlineStr">
        <is>
          <t>VÄSTERNORRLANDS LÄN</t>
        </is>
      </c>
      <c r="E3468" t="inlineStr">
        <is>
          <t>SUNDSVALL</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31115-2025</t>
        </is>
      </c>
      <c r="B3469" s="1" t="n">
        <v>45832</v>
      </c>
      <c r="C3469" s="1" t="n">
        <v>45841</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45841</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31322-2025</t>
        </is>
      </c>
      <c r="B3471" s="1" t="n">
        <v>45833</v>
      </c>
      <c r="C3471" s="1" t="n">
        <v>45841</v>
      </c>
      <c r="D3471" t="inlineStr">
        <is>
          <t>VÄSTERNORRLANDS LÄN</t>
        </is>
      </c>
      <c r="E3471" t="inlineStr">
        <is>
          <t>SUNDSVALL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31270-2025</t>
        </is>
      </c>
      <c r="B3472" s="1" t="n">
        <v>45833</v>
      </c>
      <c r="C3472" s="1" t="n">
        <v>45841</v>
      </c>
      <c r="D3472" t="inlineStr">
        <is>
          <t>VÄSTERNORRLANDS LÄN</t>
        </is>
      </c>
      <c r="E3472" t="inlineStr">
        <is>
          <t>SUNDSVALL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45841</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31295-2025</t>
        </is>
      </c>
      <c r="B3474" s="1" t="n">
        <v>45833</v>
      </c>
      <c r="C3474" s="1" t="n">
        <v>45841</v>
      </c>
      <c r="D3474" t="inlineStr">
        <is>
          <t>VÄSTERNORRLANDS LÄN</t>
        </is>
      </c>
      <c r="E3474" t="inlineStr">
        <is>
          <t>SUNDSVALL</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31382-2025</t>
        </is>
      </c>
      <c r="B3475" s="1" t="n">
        <v>45833</v>
      </c>
      <c r="C3475" s="1" t="n">
        <v>45841</v>
      </c>
      <c r="D3475" t="inlineStr">
        <is>
          <t>VÄSTERNORRLANDS LÄN</t>
        </is>
      </c>
      <c r="E3475" t="inlineStr">
        <is>
          <t>SUNDSVALL</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31567-2025</t>
        </is>
      </c>
      <c r="B3476" s="1" t="n">
        <v>45833</v>
      </c>
      <c r="C3476" s="1" t="n">
        <v>45841</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31385-2025</t>
        </is>
      </c>
      <c r="B3477" s="1" t="n">
        <v>45833</v>
      </c>
      <c r="C3477" s="1" t="n">
        <v>45841</v>
      </c>
      <c r="D3477" t="inlineStr">
        <is>
          <t>VÄSTERNORRLANDS LÄN</t>
        </is>
      </c>
      <c r="E3477" t="inlineStr">
        <is>
          <t>SUNDSVALL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31388-2025</t>
        </is>
      </c>
      <c r="B3478" s="1" t="n">
        <v>45833</v>
      </c>
      <c r="C3478" s="1" t="n">
        <v>45841</v>
      </c>
      <c r="D3478" t="inlineStr">
        <is>
          <t>VÄSTERNORRLANDS LÄN</t>
        </is>
      </c>
      <c r="E3478" t="inlineStr">
        <is>
          <t>SUNDSVALL</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31486-2025</t>
        </is>
      </c>
      <c r="B3479" s="1" t="n">
        <v>45833</v>
      </c>
      <c r="C3479" s="1" t="n">
        <v>45841</v>
      </c>
      <c r="D3479" t="inlineStr">
        <is>
          <t>VÄSTERNORRLANDS LÄN</t>
        </is>
      </c>
      <c r="E3479" t="inlineStr">
        <is>
          <t>SUNDSVALL</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31299-2025</t>
        </is>
      </c>
      <c r="B3480" s="1" t="n">
        <v>45833</v>
      </c>
      <c r="C3480" s="1" t="n">
        <v>45841</v>
      </c>
      <c r="D3480" t="inlineStr">
        <is>
          <t>VÄSTERNORRLANDS LÄN</t>
        </is>
      </c>
      <c r="E3480" t="inlineStr">
        <is>
          <t>SUNDSVALL</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31319-2025</t>
        </is>
      </c>
      <c r="B3481" s="1" t="n">
        <v>45833</v>
      </c>
      <c r="C3481" s="1" t="n">
        <v>45841</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31424-2025</t>
        </is>
      </c>
      <c r="B3482" s="1" t="n">
        <v>45833</v>
      </c>
      <c r="C3482" s="1" t="n">
        <v>45841</v>
      </c>
      <c r="D3482" t="inlineStr">
        <is>
          <t>VÄSTERNORRLANDS LÄN</t>
        </is>
      </c>
      <c r="E3482" t="inlineStr">
        <is>
          <t>SUNDSVALL</t>
        </is>
      </c>
      <c r="F3482" t="inlineStr">
        <is>
          <t>Naturvårdsverket</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45841</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45841</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45841</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45841</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31931-2025</t>
        </is>
      </c>
      <c r="B3487" s="1" t="n">
        <v>45835</v>
      </c>
      <c r="C3487" s="1" t="n">
        <v>45841</v>
      </c>
      <c r="D3487" t="inlineStr">
        <is>
          <t>VÄSTERNORRLANDS LÄN</t>
        </is>
      </c>
      <c r="E3487" t="inlineStr">
        <is>
          <t>SUNDSVALL</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31935-2025</t>
        </is>
      </c>
      <c r="B3488" s="1" t="n">
        <v>45835</v>
      </c>
      <c r="C3488" s="1" t="n">
        <v>45841</v>
      </c>
      <c r="D3488" t="inlineStr">
        <is>
          <t>VÄSTERNORRLANDS LÄN</t>
        </is>
      </c>
      <c r="E3488" t="inlineStr">
        <is>
          <t>SUNDSVALL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31932-2025</t>
        </is>
      </c>
      <c r="B3489" s="1" t="n">
        <v>45835</v>
      </c>
      <c r="C3489" s="1" t="n">
        <v>45841</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45841</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45841</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45841</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45841</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45841</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45841</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32356-2025</t>
        </is>
      </c>
      <c r="B3496" s="1" t="n">
        <v>45837</v>
      </c>
      <c r="C3496" s="1" t="n">
        <v>45841</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32383-2025</t>
        </is>
      </c>
      <c r="B3497" s="1" t="n">
        <v>45837</v>
      </c>
      <c r="C3497" s="1" t="n">
        <v>45841</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32385-2025</t>
        </is>
      </c>
      <c r="B3498" s="1" t="n">
        <v>45837</v>
      </c>
      <c r="C3498" s="1" t="n">
        <v>45841</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32357-2025</t>
        </is>
      </c>
      <c r="B3499" s="1" t="n">
        <v>45837</v>
      </c>
      <c r="C3499" s="1" t="n">
        <v>45841</v>
      </c>
      <c r="D3499" t="inlineStr">
        <is>
          <t>VÄSTERNORRLANDS LÄN</t>
        </is>
      </c>
      <c r="E3499" t="inlineStr">
        <is>
          <t>SUNDSVALL</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32350-2025</t>
        </is>
      </c>
      <c r="B3500" s="1" t="n">
        <v>45837</v>
      </c>
      <c r="C3500" s="1" t="n">
        <v>45841</v>
      </c>
      <c r="D3500" t="inlineStr">
        <is>
          <t>VÄSTERNORRLANDS LÄN</t>
        </is>
      </c>
      <c r="E3500" t="inlineStr">
        <is>
          <t>SUNDSVALL</t>
        </is>
      </c>
      <c r="F3500" t="inlineStr">
        <is>
          <t>SCA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32351-2025</t>
        </is>
      </c>
      <c r="B3501" s="1" t="n">
        <v>45837</v>
      </c>
      <c r="C3501" s="1" t="n">
        <v>45841</v>
      </c>
      <c r="D3501" t="inlineStr">
        <is>
          <t>VÄSTERNORRLANDS LÄN</t>
        </is>
      </c>
      <c r="E3501" t="inlineStr">
        <is>
          <t>SUNDSVALL</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32359-2025</t>
        </is>
      </c>
      <c r="B3502" s="1" t="n">
        <v>45837</v>
      </c>
      <c r="C3502" s="1" t="n">
        <v>45841</v>
      </c>
      <c r="D3502" t="inlineStr">
        <is>
          <t>VÄSTERNORRLANDS LÄN</t>
        </is>
      </c>
      <c r="E3502" t="inlineStr">
        <is>
          <t>SUNDSVALL</t>
        </is>
      </c>
      <c r="F3502" t="inlineStr">
        <is>
          <t>SCA</t>
        </is>
      </c>
      <c r="G3502" t="n">
        <v>1.4</v>
      </c>
      <c r="H3502" t="n">
        <v>0</v>
      </c>
      <c r="I3502" t="n">
        <v>0</v>
      </c>
      <c r="J3502" t="n">
        <v>0</v>
      </c>
      <c r="K3502" t="n">
        <v>0</v>
      </c>
      <c r="L3502" t="n">
        <v>0</v>
      </c>
      <c r="M3502" t="n">
        <v>0</v>
      </c>
      <c r="N3502" t="n">
        <v>0</v>
      </c>
      <c r="O3502" t="n">
        <v>0</v>
      </c>
      <c r="P3502" t="n">
        <v>0</v>
      </c>
      <c r="Q3502" t="n">
        <v>0</v>
      </c>
      <c r="R3502" s="2" t="inlineStr"/>
    </row>
    <row r="3503">
      <c r="A3503" t="inlineStr">
        <is>
          <t>A 32492-2025</t>
        </is>
      </c>
      <c r="B3503" s="1" t="n">
        <v>45838</v>
      </c>
      <c r="C3503" s="1" t="n">
        <v>45841</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2025-07-03T19:44:07Z</dcterms:created>
  <dcterms:modified xmlns:dcterms="http://purl.org/dc/terms/" xmlns:xsi="http://www.w3.org/2001/XMLSchema-instance" xsi:type="dcterms:W3CDTF">2025-07-03T19:44:10Z</dcterms:modified>
</cp:coreProperties>
</file>