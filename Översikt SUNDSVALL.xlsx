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45577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45577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45577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45577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45577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45577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45577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45577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45577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45577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45577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45577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45577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45577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45577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45577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45577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45577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45577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45577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45577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45577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45577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45577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45577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45577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45577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45577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45577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45577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45577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45577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45577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45577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45577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45577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45577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45577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45577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45577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45577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45577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45577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45577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45577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45577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45577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45577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45577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45577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45577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45577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45949-2023</t>
        </is>
      </c>
      <c r="B54" s="1" t="n">
        <v>45195</v>
      </c>
      <c r="C54" s="1" t="n">
        <v>45577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29.1</v>
      </c>
      <c r="H54" t="n">
        <v>4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Tretåig hackspett
Plattlummer</t>
        </is>
      </c>
      <c r="S54">
        <f>HYPERLINK("https://klasma.github.io/Logging_2281/artfynd/A 45949-2023 artfynd.xlsx", "A 45949-2023")</f>
        <v/>
      </c>
      <c r="T54">
        <f>HYPERLINK("https://klasma.github.io/Logging_2281/kartor/A 45949-2023 karta.png", "A 45949-2023")</f>
        <v/>
      </c>
      <c r="U54">
        <f>HYPERLINK("https://klasma.github.io/Logging_2281/knärot/A 45949-2023 karta knärot.png", "A 45949-2023")</f>
        <v/>
      </c>
      <c r="V54">
        <f>HYPERLINK("https://klasma.github.io/Logging_2281/klagomål/A 45949-2023 FSC-klagomål.docx", "A 45949-2023")</f>
        <v/>
      </c>
      <c r="W54">
        <f>HYPERLINK("https://klasma.github.io/Logging_2281/klagomålsmail/A 45949-2023 FSC-klagomål mail.docx", "A 45949-2023")</f>
        <v/>
      </c>
      <c r="X54">
        <f>HYPERLINK("https://klasma.github.io/Logging_2281/tillsyn/A 45949-2023 tillsynsbegäran.docx", "A 45949-2023")</f>
        <v/>
      </c>
      <c r="Y54">
        <f>HYPERLINK("https://klasma.github.io/Logging_2281/tillsynsmail/A 45949-2023 tillsynsbegäran mail.docx", "A 45949-2023")</f>
        <v/>
      </c>
      <c r="Z54">
        <f>HYPERLINK("https://klasma.github.io/Logging_2281/fåglar/A 45949-2023 prioriterade fågelarter.docx", "A 45949-2023")</f>
        <v/>
      </c>
    </row>
    <row r="55" ht="15" customHeight="1">
      <c r="A55" t="inlineStr">
        <is>
          <t>A 53044-2023</t>
        </is>
      </c>
      <c r="B55" s="1" t="n">
        <v>45226</v>
      </c>
      <c r="C55" s="1" t="n">
        <v>45577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Lunglav
Ullticka
Stuplav</t>
        </is>
      </c>
      <c r="S55">
        <f>HYPERLINK("https://klasma.github.io/Logging_2281/artfynd/A 53044-2023 artfynd.xlsx", "A 53044-2023")</f>
        <v/>
      </c>
      <c r="T55">
        <f>HYPERLINK("https://klasma.github.io/Logging_2281/kartor/A 53044-2023 karta.png", "A 53044-2023")</f>
        <v/>
      </c>
      <c r="V55">
        <f>HYPERLINK("https://klasma.github.io/Logging_2281/klagomål/A 53044-2023 FSC-klagomål.docx", "A 53044-2023")</f>
        <v/>
      </c>
      <c r="W55">
        <f>HYPERLINK("https://klasma.github.io/Logging_2281/klagomålsmail/A 53044-2023 FSC-klagomål mail.docx", "A 53044-2023")</f>
        <v/>
      </c>
      <c r="X55">
        <f>HYPERLINK("https://klasma.github.io/Logging_2281/tillsyn/A 53044-2023 tillsynsbegäran.docx", "A 53044-2023")</f>
        <v/>
      </c>
      <c r="Y55">
        <f>HYPERLINK("https://klasma.github.io/Logging_2281/tillsynsmail/A 53044-2023 tillsynsbegäran mail.docx", "A 53044-2023")</f>
        <v/>
      </c>
    </row>
    <row r="56" ht="15" customHeight="1">
      <c r="A56" t="inlineStr">
        <is>
          <t>A 65041-2019</t>
        </is>
      </c>
      <c r="B56" s="1" t="n">
        <v>43801</v>
      </c>
      <c r="C56" s="1" t="n">
        <v>45577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Naturvårdsverket</t>
        </is>
      </c>
      <c r="G56" t="n">
        <v>33.1</v>
      </c>
      <c r="H56" t="n">
        <v>2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Spillkråka
Tretåig hackspett</t>
        </is>
      </c>
      <c r="S56">
        <f>HYPERLINK("https://klasma.github.io/Logging_2281/artfynd/A 65041-2019 artfynd.xlsx", "A 65041-2019")</f>
        <v/>
      </c>
      <c r="T56">
        <f>HYPERLINK("https://klasma.github.io/Logging_2281/kartor/A 65041-2019 karta.png", "A 65041-2019")</f>
        <v/>
      </c>
      <c r="V56">
        <f>HYPERLINK("https://klasma.github.io/Logging_2281/klagomål/A 65041-2019 FSC-klagomål.docx", "A 65041-2019")</f>
        <v/>
      </c>
      <c r="W56">
        <f>HYPERLINK("https://klasma.github.io/Logging_2281/klagomålsmail/A 65041-2019 FSC-klagomål mail.docx", "A 65041-2019")</f>
        <v/>
      </c>
      <c r="X56">
        <f>HYPERLINK("https://klasma.github.io/Logging_2281/tillsyn/A 65041-2019 tillsynsbegäran.docx", "A 65041-2019")</f>
        <v/>
      </c>
      <c r="Y56">
        <f>HYPERLINK("https://klasma.github.io/Logging_2281/tillsynsmail/A 65041-2019 tillsynsbegäran mail.docx", "A 65041-2019")</f>
        <v/>
      </c>
      <c r="Z56">
        <f>HYPERLINK("https://klasma.github.io/Logging_2281/fåglar/A 65041-2019 prioriterade fågelarter.docx", "A 65041-2019")</f>
        <v/>
      </c>
    </row>
    <row r="57" ht="15" customHeight="1">
      <c r="A57" t="inlineStr">
        <is>
          <t>A 22407-2020</t>
        </is>
      </c>
      <c r="B57" s="1" t="n">
        <v>43962</v>
      </c>
      <c r="C57" s="1" t="n">
        <v>45577</v>
      </c>
      <c r="D57" t="inlineStr">
        <is>
          <t>VÄSTERNORRLANDS LÄN</t>
        </is>
      </c>
      <c r="E57" t="inlineStr">
        <is>
          <t>SUNDSVALL</t>
        </is>
      </c>
      <c r="G57" t="n">
        <v>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Slåtterfibbla
Ullticka
Dropptaggsvamp</t>
        </is>
      </c>
      <c r="S57">
        <f>HYPERLINK("https://klasma.github.io/Logging_2281/artfynd/A 22407-2020 artfynd.xlsx", "A 22407-2020")</f>
        <v/>
      </c>
      <c r="T57">
        <f>HYPERLINK("https://klasma.github.io/Logging_2281/kartor/A 22407-2020 karta.png", "A 22407-2020")</f>
        <v/>
      </c>
      <c r="U57">
        <f>HYPERLINK("https://klasma.github.io/Logging_2281/knärot/A 22407-2020 karta knärot.png", "A 22407-2020")</f>
        <v/>
      </c>
      <c r="V57">
        <f>HYPERLINK("https://klasma.github.io/Logging_2281/klagomål/A 22407-2020 FSC-klagomål.docx", "A 22407-2020")</f>
        <v/>
      </c>
      <c r="W57">
        <f>HYPERLINK("https://klasma.github.io/Logging_2281/klagomålsmail/A 22407-2020 FSC-klagomål mail.docx", "A 22407-2020")</f>
        <v/>
      </c>
      <c r="X57">
        <f>HYPERLINK("https://klasma.github.io/Logging_2281/tillsyn/A 22407-2020 tillsynsbegäran.docx", "A 22407-2020")</f>
        <v/>
      </c>
      <c r="Y57">
        <f>HYPERLINK("https://klasma.github.io/Logging_2281/tillsynsmail/A 22407-2020 tillsynsbegäran mail.docx", "A 22407-2020")</f>
        <v/>
      </c>
    </row>
    <row r="58" ht="15" customHeight="1">
      <c r="A58" t="inlineStr">
        <is>
          <t>A 39080-2020</t>
        </is>
      </c>
      <c r="B58" s="1" t="n">
        <v>44062</v>
      </c>
      <c r="C58" s="1" t="n">
        <v>45577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Skrovellav
Blåsippa</t>
        </is>
      </c>
      <c r="S58">
        <f>HYPERLINK("https://klasma.github.io/Logging_2281/artfynd/A 39080-2020 artfynd.xlsx", "A 39080-2020")</f>
        <v/>
      </c>
      <c r="T58">
        <f>HYPERLINK("https://klasma.github.io/Logging_2281/kartor/A 39080-2020 karta.png", "A 39080-2020")</f>
        <v/>
      </c>
      <c r="U58">
        <f>HYPERLINK("https://klasma.github.io/Logging_2281/knärot/A 39080-2020 karta knärot.png", "A 39080-2020")</f>
        <v/>
      </c>
      <c r="V58">
        <f>HYPERLINK("https://klasma.github.io/Logging_2281/klagomål/A 39080-2020 FSC-klagomål.docx", "A 39080-2020")</f>
        <v/>
      </c>
      <c r="W58">
        <f>HYPERLINK("https://klasma.github.io/Logging_2281/klagomålsmail/A 39080-2020 FSC-klagomål mail.docx", "A 39080-2020")</f>
        <v/>
      </c>
      <c r="X58">
        <f>HYPERLINK("https://klasma.github.io/Logging_2281/tillsyn/A 39080-2020 tillsynsbegäran.docx", "A 39080-2020")</f>
        <v/>
      </c>
      <c r="Y58">
        <f>HYPERLINK("https://klasma.github.io/Logging_2281/tillsynsmail/A 39080-2020 tillsynsbegäran mail.docx", "A 39080-2020")</f>
        <v/>
      </c>
    </row>
    <row r="59" ht="15" customHeight="1">
      <c r="A59" t="inlineStr">
        <is>
          <t>A 24268-2021</t>
        </is>
      </c>
      <c r="B59" s="1" t="n">
        <v>44336</v>
      </c>
      <c r="C59" s="1" t="n">
        <v>45577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5.4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Fläcknycklar
Revlummer</t>
        </is>
      </c>
      <c r="S59">
        <f>HYPERLINK("https://klasma.github.io/Logging_2281/artfynd/A 24268-2021 artfynd.xlsx", "A 24268-2021")</f>
        <v/>
      </c>
      <c r="T59">
        <f>HYPERLINK("https://klasma.github.io/Logging_2281/kartor/A 24268-2021 karta.png", "A 24268-2021")</f>
        <v/>
      </c>
      <c r="V59">
        <f>HYPERLINK("https://klasma.github.io/Logging_2281/klagomål/A 24268-2021 FSC-klagomål.docx", "A 24268-2021")</f>
        <v/>
      </c>
      <c r="W59">
        <f>HYPERLINK("https://klasma.github.io/Logging_2281/klagomålsmail/A 24268-2021 FSC-klagomål mail.docx", "A 24268-2021")</f>
        <v/>
      </c>
      <c r="X59">
        <f>HYPERLINK("https://klasma.github.io/Logging_2281/tillsyn/A 24268-2021 tillsynsbegäran.docx", "A 24268-2021")</f>
        <v/>
      </c>
      <c r="Y59">
        <f>HYPERLINK("https://klasma.github.io/Logging_2281/tillsynsmail/A 24268-2021 tillsynsbegäran mail.docx", "A 24268-2021")</f>
        <v/>
      </c>
    </row>
    <row r="60" ht="15" customHeight="1">
      <c r="A60" t="inlineStr">
        <is>
          <t>A 11351-2022</t>
        </is>
      </c>
      <c r="B60" s="1" t="n">
        <v>44630</v>
      </c>
      <c r="C60" s="1" t="n">
        <v>45577</v>
      </c>
      <c r="D60" t="inlineStr">
        <is>
          <t>VÄSTERNORRLANDS LÄN</t>
        </is>
      </c>
      <c r="E60" t="inlineStr">
        <is>
          <t>SUNDSVALL</t>
        </is>
      </c>
      <c r="G60" t="n">
        <v>12.1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Vedskivlav
Kornig nållav</t>
        </is>
      </c>
      <c r="S60">
        <f>HYPERLINK("https://klasma.github.io/Logging_2281/artfynd/A 11351-2022 artfynd.xlsx", "A 11351-2022")</f>
        <v/>
      </c>
      <c r="T60">
        <f>HYPERLINK("https://klasma.github.io/Logging_2281/kartor/A 11351-2022 karta.png", "A 11351-2022")</f>
        <v/>
      </c>
      <c r="U60">
        <f>HYPERLINK("https://klasma.github.io/Logging_2281/knärot/A 11351-2022 karta knärot.png", "A 11351-2022")</f>
        <v/>
      </c>
      <c r="V60">
        <f>HYPERLINK("https://klasma.github.io/Logging_2281/klagomål/A 11351-2022 FSC-klagomål.docx", "A 11351-2022")</f>
        <v/>
      </c>
      <c r="W60">
        <f>HYPERLINK("https://klasma.github.io/Logging_2281/klagomålsmail/A 11351-2022 FSC-klagomål mail.docx", "A 11351-2022")</f>
        <v/>
      </c>
      <c r="X60">
        <f>HYPERLINK("https://klasma.github.io/Logging_2281/tillsyn/A 11351-2022 tillsynsbegäran.docx", "A 11351-2022")</f>
        <v/>
      </c>
      <c r="Y60">
        <f>HYPERLINK("https://klasma.github.io/Logging_2281/tillsynsmail/A 11351-2022 tillsynsbegäran mail.docx", "A 11351-2022")</f>
        <v/>
      </c>
    </row>
    <row r="61" ht="15" customHeight="1">
      <c r="A61" t="inlineStr">
        <is>
          <t>A 14677-2022</t>
        </is>
      </c>
      <c r="B61" s="1" t="n">
        <v>44655</v>
      </c>
      <c r="C61" s="1" t="n">
        <v>45577</v>
      </c>
      <c r="D61" t="inlineStr">
        <is>
          <t>VÄSTERNORRLANDS LÄN</t>
        </is>
      </c>
      <c r="E61" t="inlineStr">
        <is>
          <t>SUNDSVALL</t>
        </is>
      </c>
      <c r="G61" t="n">
        <v>12.9</v>
      </c>
      <c r="H61" t="n">
        <v>2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Gammelgransskål
Tretåig hackspett</t>
        </is>
      </c>
      <c r="S61">
        <f>HYPERLINK("https://klasma.github.io/Logging_2281/artfynd/A 14677-2022 artfynd.xlsx", "A 14677-2022")</f>
        <v/>
      </c>
      <c r="T61">
        <f>HYPERLINK("https://klasma.github.io/Logging_2281/kartor/A 14677-2022 karta.png", "A 14677-2022")</f>
        <v/>
      </c>
      <c r="U61">
        <f>HYPERLINK("https://klasma.github.io/Logging_2281/knärot/A 14677-2022 karta knärot.png", "A 14677-2022")</f>
        <v/>
      </c>
      <c r="V61">
        <f>HYPERLINK("https://klasma.github.io/Logging_2281/klagomål/A 14677-2022 FSC-klagomål.docx", "A 14677-2022")</f>
        <v/>
      </c>
      <c r="W61">
        <f>HYPERLINK("https://klasma.github.io/Logging_2281/klagomålsmail/A 14677-2022 FSC-klagomål mail.docx", "A 14677-2022")</f>
        <v/>
      </c>
      <c r="X61">
        <f>HYPERLINK("https://klasma.github.io/Logging_2281/tillsyn/A 14677-2022 tillsynsbegäran.docx", "A 14677-2022")</f>
        <v/>
      </c>
      <c r="Y61">
        <f>HYPERLINK("https://klasma.github.io/Logging_2281/tillsynsmail/A 14677-2022 tillsynsbegäran mail.docx", "A 14677-2022")</f>
        <v/>
      </c>
      <c r="Z61">
        <f>HYPERLINK("https://klasma.github.io/Logging_2281/fåglar/A 14677-2022 prioriterade fågelarter.docx", "A 14677-2022")</f>
        <v/>
      </c>
    </row>
    <row r="62" ht="15" customHeight="1">
      <c r="A62" t="inlineStr">
        <is>
          <t>A 21662-2022</t>
        </is>
      </c>
      <c r="B62" s="1" t="n">
        <v>44706</v>
      </c>
      <c r="C62" s="1" t="n">
        <v>45577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3.2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Vedtrappmossa
Revlummer</t>
        </is>
      </c>
      <c r="S62">
        <f>HYPERLINK("https://klasma.github.io/Logging_2281/artfynd/A 21662-2022 artfynd.xlsx", "A 21662-2022")</f>
        <v/>
      </c>
      <c r="T62">
        <f>HYPERLINK("https://klasma.github.io/Logging_2281/kartor/A 21662-2022 karta.png", "A 21662-2022")</f>
        <v/>
      </c>
      <c r="V62">
        <f>HYPERLINK("https://klasma.github.io/Logging_2281/klagomål/A 21662-2022 FSC-klagomål.docx", "A 21662-2022")</f>
        <v/>
      </c>
      <c r="W62">
        <f>HYPERLINK("https://klasma.github.io/Logging_2281/klagomålsmail/A 21662-2022 FSC-klagomål mail.docx", "A 21662-2022")</f>
        <v/>
      </c>
      <c r="X62">
        <f>HYPERLINK("https://klasma.github.io/Logging_2281/tillsyn/A 21662-2022 tillsynsbegäran.docx", "A 21662-2022")</f>
        <v/>
      </c>
      <c r="Y62">
        <f>HYPERLINK("https://klasma.github.io/Logging_2281/tillsynsmail/A 21662-2022 tillsynsbegäran mail.docx", "A 21662-2022")</f>
        <v/>
      </c>
    </row>
    <row r="63" ht="15" customHeight="1">
      <c r="A63" t="inlineStr">
        <is>
          <t>A 8680-2023</t>
        </is>
      </c>
      <c r="B63" s="1" t="n">
        <v>44977</v>
      </c>
      <c r="C63" s="1" t="n">
        <v>45577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10.1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Ullticka</t>
        </is>
      </c>
      <c r="S63">
        <f>HYPERLINK("https://klasma.github.io/Logging_2281/artfynd/A 8680-2023 artfynd.xlsx", "A 8680-2023")</f>
        <v/>
      </c>
      <c r="T63">
        <f>HYPERLINK("https://klasma.github.io/Logging_2281/kartor/A 8680-2023 karta.png", "A 8680-2023")</f>
        <v/>
      </c>
      <c r="V63">
        <f>HYPERLINK("https://klasma.github.io/Logging_2281/klagomål/A 8680-2023 FSC-klagomål.docx", "A 8680-2023")</f>
        <v/>
      </c>
      <c r="W63">
        <f>HYPERLINK("https://klasma.github.io/Logging_2281/klagomålsmail/A 8680-2023 FSC-klagomål mail.docx", "A 8680-2023")</f>
        <v/>
      </c>
      <c r="X63">
        <f>HYPERLINK("https://klasma.github.io/Logging_2281/tillsyn/A 8680-2023 tillsynsbegäran.docx", "A 8680-2023")</f>
        <v/>
      </c>
      <c r="Y63">
        <f>HYPERLINK("https://klasma.github.io/Logging_2281/tillsynsmail/A 8680-2023 tillsynsbegäran mail.docx", "A 8680-2023")</f>
        <v/>
      </c>
    </row>
    <row r="64" ht="15" customHeight="1">
      <c r="A64" t="inlineStr">
        <is>
          <t>A 16377-2023</t>
        </is>
      </c>
      <c r="B64" s="1" t="n">
        <v>45028</v>
      </c>
      <c r="C64" s="1" t="n">
        <v>45577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4.9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Plattlummer
Skinnlav</t>
        </is>
      </c>
      <c r="S64">
        <f>HYPERLINK("https://klasma.github.io/Logging_2281/artfynd/A 16377-2023 artfynd.xlsx", "A 16377-2023")</f>
        <v/>
      </c>
      <c r="T64">
        <f>HYPERLINK("https://klasma.github.io/Logging_2281/kartor/A 16377-2023 karta.png", "A 16377-2023")</f>
        <v/>
      </c>
      <c r="V64">
        <f>HYPERLINK("https://klasma.github.io/Logging_2281/klagomål/A 16377-2023 FSC-klagomål.docx", "A 16377-2023")</f>
        <v/>
      </c>
      <c r="W64">
        <f>HYPERLINK("https://klasma.github.io/Logging_2281/klagomålsmail/A 16377-2023 FSC-klagomål mail.docx", "A 16377-2023")</f>
        <v/>
      </c>
      <c r="X64">
        <f>HYPERLINK("https://klasma.github.io/Logging_2281/tillsyn/A 16377-2023 tillsynsbegäran.docx", "A 16377-2023")</f>
        <v/>
      </c>
      <c r="Y64">
        <f>HYPERLINK("https://klasma.github.io/Logging_2281/tillsynsmail/A 16377-2023 tillsynsbegäran mail.docx", "A 16377-2023")</f>
        <v/>
      </c>
    </row>
    <row r="65" ht="15" customHeight="1">
      <c r="A65" t="inlineStr">
        <is>
          <t>A 27390-2023</t>
        </is>
      </c>
      <c r="B65" s="1" t="n">
        <v>45096</v>
      </c>
      <c r="C65" s="1" t="n">
        <v>45577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14.3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Lunglav
Vedticka
Blåsippa</t>
        </is>
      </c>
      <c r="S65">
        <f>HYPERLINK("https://klasma.github.io/Logging_2281/artfynd/A 27390-2023 artfynd.xlsx", "A 27390-2023")</f>
        <v/>
      </c>
      <c r="T65">
        <f>HYPERLINK("https://klasma.github.io/Logging_2281/kartor/A 27390-2023 karta.png", "A 27390-2023")</f>
        <v/>
      </c>
      <c r="V65">
        <f>HYPERLINK("https://klasma.github.io/Logging_2281/klagomål/A 27390-2023 FSC-klagomål.docx", "A 27390-2023")</f>
        <v/>
      </c>
      <c r="W65">
        <f>HYPERLINK("https://klasma.github.io/Logging_2281/klagomålsmail/A 27390-2023 FSC-klagomål mail.docx", "A 27390-2023")</f>
        <v/>
      </c>
      <c r="X65">
        <f>HYPERLINK("https://klasma.github.io/Logging_2281/tillsyn/A 27390-2023 tillsynsbegäran.docx", "A 27390-2023")</f>
        <v/>
      </c>
      <c r="Y65">
        <f>HYPERLINK("https://klasma.github.io/Logging_2281/tillsynsmail/A 27390-2023 tillsynsbegäran mail.docx", "A 27390-2023")</f>
        <v/>
      </c>
    </row>
    <row r="66" ht="15" customHeight="1">
      <c r="A66" t="inlineStr">
        <is>
          <t>A 27734-2023</t>
        </is>
      </c>
      <c r="B66" s="1" t="n">
        <v>45098</v>
      </c>
      <c r="C66" s="1" t="n">
        <v>45577</v>
      </c>
      <c r="D66" t="inlineStr">
        <is>
          <t>VÄSTERNORRLANDS LÄN</t>
        </is>
      </c>
      <c r="E66" t="inlineStr">
        <is>
          <t>SUNDSVALL</t>
        </is>
      </c>
      <c r="G66" t="n">
        <v>0.8</v>
      </c>
      <c r="H66" t="n">
        <v>3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Grönfink
Björktrast
Skogsduva</t>
        </is>
      </c>
      <c r="S66">
        <f>HYPERLINK("https://klasma.github.io/Logging_2281/artfynd/A 27734-2023 artfynd.xlsx", "A 27734-2023")</f>
        <v/>
      </c>
      <c r="T66">
        <f>HYPERLINK("https://klasma.github.io/Logging_2281/kartor/A 27734-2023 karta.png", "A 27734-2023")</f>
        <v/>
      </c>
      <c r="V66">
        <f>HYPERLINK("https://klasma.github.io/Logging_2281/klagomål/A 27734-2023 FSC-klagomål.docx", "A 27734-2023")</f>
        <v/>
      </c>
      <c r="W66">
        <f>HYPERLINK("https://klasma.github.io/Logging_2281/klagomålsmail/A 27734-2023 FSC-klagomål mail.docx", "A 27734-2023")</f>
        <v/>
      </c>
      <c r="X66">
        <f>HYPERLINK("https://klasma.github.io/Logging_2281/tillsyn/A 27734-2023 tillsynsbegäran.docx", "A 27734-2023")</f>
        <v/>
      </c>
      <c r="Y66">
        <f>HYPERLINK("https://klasma.github.io/Logging_2281/tillsynsmail/A 27734-2023 tillsynsbegäran mail.docx", "A 27734-2023")</f>
        <v/>
      </c>
      <c r="Z66">
        <f>HYPERLINK("https://klasma.github.io/Logging_2281/fåglar/A 27734-2023 prioriterade fågelarter.docx", "A 27734-2023")</f>
        <v/>
      </c>
    </row>
    <row r="67" ht="15" customHeight="1">
      <c r="A67" t="inlineStr">
        <is>
          <t>A 38096-2023</t>
        </is>
      </c>
      <c r="B67" s="1" t="n">
        <v>45160</v>
      </c>
      <c r="C67" s="1" t="n">
        <v>45577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3.6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Blå taggsvamp
Lunglav
Dropptaggsvamp</t>
        </is>
      </c>
      <c r="S67">
        <f>HYPERLINK("https://klasma.github.io/Logging_2281/artfynd/A 38096-2023 artfynd.xlsx", "A 38096-2023")</f>
        <v/>
      </c>
      <c r="T67">
        <f>HYPERLINK("https://klasma.github.io/Logging_2281/kartor/A 38096-2023 karta.png", "A 38096-2023")</f>
        <v/>
      </c>
      <c r="V67">
        <f>HYPERLINK("https://klasma.github.io/Logging_2281/klagomål/A 38096-2023 FSC-klagomål.docx", "A 38096-2023")</f>
        <v/>
      </c>
      <c r="W67">
        <f>HYPERLINK("https://klasma.github.io/Logging_2281/klagomålsmail/A 38096-2023 FSC-klagomål mail.docx", "A 38096-2023")</f>
        <v/>
      </c>
      <c r="X67">
        <f>HYPERLINK("https://klasma.github.io/Logging_2281/tillsyn/A 38096-2023 tillsynsbegäran.docx", "A 38096-2023")</f>
        <v/>
      </c>
      <c r="Y67">
        <f>HYPERLINK("https://klasma.github.io/Logging_2281/tillsynsmail/A 38096-2023 tillsynsbegäran mail.docx", "A 38096-2023")</f>
        <v/>
      </c>
    </row>
    <row r="68" ht="15" customHeight="1">
      <c r="A68" t="inlineStr">
        <is>
          <t>A 54621-2023</t>
        </is>
      </c>
      <c r="B68" s="1" t="n">
        <v>45233</v>
      </c>
      <c r="C68" s="1" t="n">
        <v>45577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3.9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Kolflarnlav
Tallticka
Ullticka</t>
        </is>
      </c>
      <c r="S68">
        <f>HYPERLINK("https://klasma.github.io/Logging_2281/artfynd/A 54621-2023 artfynd.xlsx", "A 54621-2023")</f>
        <v/>
      </c>
      <c r="T68">
        <f>HYPERLINK("https://klasma.github.io/Logging_2281/kartor/A 54621-2023 karta.png", "A 54621-2023")</f>
        <v/>
      </c>
      <c r="V68">
        <f>HYPERLINK("https://klasma.github.io/Logging_2281/klagomål/A 54621-2023 FSC-klagomål.docx", "A 54621-2023")</f>
        <v/>
      </c>
      <c r="W68">
        <f>HYPERLINK("https://klasma.github.io/Logging_2281/klagomålsmail/A 54621-2023 FSC-klagomål mail.docx", "A 54621-2023")</f>
        <v/>
      </c>
      <c r="X68">
        <f>HYPERLINK("https://klasma.github.io/Logging_2281/tillsyn/A 54621-2023 tillsynsbegäran.docx", "A 54621-2023")</f>
        <v/>
      </c>
      <c r="Y68">
        <f>HYPERLINK("https://klasma.github.io/Logging_2281/tillsynsmail/A 54621-2023 tillsynsbegäran mail.docx", "A 54621-2023")</f>
        <v/>
      </c>
    </row>
    <row r="69" ht="15" customHeight="1">
      <c r="A69" t="inlineStr">
        <is>
          <t>A 60864-2023</t>
        </is>
      </c>
      <c r="B69" s="1" t="n">
        <v>45260</v>
      </c>
      <c r="C69" s="1" t="n">
        <v>45577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0.9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Tretåig hackspett
Dropptaggsvamp
Vedticka</t>
        </is>
      </c>
      <c r="S69">
        <f>HYPERLINK("https://klasma.github.io/Logging_2281/artfynd/A 60864-2023 artfynd.xlsx", "A 60864-2023")</f>
        <v/>
      </c>
      <c r="T69">
        <f>HYPERLINK("https://klasma.github.io/Logging_2281/kartor/A 60864-2023 karta.png", "A 60864-2023")</f>
        <v/>
      </c>
      <c r="V69">
        <f>HYPERLINK("https://klasma.github.io/Logging_2281/klagomål/A 60864-2023 FSC-klagomål.docx", "A 60864-2023")</f>
        <v/>
      </c>
      <c r="W69">
        <f>HYPERLINK("https://klasma.github.io/Logging_2281/klagomålsmail/A 60864-2023 FSC-klagomål mail.docx", "A 60864-2023")</f>
        <v/>
      </c>
      <c r="X69">
        <f>HYPERLINK("https://klasma.github.io/Logging_2281/tillsyn/A 60864-2023 tillsynsbegäran.docx", "A 60864-2023")</f>
        <v/>
      </c>
      <c r="Y69">
        <f>HYPERLINK("https://klasma.github.io/Logging_2281/tillsynsmail/A 60864-2023 tillsynsbegäran mail.docx", "A 60864-2023")</f>
        <v/>
      </c>
      <c r="Z69">
        <f>HYPERLINK("https://klasma.github.io/Logging_2281/fåglar/A 60864-2023 prioriterade fågelarter.docx", "A 60864-2023")</f>
        <v/>
      </c>
    </row>
    <row r="70" ht="15" customHeight="1">
      <c r="A70" t="inlineStr">
        <is>
          <t>A 14820-2024</t>
        </is>
      </c>
      <c r="B70" s="1" t="n">
        <v>45397</v>
      </c>
      <c r="C70" s="1" t="n">
        <v>45577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Lunglav
Luddlav</t>
        </is>
      </c>
      <c r="S70">
        <f>HYPERLINK("https://klasma.github.io/Logging_2281/artfynd/A 14820-2024 artfynd.xlsx", "A 14820-2024")</f>
        <v/>
      </c>
      <c r="T70">
        <f>HYPERLINK("https://klasma.github.io/Logging_2281/kartor/A 14820-2024 karta.png", "A 14820-2024")</f>
        <v/>
      </c>
      <c r="V70">
        <f>HYPERLINK("https://klasma.github.io/Logging_2281/klagomål/A 14820-2024 FSC-klagomål.docx", "A 14820-2024")</f>
        <v/>
      </c>
      <c r="W70">
        <f>HYPERLINK("https://klasma.github.io/Logging_2281/klagomålsmail/A 14820-2024 FSC-klagomål mail.docx", "A 14820-2024")</f>
        <v/>
      </c>
      <c r="X70">
        <f>HYPERLINK("https://klasma.github.io/Logging_2281/tillsyn/A 14820-2024 tillsynsbegäran.docx", "A 14820-2024")</f>
        <v/>
      </c>
      <c r="Y70">
        <f>HYPERLINK("https://klasma.github.io/Logging_2281/tillsynsmail/A 14820-2024 tillsynsbegäran mail.docx", "A 14820-2024")</f>
        <v/>
      </c>
    </row>
    <row r="71" ht="15" customHeight="1">
      <c r="A71" t="inlineStr">
        <is>
          <t>A 29076-2024</t>
        </is>
      </c>
      <c r="B71" s="1" t="n">
        <v>45481</v>
      </c>
      <c r="C71" s="1" t="n">
        <v>45577</v>
      </c>
      <c r="D71" t="inlineStr">
        <is>
          <t>VÄSTERNORRLANDS LÄN</t>
        </is>
      </c>
      <c r="E71" t="inlineStr">
        <is>
          <t>SUNDSVALL</t>
        </is>
      </c>
      <c r="G71" t="n">
        <v>5.6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Bårdlav
Stuplav</t>
        </is>
      </c>
      <c r="S71">
        <f>HYPERLINK("https://klasma.github.io/Logging_2281/artfynd/A 29076-2024 artfynd.xlsx", "A 29076-2024")</f>
        <v/>
      </c>
      <c r="T71">
        <f>HYPERLINK("https://klasma.github.io/Logging_2281/kartor/A 29076-2024 karta.png", "A 29076-2024")</f>
        <v/>
      </c>
      <c r="V71">
        <f>HYPERLINK("https://klasma.github.io/Logging_2281/klagomål/A 29076-2024 FSC-klagomål.docx", "A 29076-2024")</f>
        <v/>
      </c>
      <c r="W71">
        <f>HYPERLINK("https://klasma.github.io/Logging_2281/klagomålsmail/A 29076-2024 FSC-klagomål mail.docx", "A 29076-2024")</f>
        <v/>
      </c>
      <c r="X71">
        <f>HYPERLINK("https://klasma.github.io/Logging_2281/tillsyn/A 29076-2024 tillsynsbegäran.docx", "A 29076-2024")</f>
        <v/>
      </c>
      <c r="Y71">
        <f>HYPERLINK("https://klasma.github.io/Logging_2281/tillsynsmail/A 29076-2024 tillsynsbegäran mail.docx", "A 29076-2024")</f>
        <v/>
      </c>
    </row>
    <row r="72" ht="15" customHeight="1">
      <c r="A72" t="inlineStr">
        <is>
          <t>A 31515-2024</t>
        </is>
      </c>
      <c r="B72" s="1" t="n">
        <v>45505</v>
      </c>
      <c r="C72" s="1" t="n">
        <v>45577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2.7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Lunglav
Violettgrå tagellav</t>
        </is>
      </c>
      <c r="S72">
        <f>HYPERLINK("https://klasma.github.io/Logging_2281/artfynd/A 31515-2024 artfynd.xlsx", "A 31515-2024")</f>
        <v/>
      </c>
      <c r="T72">
        <f>HYPERLINK("https://klasma.github.io/Logging_2281/kartor/A 31515-2024 karta.png", "A 31515-2024")</f>
        <v/>
      </c>
      <c r="V72">
        <f>HYPERLINK("https://klasma.github.io/Logging_2281/klagomål/A 31515-2024 FSC-klagomål.docx", "A 31515-2024")</f>
        <v/>
      </c>
      <c r="W72">
        <f>HYPERLINK("https://klasma.github.io/Logging_2281/klagomålsmail/A 31515-2024 FSC-klagomål mail.docx", "A 31515-2024")</f>
        <v/>
      </c>
      <c r="X72">
        <f>HYPERLINK("https://klasma.github.io/Logging_2281/tillsyn/A 31515-2024 tillsynsbegäran.docx", "A 31515-2024")</f>
        <v/>
      </c>
      <c r="Y72">
        <f>HYPERLINK("https://klasma.github.io/Logging_2281/tillsynsmail/A 31515-2024 tillsynsbegäran mail.docx", "A 31515-2024")</f>
        <v/>
      </c>
    </row>
    <row r="73" ht="15" customHeight="1">
      <c r="A73" t="inlineStr">
        <is>
          <t>A 47808-2019</t>
        </is>
      </c>
      <c r="B73" s="1" t="n">
        <v>43724</v>
      </c>
      <c r="C73" s="1" t="n">
        <v>45577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3.6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HYPERLINK("https://klasma.github.io/Logging_2281/artfynd/A 47808-2019 artfynd.xlsx", "A 47808-2019")</f>
        <v/>
      </c>
      <c r="T73">
        <f>HYPERLINK("https://klasma.github.io/Logging_2281/kartor/A 47808-2019 karta.png", "A 47808-2019")</f>
        <v/>
      </c>
      <c r="V73">
        <f>HYPERLINK("https://klasma.github.io/Logging_2281/klagomål/A 47808-2019 FSC-klagomål.docx", "A 47808-2019")</f>
        <v/>
      </c>
      <c r="W73">
        <f>HYPERLINK("https://klasma.github.io/Logging_2281/klagomålsmail/A 47808-2019 FSC-klagomål mail.docx", "A 47808-2019")</f>
        <v/>
      </c>
      <c r="X73">
        <f>HYPERLINK("https://klasma.github.io/Logging_2281/tillsyn/A 47808-2019 tillsynsbegäran.docx", "A 47808-2019")</f>
        <v/>
      </c>
      <c r="Y73">
        <f>HYPERLINK("https://klasma.github.io/Logging_2281/tillsynsmail/A 47808-2019 tillsynsbegäran mail.docx", "A 47808-2019")</f>
        <v/>
      </c>
    </row>
    <row r="74" ht="15" customHeight="1">
      <c r="A74" t="inlineStr">
        <is>
          <t>A 50336-2020</t>
        </is>
      </c>
      <c r="B74" s="1" t="n">
        <v>44110</v>
      </c>
      <c r="C74" s="1" t="n">
        <v>45577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Kommuner</t>
        </is>
      </c>
      <c r="G74" t="n">
        <v>6.9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Kråka
Rödvingetrast</t>
        </is>
      </c>
      <c r="S74">
        <f>HYPERLINK("https://klasma.github.io/Logging_2281/artfynd/A 50336-2020 artfynd.xlsx", "A 50336-2020")</f>
        <v/>
      </c>
      <c r="T74">
        <f>HYPERLINK("https://klasma.github.io/Logging_2281/kartor/A 50336-2020 karta.png", "A 50336-2020")</f>
        <v/>
      </c>
      <c r="V74">
        <f>HYPERLINK("https://klasma.github.io/Logging_2281/klagomål/A 50336-2020 FSC-klagomål.docx", "A 50336-2020")</f>
        <v/>
      </c>
      <c r="W74">
        <f>HYPERLINK("https://klasma.github.io/Logging_2281/klagomålsmail/A 50336-2020 FSC-klagomål mail.docx", "A 50336-2020")</f>
        <v/>
      </c>
      <c r="X74">
        <f>HYPERLINK("https://klasma.github.io/Logging_2281/tillsyn/A 50336-2020 tillsynsbegäran.docx", "A 50336-2020")</f>
        <v/>
      </c>
      <c r="Y74">
        <f>HYPERLINK("https://klasma.github.io/Logging_2281/tillsynsmail/A 50336-2020 tillsynsbegäran mail.docx", "A 50336-2020")</f>
        <v/>
      </c>
      <c r="Z74">
        <f>HYPERLINK("https://klasma.github.io/Logging_2281/fåglar/A 50336-2020 prioriterade fågelarter.docx", "A 50336-2020")</f>
        <v/>
      </c>
    </row>
    <row r="75" ht="15" customHeight="1">
      <c r="A75" t="inlineStr">
        <is>
          <t>A 7567-2021</t>
        </is>
      </c>
      <c r="B75" s="1" t="n">
        <v>44239</v>
      </c>
      <c r="C75" s="1" t="n">
        <v>45577</v>
      </c>
      <c r="D75" t="inlineStr">
        <is>
          <t>VÄSTERNORRLANDS LÄN</t>
        </is>
      </c>
      <c r="E75" t="inlineStr">
        <is>
          <t>SUNDSVALL</t>
        </is>
      </c>
      <c r="G75" t="n">
        <v>6.8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Vedticka</t>
        </is>
      </c>
      <c r="S75">
        <f>HYPERLINK("https://klasma.github.io/Logging_2281/artfynd/A 7567-2021 artfynd.xlsx", "A 7567-2021")</f>
        <v/>
      </c>
      <c r="T75">
        <f>HYPERLINK("https://klasma.github.io/Logging_2281/kartor/A 7567-2021 karta.png", "A 7567-2021")</f>
        <v/>
      </c>
      <c r="V75">
        <f>HYPERLINK("https://klasma.github.io/Logging_2281/klagomål/A 7567-2021 FSC-klagomål.docx", "A 7567-2021")</f>
        <v/>
      </c>
      <c r="W75">
        <f>HYPERLINK("https://klasma.github.io/Logging_2281/klagomålsmail/A 7567-2021 FSC-klagomål mail.docx", "A 7567-2021")</f>
        <v/>
      </c>
      <c r="X75">
        <f>HYPERLINK("https://klasma.github.io/Logging_2281/tillsyn/A 7567-2021 tillsynsbegäran.docx", "A 7567-2021")</f>
        <v/>
      </c>
      <c r="Y75">
        <f>HYPERLINK("https://klasma.github.io/Logging_2281/tillsynsmail/A 7567-2021 tillsynsbegäran mail.docx", "A 7567-2021")</f>
        <v/>
      </c>
    </row>
    <row r="76" ht="15" customHeight="1">
      <c r="A76" t="inlineStr">
        <is>
          <t>A 7637-2021</t>
        </is>
      </c>
      <c r="B76" s="1" t="n">
        <v>44242</v>
      </c>
      <c r="C76" s="1" t="n">
        <v>45577</v>
      </c>
      <c r="D76" t="inlineStr">
        <is>
          <t>VÄSTERNORRLANDS LÄN</t>
        </is>
      </c>
      <c r="E76" t="inlineStr">
        <is>
          <t>SUNDSVALL</t>
        </is>
      </c>
      <c r="G76" t="n">
        <v>3.9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Gröngöling</t>
        </is>
      </c>
      <c r="S76">
        <f>HYPERLINK("https://klasma.github.io/Logging_2281/artfynd/A 7637-2021 artfynd.xlsx", "A 7637-2021")</f>
        <v/>
      </c>
      <c r="T76">
        <f>HYPERLINK("https://klasma.github.io/Logging_2281/kartor/A 7637-2021 karta.png", "A 7637-2021")</f>
        <v/>
      </c>
      <c r="V76">
        <f>HYPERLINK("https://klasma.github.io/Logging_2281/klagomål/A 7637-2021 FSC-klagomål.docx", "A 7637-2021")</f>
        <v/>
      </c>
      <c r="W76">
        <f>HYPERLINK("https://klasma.github.io/Logging_2281/klagomålsmail/A 7637-2021 FSC-klagomål mail.docx", "A 7637-2021")</f>
        <v/>
      </c>
      <c r="X76">
        <f>HYPERLINK("https://klasma.github.io/Logging_2281/tillsyn/A 7637-2021 tillsynsbegäran.docx", "A 7637-2021")</f>
        <v/>
      </c>
      <c r="Y76">
        <f>HYPERLINK("https://klasma.github.io/Logging_2281/tillsynsmail/A 7637-2021 tillsynsbegäran mail.docx", "A 7637-2021")</f>
        <v/>
      </c>
      <c r="Z76">
        <f>HYPERLINK("https://klasma.github.io/Logging_2281/fåglar/A 7637-2021 prioriterade fågelarter.docx", "A 7637-2021")</f>
        <v/>
      </c>
    </row>
    <row r="77" ht="15" customHeight="1">
      <c r="A77" t="inlineStr">
        <is>
          <t>A 43196-2021</t>
        </is>
      </c>
      <c r="B77" s="1" t="n">
        <v>44431</v>
      </c>
      <c r="C77" s="1" t="n">
        <v>45577</v>
      </c>
      <c r="D77" t="inlineStr">
        <is>
          <t>VÄSTERNORRLANDS LÄN</t>
        </is>
      </c>
      <c r="E77" t="inlineStr">
        <is>
          <t>SUNDSVALL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Revlummer</t>
        </is>
      </c>
      <c r="S77">
        <f>HYPERLINK("https://klasma.github.io/Logging_2281/artfynd/A 43196-2021 artfynd.xlsx", "A 43196-2021")</f>
        <v/>
      </c>
      <c r="T77">
        <f>HYPERLINK("https://klasma.github.io/Logging_2281/kartor/A 43196-2021 karta.png", "A 43196-2021")</f>
        <v/>
      </c>
      <c r="V77">
        <f>HYPERLINK("https://klasma.github.io/Logging_2281/klagomål/A 43196-2021 FSC-klagomål.docx", "A 43196-2021")</f>
        <v/>
      </c>
      <c r="W77">
        <f>HYPERLINK("https://klasma.github.io/Logging_2281/klagomålsmail/A 43196-2021 FSC-klagomål mail.docx", "A 43196-2021")</f>
        <v/>
      </c>
      <c r="X77">
        <f>HYPERLINK("https://klasma.github.io/Logging_2281/tillsyn/A 43196-2021 tillsynsbegäran.docx", "A 43196-2021")</f>
        <v/>
      </c>
      <c r="Y77">
        <f>HYPERLINK("https://klasma.github.io/Logging_2281/tillsynsmail/A 43196-2021 tillsynsbegäran mail.docx", "A 43196-2021")</f>
        <v/>
      </c>
    </row>
    <row r="78" ht="15" customHeight="1">
      <c r="A78" t="inlineStr">
        <is>
          <t>A 64919-2021</t>
        </is>
      </c>
      <c r="B78" s="1" t="n">
        <v>44512</v>
      </c>
      <c r="C78" s="1" t="n">
        <v>45577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Kommuner</t>
        </is>
      </c>
      <c r="G78" t="n">
        <v>4.1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Mindre hackspett
Scharlakansskål</t>
        </is>
      </c>
      <c r="S78">
        <f>HYPERLINK("https://klasma.github.io/Logging_2281/artfynd/A 64919-2021 artfynd.xlsx", "A 64919-2021")</f>
        <v/>
      </c>
      <c r="T78">
        <f>HYPERLINK("https://klasma.github.io/Logging_2281/kartor/A 64919-2021 karta.png", "A 64919-2021")</f>
        <v/>
      </c>
      <c r="V78">
        <f>HYPERLINK("https://klasma.github.io/Logging_2281/klagomål/A 64919-2021 FSC-klagomål.docx", "A 64919-2021")</f>
        <v/>
      </c>
      <c r="W78">
        <f>HYPERLINK("https://klasma.github.io/Logging_2281/klagomålsmail/A 64919-2021 FSC-klagomål mail.docx", "A 64919-2021")</f>
        <v/>
      </c>
      <c r="X78">
        <f>HYPERLINK("https://klasma.github.io/Logging_2281/tillsyn/A 64919-2021 tillsynsbegäran.docx", "A 64919-2021")</f>
        <v/>
      </c>
      <c r="Y78">
        <f>HYPERLINK("https://klasma.github.io/Logging_2281/tillsynsmail/A 64919-2021 tillsynsbegäran mail.docx", "A 64919-2021")</f>
        <v/>
      </c>
      <c r="Z78">
        <f>HYPERLINK("https://klasma.github.io/Logging_2281/fåglar/A 64919-2021 prioriterade fågelarter.docx", "A 64919-2021")</f>
        <v/>
      </c>
    </row>
    <row r="79" ht="15" customHeight="1">
      <c r="A79" t="inlineStr">
        <is>
          <t>A 5115-2022</t>
        </is>
      </c>
      <c r="B79" s="1" t="n">
        <v>44593</v>
      </c>
      <c r="C79" s="1" t="n">
        <v>45577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13.6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Norrlandslav</t>
        </is>
      </c>
      <c r="S79">
        <f>HYPERLINK("https://klasma.github.io/Logging_2281/artfynd/A 5115-2022 artfynd.xlsx", "A 5115-2022")</f>
        <v/>
      </c>
      <c r="T79">
        <f>HYPERLINK("https://klasma.github.io/Logging_2281/kartor/A 5115-2022 karta.png", "A 5115-2022")</f>
        <v/>
      </c>
      <c r="V79">
        <f>HYPERLINK("https://klasma.github.io/Logging_2281/klagomål/A 5115-2022 FSC-klagomål.docx", "A 5115-2022")</f>
        <v/>
      </c>
      <c r="W79">
        <f>HYPERLINK("https://klasma.github.io/Logging_2281/klagomålsmail/A 5115-2022 FSC-klagomål mail.docx", "A 5115-2022")</f>
        <v/>
      </c>
      <c r="X79">
        <f>HYPERLINK("https://klasma.github.io/Logging_2281/tillsyn/A 5115-2022 tillsynsbegäran.docx", "A 5115-2022")</f>
        <v/>
      </c>
      <c r="Y79">
        <f>HYPERLINK("https://klasma.github.io/Logging_2281/tillsynsmail/A 5115-2022 tillsynsbegäran mail.docx", "A 5115-2022")</f>
        <v/>
      </c>
    </row>
    <row r="80" ht="15" customHeight="1">
      <c r="A80" t="inlineStr">
        <is>
          <t>A 21661-2022</t>
        </is>
      </c>
      <c r="B80" s="1" t="n">
        <v>44706</v>
      </c>
      <c r="C80" s="1" t="n">
        <v>45577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Tjäder</t>
        </is>
      </c>
      <c r="S80">
        <f>HYPERLINK("https://klasma.github.io/Logging_2281/artfynd/A 21661-2022 artfynd.xlsx", "A 21661-2022")</f>
        <v/>
      </c>
      <c r="T80">
        <f>HYPERLINK("https://klasma.github.io/Logging_2281/kartor/A 21661-2022 karta.png", "A 21661-2022")</f>
        <v/>
      </c>
      <c r="V80">
        <f>HYPERLINK("https://klasma.github.io/Logging_2281/klagomål/A 21661-2022 FSC-klagomål.docx", "A 21661-2022")</f>
        <v/>
      </c>
      <c r="W80">
        <f>HYPERLINK("https://klasma.github.io/Logging_2281/klagomålsmail/A 21661-2022 FSC-klagomål mail.docx", "A 21661-2022")</f>
        <v/>
      </c>
      <c r="X80">
        <f>HYPERLINK("https://klasma.github.io/Logging_2281/tillsyn/A 21661-2022 tillsynsbegäran.docx", "A 21661-2022")</f>
        <v/>
      </c>
      <c r="Y80">
        <f>HYPERLINK("https://klasma.github.io/Logging_2281/tillsynsmail/A 21661-2022 tillsynsbegäran mail.docx", "A 21661-2022")</f>
        <v/>
      </c>
      <c r="Z80">
        <f>HYPERLINK("https://klasma.github.io/Logging_2281/fåglar/A 21661-2022 prioriterade fågelarter.docx", "A 21661-2022")</f>
        <v/>
      </c>
    </row>
    <row r="81" ht="15" customHeight="1">
      <c r="A81" t="inlineStr">
        <is>
          <t>A 22566-2022</t>
        </is>
      </c>
      <c r="B81" s="1" t="n">
        <v>44714</v>
      </c>
      <c r="C81" s="1" t="n">
        <v>45577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5.1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Lunglav</t>
        </is>
      </c>
      <c r="S81">
        <f>HYPERLINK("https://klasma.github.io/Logging_2281/artfynd/A 22566-2022 artfynd.xlsx", "A 22566-2022")</f>
        <v/>
      </c>
      <c r="T81">
        <f>HYPERLINK("https://klasma.github.io/Logging_2281/kartor/A 22566-2022 karta.png", "A 22566-2022")</f>
        <v/>
      </c>
      <c r="U81">
        <f>HYPERLINK("https://klasma.github.io/Logging_2281/knärot/A 22566-2022 karta knärot.png", "A 22566-2022")</f>
        <v/>
      </c>
      <c r="V81">
        <f>HYPERLINK("https://klasma.github.io/Logging_2281/klagomål/A 22566-2022 FSC-klagomål.docx", "A 22566-2022")</f>
        <v/>
      </c>
      <c r="W81">
        <f>HYPERLINK("https://klasma.github.io/Logging_2281/klagomålsmail/A 22566-2022 FSC-klagomål mail.docx", "A 22566-2022")</f>
        <v/>
      </c>
      <c r="X81">
        <f>HYPERLINK("https://klasma.github.io/Logging_2281/tillsyn/A 22566-2022 tillsynsbegäran.docx", "A 22566-2022")</f>
        <v/>
      </c>
      <c r="Y81">
        <f>HYPERLINK("https://klasma.github.io/Logging_2281/tillsynsmail/A 22566-2022 tillsynsbegäran mail.docx", "A 22566-2022")</f>
        <v/>
      </c>
    </row>
    <row r="82" ht="15" customHeight="1">
      <c r="A82" t="inlineStr">
        <is>
          <t>A 22567-2022</t>
        </is>
      </c>
      <c r="B82" s="1" t="n">
        <v>44713</v>
      </c>
      <c r="C82" s="1" t="n">
        <v>45577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4.5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Granticka</t>
        </is>
      </c>
      <c r="S82">
        <f>HYPERLINK("https://klasma.github.io/Logging_2281/artfynd/A 22567-2022 artfynd.xlsx", "A 22567-2022")</f>
        <v/>
      </c>
      <c r="T82">
        <f>HYPERLINK("https://klasma.github.io/Logging_2281/kartor/A 22567-2022 karta.png", "A 22567-2022")</f>
        <v/>
      </c>
      <c r="V82">
        <f>HYPERLINK("https://klasma.github.io/Logging_2281/klagomål/A 22567-2022 FSC-klagomål.docx", "A 22567-2022")</f>
        <v/>
      </c>
      <c r="W82">
        <f>HYPERLINK("https://klasma.github.io/Logging_2281/klagomålsmail/A 22567-2022 FSC-klagomål mail.docx", "A 22567-2022")</f>
        <v/>
      </c>
      <c r="X82">
        <f>HYPERLINK("https://klasma.github.io/Logging_2281/tillsyn/A 22567-2022 tillsynsbegäran.docx", "A 22567-2022")</f>
        <v/>
      </c>
      <c r="Y82">
        <f>HYPERLINK("https://klasma.github.io/Logging_2281/tillsynsmail/A 22567-2022 tillsynsbegäran mail.docx", "A 22567-2022")</f>
        <v/>
      </c>
    </row>
    <row r="83" ht="15" customHeight="1">
      <c r="A83" t="inlineStr">
        <is>
          <t>A 32766-2022</t>
        </is>
      </c>
      <c r="B83" s="1" t="n">
        <v>44783</v>
      </c>
      <c r="C83" s="1" t="n">
        <v>45577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6.3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Stor aspticka</t>
        </is>
      </c>
      <c r="S83">
        <f>HYPERLINK("https://klasma.github.io/Logging_2281/artfynd/A 32766-2022 artfynd.xlsx", "A 32766-2022")</f>
        <v/>
      </c>
      <c r="T83">
        <f>HYPERLINK("https://klasma.github.io/Logging_2281/kartor/A 32766-2022 karta.png", "A 32766-2022")</f>
        <v/>
      </c>
      <c r="V83">
        <f>HYPERLINK("https://klasma.github.io/Logging_2281/klagomål/A 32766-2022 FSC-klagomål.docx", "A 32766-2022")</f>
        <v/>
      </c>
      <c r="W83">
        <f>HYPERLINK("https://klasma.github.io/Logging_2281/klagomålsmail/A 32766-2022 FSC-klagomål mail.docx", "A 32766-2022")</f>
        <v/>
      </c>
      <c r="X83">
        <f>HYPERLINK("https://klasma.github.io/Logging_2281/tillsyn/A 32766-2022 tillsynsbegäran.docx", "A 32766-2022")</f>
        <v/>
      </c>
      <c r="Y83">
        <f>HYPERLINK("https://klasma.github.io/Logging_2281/tillsynsmail/A 32766-2022 tillsynsbegäran mail.docx", "A 32766-2022")</f>
        <v/>
      </c>
    </row>
    <row r="84" ht="15" customHeight="1">
      <c r="A84" t="inlineStr">
        <is>
          <t>A 41814-2022</t>
        </is>
      </c>
      <c r="B84" s="1" t="n">
        <v>44827</v>
      </c>
      <c r="C84" s="1" t="n">
        <v>45577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41814-2022 artfynd.xlsx", "A 41814-2022")</f>
        <v/>
      </c>
      <c r="T84">
        <f>HYPERLINK("https://klasma.github.io/Logging_2281/kartor/A 41814-2022 karta.png", "A 41814-2022")</f>
        <v/>
      </c>
      <c r="V84">
        <f>HYPERLINK("https://klasma.github.io/Logging_2281/klagomål/A 41814-2022 FSC-klagomål.docx", "A 41814-2022")</f>
        <v/>
      </c>
      <c r="W84">
        <f>HYPERLINK("https://klasma.github.io/Logging_2281/klagomålsmail/A 41814-2022 FSC-klagomål mail.docx", "A 41814-2022")</f>
        <v/>
      </c>
      <c r="X84">
        <f>HYPERLINK("https://klasma.github.io/Logging_2281/tillsyn/A 41814-2022 tillsynsbegäran.docx", "A 41814-2022")</f>
        <v/>
      </c>
      <c r="Y84">
        <f>HYPERLINK("https://klasma.github.io/Logging_2281/tillsynsmail/A 41814-2022 tillsynsbegäran mail.docx", "A 41814-2022")</f>
        <v/>
      </c>
    </row>
    <row r="85" ht="15" customHeight="1">
      <c r="A85" t="inlineStr">
        <is>
          <t>A 46214-2022</t>
        </is>
      </c>
      <c r="B85" s="1" t="n">
        <v>44845</v>
      </c>
      <c r="C85" s="1" t="n">
        <v>45577</v>
      </c>
      <c r="D85" t="inlineStr">
        <is>
          <t>VÄSTERNORRLANDS LÄN</t>
        </is>
      </c>
      <c r="E85" t="inlineStr">
        <is>
          <t>SUNDSVALL</t>
        </is>
      </c>
      <c r="G85" t="n">
        <v>46.2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Orre
Tjäder</t>
        </is>
      </c>
      <c r="S85">
        <f>HYPERLINK("https://klasma.github.io/Logging_2281/artfynd/A 46214-2022 artfynd.xlsx", "A 46214-2022")</f>
        <v/>
      </c>
      <c r="T85">
        <f>HYPERLINK("https://klasma.github.io/Logging_2281/kartor/A 46214-2022 karta.png", "A 46214-2022")</f>
        <v/>
      </c>
      <c r="V85">
        <f>HYPERLINK("https://klasma.github.io/Logging_2281/klagomål/A 46214-2022 FSC-klagomål.docx", "A 46214-2022")</f>
        <v/>
      </c>
      <c r="W85">
        <f>HYPERLINK("https://klasma.github.io/Logging_2281/klagomålsmail/A 46214-2022 FSC-klagomål mail.docx", "A 46214-2022")</f>
        <v/>
      </c>
      <c r="X85">
        <f>HYPERLINK("https://klasma.github.io/Logging_2281/tillsyn/A 46214-2022 tillsynsbegäran.docx", "A 46214-2022")</f>
        <v/>
      </c>
      <c r="Y85">
        <f>HYPERLINK("https://klasma.github.io/Logging_2281/tillsynsmail/A 46214-2022 tillsynsbegäran mail.docx", "A 46214-2022")</f>
        <v/>
      </c>
      <c r="Z85">
        <f>HYPERLINK("https://klasma.github.io/Logging_2281/fåglar/A 46214-2022 prioriterade fågelarter.docx", "A 46214-2022")</f>
        <v/>
      </c>
    </row>
    <row r="86" ht="15" customHeight="1">
      <c r="A86" t="inlineStr">
        <is>
          <t>A 52350-2022</t>
        </is>
      </c>
      <c r="B86" s="1" t="n">
        <v>44873</v>
      </c>
      <c r="C86" s="1" t="n">
        <v>45577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HYPERLINK("https://klasma.github.io/Logging_2281/artfynd/A 52350-2022 artfynd.xlsx", "A 52350-2022")</f>
        <v/>
      </c>
      <c r="T86">
        <f>HYPERLINK("https://klasma.github.io/Logging_2281/kartor/A 52350-2022 karta.png", "A 52350-2022")</f>
        <v/>
      </c>
      <c r="V86">
        <f>HYPERLINK("https://klasma.github.io/Logging_2281/klagomål/A 52350-2022 FSC-klagomål.docx", "A 52350-2022")</f>
        <v/>
      </c>
      <c r="W86">
        <f>HYPERLINK("https://klasma.github.io/Logging_2281/klagomålsmail/A 52350-2022 FSC-klagomål mail.docx", "A 52350-2022")</f>
        <v/>
      </c>
      <c r="X86">
        <f>HYPERLINK("https://klasma.github.io/Logging_2281/tillsyn/A 52350-2022 tillsynsbegäran.docx", "A 52350-2022")</f>
        <v/>
      </c>
      <c r="Y86">
        <f>HYPERLINK("https://klasma.github.io/Logging_2281/tillsynsmail/A 52350-2022 tillsynsbegäran mail.docx", "A 52350-2022")</f>
        <v/>
      </c>
    </row>
    <row r="87" ht="15" customHeight="1">
      <c r="A87" t="inlineStr">
        <is>
          <t>A 52741-2022</t>
        </is>
      </c>
      <c r="B87" s="1" t="n">
        <v>44874</v>
      </c>
      <c r="C87" s="1" t="n">
        <v>45577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5.2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Videsparv
Skuggblåslav</t>
        </is>
      </c>
      <c r="S87">
        <f>HYPERLINK("https://klasma.github.io/Logging_2281/artfynd/A 52741-2022 artfynd.xlsx", "A 52741-2022")</f>
        <v/>
      </c>
      <c r="T87">
        <f>HYPERLINK("https://klasma.github.io/Logging_2281/kartor/A 52741-2022 karta.png", "A 52741-2022")</f>
        <v/>
      </c>
      <c r="V87">
        <f>HYPERLINK("https://klasma.github.io/Logging_2281/klagomål/A 52741-2022 FSC-klagomål.docx", "A 52741-2022")</f>
        <v/>
      </c>
      <c r="W87">
        <f>HYPERLINK("https://klasma.github.io/Logging_2281/klagomålsmail/A 52741-2022 FSC-klagomål mail.docx", "A 52741-2022")</f>
        <v/>
      </c>
      <c r="X87">
        <f>HYPERLINK("https://klasma.github.io/Logging_2281/tillsyn/A 52741-2022 tillsynsbegäran.docx", "A 52741-2022")</f>
        <v/>
      </c>
      <c r="Y87">
        <f>HYPERLINK("https://klasma.github.io/Logging_2281/tillsynsmail/A 52741-2022 tillsynsbegäran mail.docx", "A 52741-2022")</f>
        <v/>
      </c>
      <c r="Z87">
        <f>HYPERLINK("https://klasma.github.io/Logging_2281/fåglar/A 52741-2022 prioriterade fågelarter.docx", "A 52741-2022")</f>
        <v/>
      </c>
    </row>
    <row r="88" ht="15" customHeight="1">
      <c r="A88" t="inlineStr">
        <is>
          <t>A 53942-2022</t>
        </is>
      </c>
      <c r="B88" s="1" t="n">
        <v>44880</v>
      </c>
      <c r="C88" s="1" t="n">
        <v>45577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Vedticka</t>
        </is>
      </c>
      <c r="S88">
        <f>HYPERLINK("https://klasma.github.io/Logging_2281/artfynd/A 53942-2022 artfynd.xlsx", "A 53942-2022")</f>
        <v/>
      </c>
      <c r="T88">
        <f>HYPERLINK("https://klasma.github.io/Logging_2281/kartor/A 53942-2022 karta.png", "A 53942-2022")</f>
        <v/>
      </c>
      <c r="V88">
        <f>HYPERLINK("https://klasma.github.io/Logging_2281/klagomål/A 53942-2022 FSC-klagomål.docx", "A 53942-2022")</f>
        <v/>
      </c>
      <c r="W88">
        <f>HYPERLINK("https://klasma.github.io/Logging_2281/klagomålsmail/A 53942-2022 FSC-klagomål mail.docx", "A 53942-2022")</f>
        <v/>
      </c>
      <c r="X88">
        <f>HYPERLINK("https://klasma.github.io/Logging_2281/tillsyn/A 53942-2022 tillsynsbegäran.docx", "A 53942-2022")</f>
        <v/>
      </c>
      <c r="Y88">
        <f>HYPERLINK("https://klasma.github.io/Logging_2281/tillsynsmail/A 53942-2022 tillsynsbegäran mail.docx", "A 53942-2022")</f>
        <v/>
      </c>
    </row>
    <row r="89" ht="15" customHeight="1">
      <c r="A89" t="inlineStr">
        <is>
          <t>A 58191-2022</t>
        </is>
      </c>
      <c r="B89" s="1" t="n">
        <v>44900</v>
      </c>
      <c r="C89" s="1" t="n">
        <v>45577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Vedticka</t>
        </is>
      </c>
      <c r="S89">
        <f>HYPERLINK("https://klasma.github.io/Logging_2281/artfynd/A 58191-2022 artfynd.xlsx", "A 58191-2022")</f>
        <v/>
      </c>
      <c r="T89">
        <f>HYPERLINK("https://klasma.github.io/Logging_2281/kartor/A 58191-2022 karta.png", "A 58191-2022")</f>
        <v/>
      </c>
      <c r="U89">
        <f>HYPERLINK("https://klasma.github.io/Logging_2281/knärot/A 58191-2022 karta knärot.png", "A 58191-2022")</f>
        <v/>
      </c>
      <c r="V89">
        <f>HYPERLINK("https://klasma.github.io/Logging_2281/klagomål/A 58191-2022 FSC-klagomål.docx", "A 58191-2022")</f>
        <v/>
      </c>
      <c r="W89">
        <f>HYPERLINK("https://klasma.github.io/Logging_2281/klagomålsmail/A 58191-2022 FSC-klagomål mail.docx", "A 58191-2022")</f>
        <v/>
      </c>
      <c r="X89">
        <f>HYPERLINK("https://klasma.github.io/Logging_2281/tillsyn/A 58191-2022 tillsynsbegäran.docx", "A 58191-2022")</f>
        <v/>
      </c>
      <c r="Y89">
        <f>HYPERLINK("https://klasma.github.io/Logging_2281/tillsynsmail/A 58191-2022 tillsynsbegäran mail.docx", "A 58191-2022")</f>
        <v/>
      </c>
    </row>
    <row r="90" ht="15" customHeight="1">
      <c r="A90" t="inlineStr">
        <is>
          <t>A 18998-2023</t>
        </is>
      </c>
      <c r="B90" s="1" t="n">
        <v>45044</v>
      </c>
      <c r="C90" s="1" t="n">
        <v>45577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17.7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HYPERLINK("https://klasma.github.io/Logging_2281/artfynd/A 18998-2023 artfynd.xlsx", "A 18998-2023")</f>
        <v/>
      </c>
      <c r="T90">
        <f>HYPERLINK("https://klasma.github.io/Logging_2281/kartor/A 18998-2023 karta.png", "A 18998-2023")</f>
        <v/>
      </c>
      <c r="U90">
        <f>HYPERLINK("https://klasma.github.io/Logging_2281/knärot/A 18998-2023 karta knärot.png", "A 18998-2023")</f>
        <v/>
      </c>
      <c r="V90">
        <f>HYPERLINK("https://klasma.github.io/Logging_2281/klagomål/A 18998-2023 FSC-klagomål.docx", "A 18998-2023")</f>
        <v/>
      </c>
      <c r="W90">
        <f>HYPERLINK("https://klasma.github.io/Logging_2281/klagomålsmail/A 18998-2023 FSC-klagomål mail.docx", "A 18998-2023")</f>
        <v/>
      </c>
      <c r="X90">
        <f>HYPERLINK("https://klasma.github.io/Logging_2281/tillsyn/A 18998-2023 tillsynsbegäran.docx", "A 18998-2023")</f>
        <v/>
      </c>
      <c r="Y90">
        <f>HYPERLINK("https://klasma.github.io/Logging_2281/tillsynsmail/A 18998-2023 tillsynsbegäran mail.docx", "A 18998-2023")</f>
        <v/>
      </c>
    </row>
    <row r="91" ht="15" customHeight="1">
      <c r="A91" t="inlineStr">
        <is>
          <t>A 18991-2023</t>
        </is>
      </c>
      <c r="B91" s="1" t="n">
        <v>45044</v>
      </c>
      <c r="C91" s="1" t="n">
        <v>45577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10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Ullticka
Vedticka</t>
        </is>
      </c>
      <c r="S91">
        <f>HYPERLINK("https://klasma.github.io/Logging_2281/artfynd/A 18991-2023 artfynd.xlsx", "A 18991-2023")</f>
        <v/>
      </c>
      <c r="T91">
        <f>HYPERLINK("https://klasma.github.io/Logging_2281/kartor/A 18991-2023 karta.png", "A 18991-2023")</f>
        <v/>
      </c>
      <c r="V91">
        <f>HYPERLINK("https://klasma.github.io/Logging_2281/klagomål/A 18991-2023 FSC-klagomål.docx", "A 18991-2023")</f>
        <v/>
      </c>
      <c r="W91">
        <f>HYPERLINK("https://klasma.github.io/Logging_2281/klagomålsmail/A 18991-2023 FSC-klagomål mail.docx", "A 18991-2023")</f>
        <v/>
      </c>
      <c r="X91">
        <f>HYPERLINK("https://klasma.github.io/Logging_2281/tillsyn/A 18991-2023 tillsynsbegäran.docx", "A 18991-2023")</f>
        <v/>
      </c>
      <c r="Y91">
        <f>HYPERLINK("https://klasma.github.io/Logging_2281/tillsynsmail/A 18991-2023 tillsynsbegäran mail.docx", "A 18991-2023")</f>
        <v/>
      </c>
    </row>
    <row r="92" ht="15" customHeight="1">
      <c r="A92" t="inlineStr">
        <is>
          <t>A 20888-2023</t>
        </is>
      </c>
      <c r="B92" s="1" t="n">
        <v>45058</v>
      </c>
      <c r="C92" s="1" t="n">
        <v>45577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Småflikig brosklav
Skinnlav</t>
        </is>
      </c>
      <c r="S92">
        <f>HYPERLINK("https://klasma.github.io/Logging_2281/artfynd/A 20888-2023 artfynd.xlsx", "A 20888-2023")</f>
        <v/>
      </c>
      <c r="T92">
        <f>HYPERLINK("https://klasma.github.io/Logging_2281/kartor/A 20888-2023 karta.png", "A 20888-2023")</f>
        <v/>
      </c>
      <c r="V92">
        <f>HYPERLINK("https://klasma.github.io/Logging_2281/klagomål/A 20888-2023 FSC-klagomål.docx", "A 20888-2023")</f>
        <v/>
      </c>
      <c r="W92">
        <f>HYPERLINK("https://klasma.github.io/Logging_2281/klagomålsmail/A 20888-2023 FSC-klagomål mail.docx", "A 20888-2023")</f>
        <v/>
      </c>
      <c r="X92">
        <f>HYPERLINK("https://klasma.github.io/Logging_2281/tillsyn/A 20888-2023 tillsynsbegäran.docx", "A 20888-2023")</f>
        <v/>
      </c>
      <c r="Y92">
        <f>HYPERLINK("https://klasma.github.io/Logging_2281/tillsynsmail/A 20888-2023 tillsynsbegäran mail.docx", "A 20888-2023")</f>
        <v/>
      </c>
    </row>
    <row r="93" ht="15" customHeight="1">
      <c r="A93" t="inlineStr">
        <is>
          <t>A 27385-2023</t>
        </is>
      </c>
      <c r="B93" s="1" t="n">
        <v>45096</v>
      </c>
      <c r="C93" s="1" t="n">
        <v>45577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11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27385-2023 artfynd.xlsx", "A 27385-2023")</f>
        <v/>
      </c>
      <c r="T93">
        <f>HYPERLINK("https://klasma.github.io/Logging_2281/kartor/A 27385-2023 karta.png", "A 27385-2023")</f>
        <v/>
      </c>
      <c r="V93">
        <f>HYPERLINK("https://klasma.github.io/Logging_2281/klagomål/A 27385-2023 FSC-klagomål.docx", "A 27385-2023")</f>
        <v/>
      </c>
      <c r="W93">
        <f>HYPERLINK("https://klasma.github.io/Logging_2281/klagomålsmail/A 27385-2023 FSC-klagomål mail.docx", "A 27385-2023")</f>
        <v/>
      </c>
      <c r="X93">
        <f>HYPERLINK("https://klasma.github.io/Logging_2281/tillsyn/A 27385-2023 tillsynsbegäran.docx", "A 27385-2023")</f>
        <v/>
      </c>
      <c r="Y93">
        <f>HYPERLINK("https://klasma.github.io/Logging_2281/tillsynsmail/A 27385-2023 tillsynsbegäran mail.docx", "A 27385-2023")</f>
        <v/>
      </c>
    </row>
    <row r="94" ht="15" customHeight="1">
      <c r="A94" t="inlineStr">
        <is>
          <t>A 27380-2023</t>
        </is>
      </c>
      <c r="B94" s="1" t="n">
        <v>45096</v>
      </c>
      <c r="C94" s="1" t="n">
        <v>45577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6.2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Gränsticka</t>
        </is>
      </c>
      <c r="S94">
        <f>HYPERLINK("https://klasma.github.io/Logging_2281/artfynd/A 27380-2023 artfynd.xlsx", "A 27380-2023")</f>
        <v/>
      </c>
      <c r="T94">
        <f>HYPERLINK("https://klasma.github.io/Logging_2281/kartor/A 27380-2023 karta.png", "A 27380-2023")</f>
        <v/>
      </c>
      <c r="V94">
        <f>HYPERLINK("https://klasma.github.io/Logging_2281/klagomål/A 27380-2023 FSC-klagomål.docx", "A 27380-2023")</f>
        <v/>
      </c>
      <c r="W94">
        <f>HYPERLINK("https://klasma.github.io/Logging_2281/klagomålsmail/A 27380-2023 FSC-klagomål mail.docx", "A 27380-2023")</f>
        <v/>
      </c>
      <c r="X94">
        <f>HYPERLINK("https://klasma.github.io/Logging_2281/tillsyn/A 27380-2023 tillsynsbegäran.docx", "A 27380-2023")</f>
        <v/>
      </c>
      <c r="Y94">
        <f>HYPERLINK("https://klasma.github.io/Logging_2281/tillsynsmail/A 27380-2023 tillsynsbegäran mail.docx", "A 27380-2023")</f>
        <v/>
      </c>
    </row>
    <row r="95" ht="15" customHeight="1">
      <c r="A95" t="inlineStr">
        <is>
          <t>A 28010-2023</t>
        </is>
      </c>
      <c r="B95" s="1" t="n">
        <v>45098</v>
      </c>
      <c r="C95" s="1" t="n">
        <v>45577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Revlummer</t>
        </is>
      </c>
      <c r="S95">
        <f>HYPERLINK("https://klasma.github.io/Logging_2281/artfynd/A 28010-2023 artfynd.xlsx", "A 28010-2023")</f>
        <v/>
      </c>
      <c r="T95">
        <f>HYPERLINK("https://klasma.github.io/Logging_2281/kartor/A 28010-2023 karta.png", "A 28010-2023")</f>
        <v/>
      </c>
      <c r="V95">
        <f>HYPERLINK("https://klasma.github.io/Logging_2281/klagomål/A 28010-2023 FSC-klagomål.docx", "A 28010-2023")</f>
        <v/>
      </c>
      <c r="W95">
        <f>HYPERLINK("https://klasma.github.io/Logging_2281/klagomålsmail/A 28010-2023 FSC-klagomål mail.docx", "A 28010-2023")</f>
        <v/>
      </c>
      <c r="X95">
        <f>HYPERLINK("https://klasma.github.io/Logging_2281/tillsyn/A 28010-2023 tillsynsbegäran.docx", "A 28010-2023")</f>
        <v/>
      </c>
      <c r="Y95">
        <f>HYPERLINK("https://klasma.github.io/Logging_2281/tillsynsmail/A 28010-2023 tillsynsbegäran mail.docx", "A 28010-2023")</f>
        <v/>
      </c>
    </row>
    <row r="96" ht="15" customHeight="1">
      <c r="A96" t="inlineStr">
        <is>
          <t>A 37481-2023</t>
        </is>
      </c>
      <c r="B96" s="1" t="n">
        <v>45157</v>
      </c>
      <c r="C96" s="1" t="n">
        <v>45577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Kandelabersvamp</t>
        </is>
      </c>
      <c r="S96">
        <f>HYPERLINK("https://klasma.github.io/Logging_2281/artfynd/A 37481-2023 artfynd.xlsx", "A 37481-2023")</f>
        <v/>
      </c>
      <c r="T96">
        <f>HYPERLINK("https://klasma.github.io/Logging_2281/kartor/A 37481-2023 karta.png", "A 37481-2023")</f>
        <v/>
      </c>
      <c r="V96">
        <f>HYPERLINK("https://klasma.github.io/Logging_2281/klagomål/A 37481-2023 FSC-klagomål.docx", "A 37481-2023")</f>
        <v/>
      </c>
      <c r="W96">
        <f>HYPERLINK("https://klasma.github.io/Logging_2281/klagomålsmail/A 37481-2023 FSC-klagomål mail.docx", "A 37481-2023")</f>
        <v/>
      </c>
      <c r="X96">
        <f>HYPERLINK("https://klasma.github.io/Logging_2281/tillsyn/A 37481-2023 tillsynsbegäran.docx", "A 37481-2023")</f>
        <v/>
      </c>
      <c r="Y96">
        <f>HYPERLINK("https://klasma.github.io/Logging_2281/tillsynsmail/A 37481-2023 tillsynsbegäran mail.docx", "A 37481-2023")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45577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45577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45577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45577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45577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45577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45577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45577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45577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45577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45577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45577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45577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45577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45577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45577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45577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45577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45577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45577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45577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45577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45577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45577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45577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45577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45577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45577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45577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45577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45577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45577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45577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45577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45577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45577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45577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45577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45577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45577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45577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45577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45577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45577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45577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45577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45577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45577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45577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45577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45577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45577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45577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45577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45577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45577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45577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45577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45577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45577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45577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45577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45577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45577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45577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45577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45577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45577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45577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45577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45577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45577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45577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18070-2019</t>
        </is>
      </c>
      <c r="B170" s="1" t="n">
        <v>43557</v>
      </c>
      <c r="C170" s="1" t="n">
        <v>45577</v>
      </c>
      <c r="D170" t="inlineStr">
        <is>
          <t>VÄSTERNORRLANDS LÄN</t>
        </is>
      </c>
      <c r="E170" t="inlineStr">
        <is>
          <t>SUNDSVALL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18198-2019</t>
        </is>
      </c>
      <c r="B171" s="1" t="n">
        <v>43558</v>
      </c>
      <c r="C171" s="1" t="n">
        <v>45577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18745-2019</t>
        </is>
      </c>
      <c r="B172" s="1" t="n">
        <v>43560</v>
      </c>
      <c r="C172" s="1" t="n">
        <v>45577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19544-2019</t>
        </is>
      </c>
      <c r="B173" s="1" t="n">
        <v>43565</v>
      </c>
      <c r="C173" s="1" t="n">
        <v>45577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19551-2019</t>
        </is>
      </c>
      <c r="B174" s="1" t="n">
        <v>43565</v>
      </c>
      <c r="C174" s="1" t="n">
        <v>45577</v>
      </c>
      <c r="D174" t="inlineStr">
        <is>
          <t>VÄSTERNORRLANDS LÄN</t>
        </is>
      </c>
      <c r="E174" t="inlineStr">
        <is>
          <t>SUNDSVALL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19547-2019</t>
        </is>
      </c>
      <c r="B175" s="1" t="n">
        <v>43565</v>
      </c>
      <c r="C175" s="1" t="n">
        <v>45577</v>
      </c>
      <c r="D175" t="inlineStr">
        <is>
          <t>VÄSTERNORRLANDS LÄN</t>
        </is>
      </c>
      <c r="E175" t="inlineStr">
        <is>
          <t>SUNDSVALL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19545-2019</t>
        </is>
      </c>
      <c r="B176" s="1" t="n">
        <v>43565</v>
      </c>
      <c r="C176" s="1" t="n">
        <v>45577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19548-2019</t>
        </is>
      </c>
      <c r="B177" s="1" t="n">
        <v>43565</v>
      </c>
      <c r="C177" s="1" t="n">
        <v>45577</v>
      </c>
      <c r="D177" t="inlineStr">
        <is>
          <t>VÄSTERNORRLANDS LÄN</t>
        </is>
      </c>
      <c r="E177" t="inlineStr">
        <is>
          <t>SUNDSVALL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20563-2019</t>
        </is>
      </c>
      <c r="B178" s="1" t="n">
        <v>43572</v>
      </c>
      <c r="C178" s="1" t="n">
        <v>45577</v>
      </c>
      <c r="D178" t="inlineStr">
        <is>
          <t>VÄSTERNORRLANDS LÄN</t>
        </is>
      </c>
      <c r="E178" t="inlineStr">
        <is>
          <t>SUNDSVALL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20651-2019</t>
        </is>
      </c>
      <c r="B179" s="1" t="n">
        <v>43572</v>
      </c>
      <c r="C179" s="1" t="n">
        <v>45577</v>
      </c>
      <c r="D179" t="inlineStr">
        <is>
          <t>VÄSTERNORRLANDS LÄN</t>
        </is>
      </c>
      <c r="E179" t="inlineStr">
        <is>
          <t>SUNDSVALL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21698-2019</t>
        </is>
      </c>
      <c r="B180" s="1" t="n">
        <v>43581</v>
      </c>
      <c r="C180" s="1" t="n">
        <v>45577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22089-2019</t>
        </is>
      </c>
      <c r="B181" s="1" t="n">
        <v>43584</v>
      </c>
      <c r="C181" s="1" t="n">
        <v>45577</v>
      </c>
      <c r="D181" t="inlineStr">
        <is>
          <t>VÄSTERNORRLANDS LÄN</t>
        </is>
      </c>
      <c r="E181" t="inlineStr">
        <is>
          <t>SUNDSVALL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22603-2019</t>
        </is>
      </c>
      <c r="B182" s="1" t="n">
        <v>43588</v>
      </c>
      <c r="C182" s="1" t="n">
        <v>45577</v>
      </c>
      <c r="D182" t="inlineStr">
        <is>
          <t>VÄSTERNORRLANDS LÄN</t>
        </is>
      </c>
      <c r="E182" t="inlineStr">
        <is>
          <t>SUNDSVALL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22782-2019</t>
        </is>
      </c>
      <c r="B183" s="1" t="n">
        <v>43589</v>
      </c>
      <c r="C183" s="1" t="n">
        <v>45577</v>
      </c>
      <c r="D183" t="inlineStr">
        <is>
          <t>VÄSTERNORRLANDS LÄN</t>
        </is>
      </c>
      <c r="E183" t="inlineStr">
        <is>
          <t>SUNDSVALL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23077-2019</t>
        </is>
      </c>
      <c r="B184" s="1" t="n">
        <v>43591</v>
      </c>
      <c r="C184" s="1" t="n">
        <v>45577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23073-2019</t>
        </is>
      </c>
      <c r="B185" s="1" t="n">
        <v>43591</v>
      </c>
      <c r="C185" s="1" t="n">
        <v>45577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23078-2019</t>
        </is>
      </c>
      <c r="B186" s="1" t="n">
        <v>43591</v>
      </c>
      <c r="C186" s="1" t="n">
        <v>45577</v>
      </c>
      <c r="D186" t="inlineStr">
        <is>
          <t>VÄSTERNORRLANDS LÄN</t>
        </is>
      </c>
      <c r="E186" t="inlineStr">
        <is>
          <t>SUNDSVALL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23455-2019</t>
        </is>
      </c>
      <c r="B187" s="1" t="n">
        <v>43593</v>
      </c>
      <c r="C187" s="1" t="n">
        <v>45577</v>
      </c>
      <c r="D187" t="inlineStr">
        <is>
          <t>VÄSTERNORRLANDS LÄN</t>
        </is>
      </c>
      <c r="E187" t="inlineStr">
        <is>
          <t>SUNDSVALL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23790-2019</t>
        </is>
      </c>
      <c r="B188" s="1" t="n">
        <v>43595</v>
      </c>
      <c r="C188" s="1" t="n">
        <v>45577</v>
      </c>
      <c r="D188" t="inlineStr">
        <is>
          <t>VÄSTERNORRLANDS LÄN</t>
        </is>
      </c>
      <c r="E188" t="inlineStr">
        <is>
          <t>SUNDSVALL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23929-2019</t>
        </is>
      </c>
      <c r="B189" s="1" t="n">
        <v>43595</v>
      </c>
      <c r="C189" s="1" t="n">
        <v>45577</v>
      </c>
      <c r="D189" t="inlineStr">
        <is>
          <t>VÄSTERNORRLANDS LÄN</t>
        </is>
      </c>
      <c r="E189" t="inlineStr">
        <is>
          <t>SUNDSVALL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23931-2019</t>
        </is>
      </c>
      <c r="B190" s="1" t="n">
        <v>43595</v>
      </c>
      <c r="C190" s="1" t="n">
        <v>45577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24271-2019</t>
        </is>
      </c>
      <c r="B191" s="1" t="n">
        <v>43599</v>
      </c>
      <c r="C191" s="1" t="n">
        <v>45577</v>
      </c>
      <c r="D191" t="inlineStr">
        <is>
          <t>VÄSTERNORRLANDS LÄN</t>
        </is>
      </c>
      <c r="E191" t="inlineStr">
        <is>
          <t>SUNDSVALL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24583-2019</t>
        </is>
      </c>
      <c r="B192" s="1" t="n">
        <v>43600</v>
      </c>
      <c r="C192" s="1" t="n">
        <v>45577</v>
      </c>
      <c r="D192" t="inlineStr">
        <is>
          <t>VÄSTERNORRLANDS LÄN</t>
        </is>
      </c>
      <c r="E192" t="inlineStr">
        <is>
          <t>SUNDSVALL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24585-2019</t>
        </is>
      </c>
      <c r="B193" s="1" t="n">
        <v>43600</v>
      </c>
      <c r="C193" s="1" t="n">
        <v>45577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24783-2019</t>
        </is>
      </c>
      <c r="B194" s="1" t="n">
        <v>43601</v>
      </c>
      <c r="C194" s="1" t="n">
        <v>45577</v>
      </c>
      <c r="D194" t="inlineStr">
        <is>
          <t>VÄSTERNORRLANDS LÄN</t>
        </is>
      </c>
      <c r="E194" t="inlineStr">
        <is>
          <t>SUNDSVALL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24771-2019</t>
        </is>
      </c>
      <c r="B195" s="1" t="n">
        <v>43601</v>
      </c>
      <c r="C195" s="1" t="n">
        <v>45577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24848-2019</t>
        </is>
      </c>
      <c r="B196" s="1" t="n">
        <v>43602</v>
      </c>
      <c r="C196" s="1" t="n">
        <v>45577</v>
      </c>
      <c r="D196" t="inlineStr">
        <is>
          <t>VÄSTERNORRLANDS LÄN</t>
        </is>
      </c>
      <c r="E196" t="inlineStr">
        <is>
          <t>SUNDSVALL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25044-2019</t>
        </is>
      </c>
      <c r="B197" s="1" t="n">
        <v>43603</v>
      </c>
      <c r="C197" s="1" t="n">
        <v>45577</v>
      </c>
      <c r="D197" t="inlineStr">
        <is>
          <t>VÄSTERNORRLANDS LÄN</t>
        </is>
      </c>
      <c r="E197" t="inlineStr">
        <is>
          <t>SUNDSVALL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25712-2019</t>
        </is>
      </c>
      <c r="B198" s="1" t="n">
        <v>43607</v>
      </c>
      <c r="C198" s="1" t="n">
        <v>45577</v>
      </c>
      <c r="D198" t="inlineStr">
        <is>
          <t>VÄSTERNORRLANDS LÄN</t>
        </is>
      </c>
      <c r="E198" t="inlineStr">
        <is>
          <t>SUNDSVALL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25962-2019</t>
        </is>
      </c>
      <c r="B199" s="1" t="n">
        <v>43608</v>
      </c>
      <c r="C199" s="1" t="n">
        <v>45577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26014-2019</t>
        </is>
      </c>
      <c r="B200" s="1" t="n">
        <v>43608</v>
      </c>
      <c r="C200" s="1" t="n">
        <v>45577</v>
      </c>
      <c r="D200" t="inlineStr">
        <is>
          <t>VÄSTERNORRLANDS LÄN</t>
        </is>
      </c>
      <c r="E200" t="inlineStr">
        <is>
          <t>SUNDSVALL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27032-2019</t>
        </is>
      </c>
      <c r="B201" s="1" t="n">
        <v>43609</v>
      </c>
      <c r="C201" s="1" t="n">
        <v>45577</v>
      </c>
      <c r="D201" t="inlineStr">
        <is>
          <t>VÄSTERNORRLANDS LÄN</t>
        </is>
      </c>
      <c r="E201" t="inlineStr">
        <is>
          <t>SUNDSVALL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28066-2019</t>
        </is>
      </c>
      <c r="B202" s="1" t="n">
        <v>43613</v>
      </c>
      <c r="C202" s="1" t="n">
        <v>45577</v>
      </c>
      <c r="D202" t="inlineStr">
        <is>
          <t>VÄSTERNORRLANDS LÄN</t>
        </is>
      </c>
      <c r="E202" t="inlineStr">
        <is>
          <t>SUNDSVALL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27419-2019</t>
        </is>
      </c>
      <c r="B203" s="1" t="n">
        <v>43616</v>
      </c>
      <c r="C203" s="1" t="n">
        <v>45577</v>
      </c>
      <c r="D203" t="inlineStr">
        <is>
          <t>VÄSTERNORRLANDS LÄN</t>
        </is>
      </c>
      <c r="E203" t="inlineStr">
        <is>
          <t>SUNDSVALL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27775-2019</t>
        </is>
      </c>
      <c r="B204" s="1" t="n">
        <v>43619</v>
      </c>
      <c r="C204" s="1" t="n">
        <v>45577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27981-2019</t>
        </is>
      </c>
      <c r="B205" s="1" t="n">
        <v>43620</v>
      </c>
      <c r="C205" s="1" t="n">
        <v>45577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27983-2019</t>
        </is>
      </c>
      <c r="B206" s="1" t="n">
        <v>43620</v>
      </c>
      <c r="C206" s="1" t="n">
        <v>45577</v>
      </c>
      <c r="D206" t="inlineStr">
        <is>
          <t>VÄSTERNORRLANDS LÄN</t>
        </is>
      </c>
      <c r="E206" t="inlineStr">
        <is>
          <t>SUNDSVALL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27982-2019</t>
        </is>
      </c>
      <c r="B207" s="1" t="n">
        <v>43620</v>
      </c>
      <c r="C207" s="1" t="n">
        <v>45577</v>
      </c>
      <c r="D207" t="inlineStr">
        <is>
          <t>VÄSTERNORRLANDS LÄN</t>
        </is>
      </c>
      <c r="E207" t="inlineStr">
        <is>
          <t>SUNDSVALL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27986-2019</t>
        </is>
      </c>
      <c r="B208" s="1" t="n">
        <v>43620</v>
      </c>
      <c r="C208" s="1" t="n">
        <v>45577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29168-2019</t>
        </is>
      </c>
      <c r="B209" s="1" t="n">
        <v>43628</v>
      </c>
      <c r="C209" s="1" t="n">
        <v>45577</v>
      </c>
      <c r="D209" t="inlineStr">
        <is>
          <t>VÄSTERNORRLANDS LÄN</t>
        </is>
      </c>
      <c r="E209" t="inlineStr">
        <is>
          <t>SUNDSVALL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29978-2019</t>
        </is>
      </c>
      <c r="B210" s="1" t="n">
        <v>43630</v>
      </c>
      <c r="C210" s="1" t="n">
        <v>45577</v>
      </c>
      <c r="D210" t="inlineStr">
        <is>
          <t>VÄSTERNORRLANDS LÄN</t>
        </is>
      </c>
      <c r="E210" t="inlineStr">
        <is>
          <t>SUNDSVALL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29985-2019</t>
        </is>
      </c>
      <c r="B211" s="1" t="n">
        <v>43630</v>
      </c>
      <c r="C211" s="1" t="n">
        <v>45577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29813-2019</t>
        </is>
      </c>
      <c r="B212" s="1" t="n">
        <v>43633</v>
      </c>
      <c r="C212" s="1" t="n">
        <v>45577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30253-2019</t>
        </is>
      </c>
      <c r="B213" s="1" t="n">
        <v>43634</v>
      </c>
      <c r="C213" s="1" t="n">
        <v>45577</v>
      </c>
      <c r="D213" t="inlineStr">
        <is>
          <t>VÄSTERNORRLANDS LÄN</t>
        </is>
      </c>
      <c r="E213" t="inlineStr">
        <is>
          <t>SUNDSVALL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30608-2019</t>
        </is>
      </c>
      <c r="B214" s="1" t="n">
        <v>43635</v>
      </c>
      <c r="C214" s="1" t="n">
        <v>45577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31064-2019</t>
        </is>
      </c>
      <c r="B215" s="1" t="n">
        <v>43636</v>
      </c>
      <c r="C215" s="1" t="n">
        <v>45577</v>
      </c>
      <c r="D215" t="inlineStr">
        <is>
          <t>VÄSTERNORRLANDS LÄN</t>
        </is>
      </c>
      <c r="E215" t="inlineStr">
        <is>
          <t>SUNDSVALL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31285-2019</t>
        </is>
      </c>
      <c r="B216" s="1" t="n">
        <v>43640</v>
      </c>
      <c r="C216" s="1" t="n">
        <v>45577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31578-2019</t>
        </is>
      </c>
      <c r="B217" s="1" t="n">
        <v>43641</v>
      </c>
      <c r="C217" s="1" t="n">
        <v>45577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31572-2019</t>
        </is>
      </c>
      <c r="B218" s="1" t="n">
        <v>43641</v>
      </c>
      <c r="C218" s="1" t="n">
        <v>45577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32207-2019</t>
        </is>
      </c>
      <c r="B219" s="1" t="n">
        <v>43643</v>
      </c>
      <c r="C219" s="1" t="n">
        <v>45577</v>
      </c>
      <c r="D219" t="inlineStr">
        <is>
          <t>VÄSTERNORRLANDS LÄN</t>
        </is>
      </c>
      <c r="E219" t="inlineStr">
        <is>
          <t>SUNDSVALL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32259-2019</t>
        </is>
      </c>
      <c r="B220" s="1" t="n">
        <v>43644</v>
      </c>
      <c r="C220" s="1" t="n">
        <v>45577</v>
      </c>
      <c r="D220" t="inlineStr">
        <is>
          <t>VÄSTERNORRLANDS LÄN</t>
        </is>
      </c>
      <c r="E220" t="inlineStr">
        <is>
          <t>SUNDSVALL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32268-2019</t>
        </is>
      </c>
      <c r="B221" s="1" t="n">
        <v>43644</v>
      </c>
      <c r="C221" s="1" t="n">
        <v>45577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34006-2019</t>
        </is>
      </c>
      <c r="B222" s="1" t="n">
        <v>43647</v>
      </c>
      <c r="C222" s="1" t="n">
        <v>45577</v>
      </c>
      <c r="D222" t="inlineStr">
        <is>
          <t>VÄSTERNORRLANDS LÄN</t>
        </is>
      </c>
      <c r="E222" t="inlineStr">
        <is>
          <t>SUNDSVALL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33993-2019</t>
        </is>
      </c>
      <c r="B223" s="1" t="n">
        <v>43647</v>
      </c>
      <c r="C223" s="1" t="n">
        <v>45577</v>
      </c>
      <c r="D223" t="inlineStr">
        <is>
          <t>VÄSTERNORRLANDS LÄN</t>
        </is>
      </c>
      <c r="E223" t="inlineStr">
        <is>
          <t>SUNDSVALL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33486-2019</t>
        </is>
      </c>
      <c r="B224" s="1" t="n">
        <v>43650</v>
      </c>
      <c r="C224" s="1" t="n">
        <v>45577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34136-2019</t>
        </is>
      </c>
      <c r="B225" s="1" t="n">
        <v>43654</v>
      </c>
      <c r="C225" s="1" t="n">
        <v>45577</v>
      </c>
      <c r="D225" t="inlineStr">
        <is>
          <t>VÄSTERNORRLANDS LÄN</t>
        </is>
      </c>
      <c r="E225" t="inlineStr">
        <is>
          <t>SUNDSVALL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36074-2019</t>
        </is>
      </c>
      <c r="B226" s="1" t="n">
        <v>43657</v>
      </c>
      <c r="C226" s="1" t="n">
        <v>45577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36077-2019</t>
        </is>
      </c>
      <c r="B227" s="1" t="n">
        <v>43657</v>
      </c>
      <c r="C227" s="1" t="n">
        <v>45577</v>
      </c>
      <c r="D227" t="inlineStr">
        <is>
          <t>VÄSTERNORRLANDS LÄN</t>
        </is>
      </c>
      <c r="E227" t="inlineStr">
        <is>
          <t>SUNDSVALL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35171-2019</t>
        </is>
      </c>
      <c r="B228" s="1" t="n">
        <v>43661</v>
      </c>
      <c r="C228" s="1" t="n">
        <v>45577</v>
      </c>
      <c r="D228" t="inlineStr">
        <is>
          <t>VÄSTERNORRLANDS LÄN</t>
        </is>
      </c>
      <c r="E228" t="inlineStr">
        <is>
          <t>SUNDSVALL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35170-2019</t>
        </is>
      </c>
      <c r="B229" s="1" t="n">
        <v>43661</v>
      </c>
      <c r="C229" s="1" t="n">
        <v>45577</v>
      </c>
      <c r="D229" t="inlineStr">
        <is>
          <t>VÄSTERNORRLANDS LÄN</t>
        </is>
      </c>
      <c r="E229" t="inlineStr">
        <is>
          <t>SUNDSVALL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35966-2019</t>
        </is>
      </c>
      <c r="B230" s="1" t="n">
        <v>43665</v>
      </c>
      <c r="C230" s="1" t="n">
        <v>45577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36026-2019</t>
        </is>
      </c>
      <c r="B231" s="1" t="n">
        <v>43668</v>
      </c>
      <c r="C231" s="1" t="n">
        <v>45577</v>
      </c>
      <c r="D231" t="inlineStr">
        <is>
          <t>VÄSTERNORRLANDS LÄN</t>
        </is>
      </c>
      <c r="E231" t="inlineStr">
        <is>
          <t>SUNDSVALL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37069-2019</t>
        </is>
      </c>
      <c r="B232" s="1" t="n">
        <v>43676</v>
      </c>
      <c r="C232" s="1" t="n">
        <v>45577</v>
      </c>
      <c r="D232" t="inlineStr">
        <is>
          <t>VÄSTERNORRLANDS LÄN</t>
        </is>
      </c>
      <c r="E232" t="inlineStr">
        <is>
          <t>SUNDSVALL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37378-2019</t>
        </is>
      </c>
      <c r="B233" s="1" t="n">
        <v>43678</v>
      </c>
      <c r="C233" s="1" t="n">
        <v>45577</v>
      </c>
      <c r="D233" t="inlineStr">
        <is>
          <t>VÄSTERNORRLANDS LÄN</t>
        </is>
      </c>
      <c r="E233" t="inlineStr">
        <is>
          <t>SUNDSVALL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37891-2019</t>
        </is>
      </c>
      <c r="B234" s="1" t="n">
        <v>43682</v>
      </c>
      <c r="C234" s="1" t="n">
        <v>45577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37907-2019</t>
        </is>
      </c>
      <c r="B235" s="1" t="n">
        <v>43683</v>
      </c>
      <c r="C235" s="1" t="n">
        <v>45577</v>
      </c>
      <c r="D235" t="inlineStr">
        <is>
          <t>VÄSTERNORRLANDS LÄN</t>
        </is>
      </c>
      <c r="E235" t="inlineStr">
        <is>
          <t>SUNDSVALL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38290-2019</t>
        </is>
      </c>
      <c r="B236" s="1" t="n">
        <v>43684</v>
      </c>
      <c r="C236" s="1" t="n">
        <v>45577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40526-2019</t>
        </is>
      </c>
      <c r="B237" s="1" t="n">
        <v>43696</v>
      </c>
      <c r="C237" s="1" t="n">
        <v>45577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40549-2019</t>
        </is>
      </c>
      <c r="B238" s="1" t="n">
        <v>43696</v>
      </c>
      <c r="C238" s="1" t="n">
        <v>45577</v>
      </c>
      <c r="D238" t="inlineStr">
        <is>
          <t>VÄSTERNORRLANDS LÄN</t>
        </is>
      </c>
      <c r="E238" t="inlineStr">
        <is>
          <t>SUNDSVALL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40487-2019</t>
        </is>
      </c>
      <c r="B239" s="1" t="n">
        <v>43696</v>
      </c>
      <c r="C239" s="1" t="n">
        <v>45577</v>
      </c>
      <c r="D239" t="inlineStr">
        <is>
          <t>VÄSTERNORRLANDS LÄN</t>
        </is>
      </c>
      <c r="E239" t="inlineStr">
        <is>
          <t>SUNDSVALL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41895-2019</t>
        </is>
      </c>
      <c r="B240" s="1" t="n">
        <v>43697</v>
      </c>
      <c r="C240" s="1" t="n">
        <v>45577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Kyrkan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42217-2019</t>
        </is>
      </c>
      <c r="B241" s="1" t="n">
        <v>43699</v>
      </c>
      <c r="C241" s="1" t="n">
        <v>45577</v>
      </c>
      <c r="D241" t="inlineStr">
        <is>
          <t>VÄSTERNORRLANDS LÄN</t>
        </is>
      </c>
      <c r="E241" t="inlineStr">
        <is>
          <t>SUNDSVALL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42361-2019</t>
        </is>
      </c>
      <c r="B242" s="1" t="n">
        <v>43703</v>
      </c>
      <c r="C242" s="1" t="n">
        <v>45577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42305-2019</t>
        </is>
      </c>
      <c r="B243" s="1" t="n">
        <v>43703</v>
      </c>
      <c r="C243" s="1" t="n">
        <v>45577</v>
      </c>
      <c r="D243" t="inlineStr">
        <is>
          <t>VÄSTERNORRLANDS LÄN</t>
        </is>
      </c>
      <c r="E243" t="inlineStr">
        <is>
          <t>SUNDSVALL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42375-2019</t>
        </is>
      </c>
      <c r="B244" s="1" t="n">
        <v>43703</v>
      </c>
      <c r="C244" s="1" t="n">
        <v>45577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42372-2019</t>
        </is>
      </c>
      <c r="B245" s="1" t="n">
        <v>43703</v>
      </c>
      <c r="C245" s="1" t="n">
        <v>45577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43193-2019</t>
        </is>
      </c>
      <c r="B246" s="1" t="n">
        <v>43705</v>
      </c>
      <c r="C246" s="1" t="n">
        <v>45577</v>
      </c>
      <c r="D246" t="inlineStr">
        <is>
          <t>VÄSTERNORRLANDS LÄN</t>
        </is>
      </c>
      <c r="E246" t="inlineStr">
        <is>
          <t>SUNDSVALL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43880-2019</t>
        </is>
      </c>
      <c r="B247" s="1" t="n">
        <v>43707</v>
      </c>
      <c r="C247" s="1" t="n">
        <v>45577</v>
      </c>
      <c r="D247" t="inlineStr">
        <is>
          <t>VÄSTERNORRLANDS LÄN</t>
        </is>
      </c>
      <c r="E247" t="inlineStr">
        <is>
          <t>SUNDSVALL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43796-2019</t>
        </is>
      </c>
      <c r="B248" s="1" t="n">
        <v>43707</v>
      </c>
      <c r="C248" s="1" t="n">
        <v>45577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44321-2019</t>
        </is>
      </c>
      <c r="B249" s="1" t="n">
        <v>43710</v>
      </c>
      <c r="C249" s="1" t="n">
        <v>45577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44325-2019</t>
        </is>
      </c>
      <c r="B250" s="1" t="n">
        <v>43710</v>
      </c>
      <c r="C250" s="1" t="n">
        <v>45577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44416-2019</t>
        </is>
      </c>
      <c r="B251" s="1" t="n">
        <v>43711</v>
      </c>
      <c r="C251" s="1" t="n">
        <v>45577</v>
      </c>
      <c r="D251" t="inlineStr">
        <is>
          <t>VÄSTERNORRLANDS LÄN</t>
        </is>
      </c>
      <c r="E251" t="inlineStr">
        <is>
          <t>SUNDSVALL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44608-2019</t>
        </is>
      </c>
      <c r="B252" s="1" t="n">
        <v>43711</v>
      </c>
      <c r="C252" s="1" t="n">
        <v>45577</v>
      </c>
      <c r="D252" t="inlineStr">
        <is>
          <t>VÄSTERNORRLANDS LÄN</t>
        </is>
      </c>
      <c r="E252" t="inlineStr">
        <is>
          <t>SUNDSVALL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44610-2019</t>
        </is>
      </c>
      <c r="B253" s="1" t="n">
        <v>43711</v>
      </c>
      <c r="C253" s="1" t="n">
        <v>45577</v>
      </c>
      <c r="D253" t="inlineStr">
        <is>
          <t>VÄSTERNORRLANDS LÄN</t>
        </is>
      </c>
      <c r="E253" t="inlineStr">
        <is>
          <t>SUNDSVALL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45960-2019</t>
        </is>
      </c>
      <c r="B254" s="1" t="n">
        <v>43712</v>
      </c>
      <c r="C254" s="1" t="n">
        <v>45577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45964-2019</t>
        </is>
      </c>
      <c r="B255" s="1" t="n">
        <v>43712</v>
      </c>
      <c r="C255" s="1" t="n">
        <v>45577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44967-2019</t>
        </is>
      </c>
      <c r="B256" s="1" t="n">
        <v>43713</v>
      </c>
      <c r="C256" s="1" t="n">
        <v>45577</v>
      </c>
      <c r="D256" t="inlineStr">
        <is>
          <t>VÄSTERNORRLANDS LÄN</t>
        </is>
      </c>
      <c r="E256" t="inlineStr">
        <is>
          <t>SUNDSVALL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44971-2019</t>
        </is>
      </c>
      <c r="B257" s="1" t="n">
        <v>43713</v>
      </c>
      <c r="C257" s="1" t="n">
        <v>45577</v>
      </c>
      <c r="D257" t="inlineStr">
        <is>
          <t>VÄSTERNORRLANDS LÄN</t>
        </is>
      </c>
      <c r="E257" t="inlineStr">
        <is>
          <t>SUNDSVALL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44922-2019</t>
        </is>
      </c>
      <c r="B258" s="1" t="n">
        <v>43713</v>
      </c>
      <c r="C258" s="1" t="n">
        <v>45577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47076-2019</t>
        </is>
      </c>
      <c r="B259" s="1" t="n">
        <v>43720</v>
      </c>
      <c r="C259" s="1" t="n">
        <v>45577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47807-2019</t>
        </is>
      </c>
      <c r="B260" s="1" t="n">
        <v>43724</v>
      </c>
      <c r="C260" s="1" t="n">
        <v>45577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47809-2019</t>
        </is>
      </c>
      <c r="B261" s="1" t="n">
        <v>43724</v>
      </c>
      <c r="C261" s="1" t="n">
        <v>45577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48715-2019</t>
        </is>
      </c>
      <c r="B262" s="1" t="n">
        <v>43727</v>
      </c>
      <c r="C262" s="1" t="n">
        <v>45577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76.40000000000001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49676-2019</t>
        </is>
      </c>
      <c r="B263" s="1" t="n">
        <v>43732</v>
      </c>
      <c r="C263" s="1" t="n">
        <v>45577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49978-2019</t>
        </is>
      </c>
      <c r="B264" s="1" t="n">
        <v>43733</v>
      </c>
      <c r="C264" s="1" t="n">
        <v>45577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49990-2019</t>
        </is>
      </c>
      <c r="B265" s="1" t="n">
        <v>43733</v>
      </c>
      <c r="C265" s="1" t="n">
        <v>45577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49984-2019</t>
        </is>
      </c>
      <c r="B266" s="1" t="n">
        <v>43733</v>
      </c>
      <c r="C266" s="1" t="n">
        <v>45577</v>
      </c>
      <c r="D266" t="inlineStr">
        <is>
          <t>VÄSTERNORRLANDS LÄN</t>
        </is>
      </c>
      <c r="E266" t="inlineStr">
        <is>
          <t>SUNDSVALL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50118-2019</t>
        </is>
      </c>
      <c r="B267" s="1" t="n">
        <v>43734</v>
      </c>
      <c r="C267" s="1" t="n">
        <v>45577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50530-2019</t>
        </is>
      </c>
      <c r="B268" s="1" t="n">
        <v>43735</v>
      </c>
      <c r="C268" s="1" t="n">
        <v>45577</v>
      </c>
      <c r="D268" t="inlineStr">
        <is>
          <t>VÄSTERNORRLANDS LÄN</t>
        </is>
      </c>
      <c r="E268" t="inlineStr">
        <is>
          <t>SUNDSVALL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50605-2019</t>
        </is>
      </c>
      <c r="B269" s="1" t="n">
        <v>43735</v>
      </c>
      <c r="C269" s="1" t="n">
        <v>45577</v>
      </c>
      <c r="D269" t="inlineStr">
        <is>
          <t>VÄSTERNORRLANDS LÄN</t>
        </is>
      </c>
      <c r="E269" t="inlineStr">
        <is>
          <t>SUNDSVALL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50965-2019</t>
        </is>
      </c>
      <c r="B270" s="1" t="n">
        <v>43738</v>
      </c>
      <c r="C270" s="1" t="n">
        <v>45577</v>
      </c>
      <c r="D270" t="inlineStr">
        <is>
          <t>VÄSTERNORRLANDS LÄN</t>
        </is>
      </c>
      <c r="E270" t="inlineStr">
        <is>
          <t>SUNDSVALL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50992-2019</t>
        </is>
      </c>
      <c r="B271" s="1" t="n">
        <v>43738</v>
      </c>
      <c r="C271" s="1" t="n">
        <v>45577</v>
      </c>
      <c r="D271" t="inlineStr">
        <is>
          <t>VÄSTERNORRLANDS LÄN</t>
        </is>
      </c>
      <c r="E271" t="inlineStr">
        <is>
          <t>SUNDSVALL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51072-2019</t>
        </is>
      </c>
      <c r="B272" s="1" t="n">
        <v>43738</v>
      </c>
      <c r="C272" s="1" t="n">
        <v>45577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51685-2019</t>
        </is>
      </c>
      <c r="B273" s="1" t="n">
        <v>43740</v>
      </c>
      <c r="C273" s="1" t="n">
        <v>45577</v>
      </c>
      <c r="D273" t="inlineStr">
        <is>
          <t>VÄSTERNORRLANDS LÄN</t>
        </is>
      </c>
      <c r="E273" t="inlineStr">
        <is>
          <t>SUNDSVALL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52576-2019</t>
        </is>
      </c>
      <c r="B274" s="1" t="n">
        <v>43745</v>
      </c>
      <c r="C274" s="1" t="n">
        <v>45577</v>
      </c>
      <c r="D274" t="inlineStr">
        <is>
          <t>VÄSTERNORRLANDS LÄN</t>
        </is>
      </c>
      <c r="E274" t="inlineStr">
        <is>
          <t>SUNDSVALL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53087-2019</t>
        </is>
      </c>
      <c r="B275" s="1" t="n">
        <v>43747</v>
      </c>
      <c r="C275" s="1" t="n">
        <v>45577</v>
      </c>
      <c r="D275" t="inlineStr">
        <is>
          <t>VÄSTERNORRLANDS LÄN</t>
        </is>
      </c>
      <c r="E275" t="inlineStr">
        <is>
          <t>SUNDSVALL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52952-2019</t>
        </is>
      </c>
      <c r="B276" s="1" t="n">
        <v>43747</v>
      </c>
      <c r="C276" s="1" t="n">
        <v>45577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54030-2019</t>
        </is>
      </c>
      <c r="B277" s="1" t="n">
        <v>43752</v>
      </c>
      <c r="C277" s="1" t="n">
        <v>45577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55268-2019</t>
        </is>
      </c>
      <c r="B278" s="1" t="n">
        <v>43753</v>
      </c>
      <c r="C278" s="1" t="n">
        <v>45577</v>
      </c>
      <c r="D278" t="inlineStr">
        <is>
          <t>VÄSTERNORRLANDS LÄN</t>
        </is>
      </c>
      <c r="E278" t="inlineStr">
        <is>
          <t>SUNDSVALL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55420-2019</t>
        </is>
      </c>
      <c r="B279" s="1" t="n">
        <v>43758</v>
      </c>
      <c r="C279" s="1" t="n">
        <v>45577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56751-2019</t>
        </is>
      </c>
      <c r="B280" s="1" t="n">
        <v>43759</v>
      </c>
      <c r="C280" s="1" t="n">
        <v>45577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56701-2019</t>
        </is>
      </c>
      <c r="B281" s="1" t="n">
        <v>43759</v>
      </c>
      <c r="C281" s="1" t="n">
        <v>45577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55600-2019</t>
        </is>
      </c>
      <c r="B282" s="1" t="n">
        <v>43760</v>
      </c>
      <c r="C282" s="1" t="n">
        <v>45577</v>
      </c>
      <c r="D282" t="inlineStr">
        <is>
          <t>VÄSTERNORRLANDS LÄN</t>
        </is>
      </c>
      <c r="E282" t="inlineStr">
        <is>
          <t>SUNDSVALL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55603-2019</t>
        </is>
      </c>
      <c r="B283" s="1" t="n">
        <v>43760</v>
      </c>
      <c r="C283" s="1" t="n">
        <v>45577</v>
      </c>
      <c r="D283" t="inlineStr">
        <is>
          <t>VÄSTERNORRLANDS LÄN</t>
        </is>
      </c>
      <c r="E283" t="inlineStr">
        <is>
          <t>SUNDSVALL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56016-2019</t>
        </is>
      </c>
      <c r="B284" s="1" t="n">
        <v>43761</v>
      </c>
      <c r="C284" s="1" t="n">
        <v>45577</v>
      </c>
      <c r="D284" t="inlineStr">
        <is>
          <t>VÄSTERNORRLANDS LÄN</t>
        </is>
      </c>
      <c r="E284" t="inlineStr">
        <is>
          <t>SUNDSVALL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56071-2019</t>
        </is>
      </c>
      <c r="B285" s="1" t="n">
        <v>43761</v>
      </c>
      <c r="C285" s="1" t="n">
        <v>45577</v>
      </c>
      <c r="D285" t="inlineStr">
        <is>
          <t>VÄSTERNORRLANDS LÄN</t>
        </is>
      </c>
      <c r="E285" t="inlineStr">
        <is>
          <t>SUNDSVALL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56180-2019</t>
        </is>
      </c>
      <c r="B286" s="1" t="n">
        <v>43761</v>
      </c>
      <c r="C286" s="1" t="n">
        <v>45577</v>
      </c>
      <c r="D286" t="inlineStr">
        <is>
          <t>VÄSTERNORRLANDS LÄN</t>
        </is>
      </c>
      <c r="E286" t="inlineStr">
        <is>
          <t>SUNDSVALL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56185-2019</t>
        </is>
      </c>
      <c r="B287" s="1" t="n">
        <v>43761</v>
      </c>
      <c r="C287" s="1" t="n">
        <v>45577</v>
      </c>
      <c r="D287" t="inlineStr">
        <is>
          <t>VÄSTERNORRLANDS LÄN</t>
        </is>
      </c>
      <c r="E287" t="inlineStr">
        <is>
          <t>SUNDSVALL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56024-2019</t>
        </is>
      </c>
      <c r="B288" s="1" t="n">
        <v>43761</v>
      </c>
      <c r="C288" s="1" t="n">
        <v>45577</v>
      </c>
      <c r="D288" t="inlineStr">
        <is>
          <t>VÄSTERNORRLANDS LÄN</t>
        </is>
      </c>
      <c r="E288" t="inlineStr">
        <is>
          <t>SUNDSVALL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56274-2019</t>
        </is>
      </c>
      <c r="B289" s="1" t="n">
        <v>43762</v>
      </c>
      <c r="C289" s="1" t="n">
        <v>45577</v>
      </c>
      <c r="D289" t="inlineStr">
        <is>
          <t>VÄSTERNORRLANDS LÄN</t>
        </is>
      </c>
      <c r="E289" t="inlineStr">
        <is>
          <t>SUNDSVALL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57797-2019</t>
        </is>
      </c>
      <c r="B290" s="1" t="n">
        <v>43762</v>
      </c>
      <c r="C290" s="1" t="n">
        <v>45577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57758-2019</t>
        </is>
      </c>
      <c r="B291" s="1" t="n">
        <v>43762</v>
      </c>
      <c r="C291" s="1" t="n">
        <v>45577</v>
      </c>
      <c r="D291" t="inlineStr">
        <is>
          <t>VÄSTERNORRLANDS LÄN</t>
        </is>
      </c>
      <c r="E291" t="inlineStr">
        <is>
          <t>SUNDSVALL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56534-2019</t>
        </is>
      </c>
      <c r="B292" s="1" t="n">
        <v>43763</v>
      </c>
      <c r="C292" s="1" t="n">
        <v>45577</v>
      </c>
      <c r="D292" t="inlineStr">
        <is>
          <t>VÄSTERNORRLANDS LÄN</t>
        </is>
      </c>
      <c r="E292" t="inlineStr">
        <is>
          <t>SUNDSVALL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57177-2019</t>
        </is>
      </c>
      <c r="B293" s="1" t="n">
        <v>43766</v>
      </c>
      <c r="C293" s="1" t="n">
        <v>45577</v>
      </c>
      <c r="D293" t="inlineStr">
        <is>
          <t>VÄSTERNORRLANDS LÄN</t>
        </is>
      </c>
      <c r="E293" t="inlineStr">
        <is>
          <t>SUNDSVALL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57175-2019</t>
        </is>
      </c>
      <c r="B294" s="1" t="n">
        <v>43766</v>
      </c>
      <c r="C294" s="1" t="n">
        <v>45577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57180-2019</t>
        </is>
      </c>
      <c r="B295" s="1" t="n">
        <v>43766</v>
      </c>
      <c r="C295" s="1" t="n">
        <v>45577</v>
      </c>
      <c r="D295" t="inlineStr">
        <is>
          <t>VÄSTERNORRLANDS LÄN</t>
        </is>
      </c>
      <c r="E295" t="inlineStr">
        <is>
          <t>SUNDSVALL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57866-2019</t>
        </is>
      </c>
      <c r="B296" s="1" t="n">
        <v>43768</v>
      </c>
      <c r="C296" s="1" t="n">
        <v>45577</v>
      </c>
      <c r="D296" t="inlineStr">
        <is>
          <t>VÄSTERNORRLANDS LÄN</t>
        </is>
      </c>
      <c r="E296" t="inlineStr">
        <is>
          <t>SUNDSVALL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58171-2019</t>
        </is>
      </c>
      <c r="B297" s="1" t="n">
        <v>43769</v>
      </c>
      <c r="C297" s="1" t="n">
        <v>45577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59523-2019</t>
        </is>
      </c>
      <c r="B298" s="1" t="n">
        <v>43773</v>
      </c>
      <c r="C298" s="1" t="n">
        <v>45577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Kyrkan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58866-2019</t>
        </is>
      </c>
      <c r="B299" s="1" t="n">
        <v>43774</v>
      </c>
      <c r="C299" s="1" t="n">
        <v>45577</v>
      </c>
      <c r="D299" t="inlineStr">
        <is>
          <t>VÄSTERNORRLANDS LÄN</t>
        </is>
      </c>
      <c r="E299" t="inlineStr">
        <is>
          <t>SUNDSVALL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59770-2019</t>
        </is>
      </c>
      <c r="B300" s="1" t="n">
        <v>43776</v>
      </c>
      <c r="C300" s="1" t="n">
        <v>45577</v>
      </c>
      <c r="D300" t="inlineStr">
        <is>
          <t>VÄSTERNORRLANDS LÄN</t>
        </is>
      </c>
      <c r="E300" t="inlineStr">
        <is>
          <t>SUNDSVALL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59771-2019</t>
        </is>
      </c>
      <c r="B301" s="1" t="n">
        <v>43776</v>
      </c>
      <c r="C301" s="1" t="n">
        <v>45577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59772-2019</t>
        </is>
      </c>
      <c r="B302" s="1" t="n">
        <v>43776</v>
      </c>
      <c r="C302" s="1" t="n">
        <v>45577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60115-2019</t>
        </is>
      </c>
      <c r="B303" s="1" t="n">
        <v>43777</v>
      </c>
      <c r="C303" s="1" t="n">
        <v>45577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60341-2019</t>
        </is>
      </c>
      <c r="B304" s="1" t="n">
        <v>43780</v>
      </c>
      <c r="C304" s="1" t="n">
        <v>45577</v>
      </c>
      <c r="D304" t="inlineStr">
        <is>
          <t>VÄSTERNORRLANDS LÄN</t>
        </is>
      </c>
      <c r="E304" t="inlineStr">
        <is>
          <t>SUNDSVALL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60588-2019</t>
        </is>
      </c>
      <c r="B305" s="1" t="n">
        <v>43781</v>
      </c>
      <c r="C305" s="1" t="n">
        <v>45577</v>
      </c>
      <c r="D305" t="inlineStr">
        <is>
          <t>VÄSTERNORRLANDS LÄN</t>
        </is>
      </c>
      <c r="E305" t="inlineStr">
        <is>
          <t>SUNDSVALL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61197-2019</t>
        </is>
      </c>
      <c r="B306" s="1" t="n">
        <v>43782</v>
      </c>
      <c r="C306" s="1" t="n">
        <v>45577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61966-2019</t>
        </is>
      </c>
      <c r="B307" s="1" t="n">
        <v>43787</v>
      </c>
      <c r="C307" s="1" t="n">
        <v>45577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62715-2019</t>
        </is>
      </c>
      <c r="B308" s="1" t="n">
        <v>43789</v>
      </c>
      <c r="C308" s="1" t="n">
        <v>45577</v>
      </c>
      <c r="D308" t="inlineStr">
        <is>
          <t>VÄSTERNORRLANDS LÄN</t>
        </is>
      </c>
      <c r="E308" t="inlineStr">
        <is>
          <t>SUNDSVALL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62833-2019</t>
        </is>
      </c>
      <c r="B309" s="1" t="n">
        <v>43790</v>
      </c>
      <c r="C309" s="1" t="n">
        <v>45577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62826-2019</t>
        </is>
      </c>
      <c r="B310" s="1" t="n">
        <v>43790</v>
      </c>
      <c r="C310" s="1" t="n">
        <v>45577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63007-2019</t>
        </is>
      </c>
      <c r="B311" s="1" t="n">
        <v>43790</v>
      </c>
      <c r="C311" s="1" t="n">
        <v>45577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Naturvårdsverket</t>
        </is>
      </c>
      <c r="G311" t="n">
        <v>23.6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63175-2019</t>
        </is>
      </c>
      <c r="B312" s="1" t="n">
        <v>43791</v>
      </c>
      <c r="C312" s="1" t="n">
        <v>45577</v>
      </c>
      <c r="D312" t="inlineStr">
        <is>
          <t>VÄSTERNORRLANDS LÄN</t>
        </is>
      </c>
      <c r="E312" t="inlineStr">
        <is>
          <t>SUNDSVALL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63111-2019</t>
        </is>
      </c>
      <c r="B313" s="1" t="n">
        <v>43791</v>
      </c>
      <c r="C313" s="1" t="n">
        <v>45577</v>
      </c>
      <c r="D313" t="inlineStr">
        <is>
          <t>VÄSTERNORRLANDS LÄN</t>
        </is>
      </c>
      <c r="E313" t="inlineStr">
        <is>
          <t>SUNDSVALL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63315-2019</t>
        </is>
      </c>
      <c r="B314" s="1" t="n">
        <v>43794</v>
      </c>
      <c r="C314" s="1" t="n">
        <v>45577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63427-2019</t>
        </is>
      </c>
      <c r="B315" s="1" t="n">
        <v>43794</v>
      </c>
      <c r="C315" s="1" t="n">
        <v>45577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64130-2019</t>
        </is>
      </c>
      <c r="B316" s="1" t="n">
        <v>43796</v>
      </c>
      <c r="C316" s="1" t="n">
        <v>45577</v>
      </c>
      <c r="D316" t="inlineStr">
        <is>
          <t>VÄSTERNORRLANDS LÄN</t>
        </is>
      </c>
      <c r="E316" t="inlineStr">
        <is>
          <t>SUNDSVALL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64245-2019</t>
        </is>
      </c>
      <c r="B317" s="1" t="n">
        <v>43797</v>
      </c>
      <c r="C317" s="1" t="n">
        <v>45577</v>
      </c>
      <c r="D317" t="inlineStr">
        <is>
          <t>VÄSTERNORRLANDS LÄN</t>
        </is>
      </c>
      <c r="E317" t="inlineStr">
        <is>
          <t>SUNDSVALL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64405-2019</t>
        </is>
      </c>
      <c r="B318" s="1" t="n">
        <v>43797</v>
      </c>
      <c r="C318" s="1" t="n">
        <v>45577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64473-2019</t>
        </is>
      </c>
      <c r="B319" s="1" t="n">
        <v>43797</v>
      </c>
      <c r="C319" s="1" t="n">
        <v>45577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64474-2019</t>
        </is>
      </c>
      <c r="B320" s="1" t="n">
        <v>43797</v>
      </c>
      <c r="C320" s="1" t="n">
        <v>45577</v>
      </c>
      <c r="D320" t="inlineStr">
        <is>
          <t>VÄSTERNORRLANDS LÄN</t>
        </is>
      </c>
      <c r="E320" t="inlineStr">
        <is>
          <t>SUNDSVALL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64558-2019</t>
        </is>
      </c>
      <c r="B321" s="1" t="n">
        <v>43798</v>
      </c>
      <c r="C321" s="1" t="n">
        <v>45577</v>
      </c>
      <c r="D321" t="inlineStr">
        <is>
          <t>VÄSTERNORRLANDS LÄN</t>
        </is>
      </c>
      <c r="E321" t="inlineStr">
        <is>
          <t>SUNDSVALL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65039-2019</t>
        </is>
      </c>
      <c r="B322" s="1" t="n">
        <v>43801</v>
      </c>
      <c r="C322" s="1" t="n">
        <v>45577</v>
      </c>
      <c r="D322" t="inlineStr">
        <is>
          <t>VÄSTERNORRLANDS LÄN</t>
        </is>
      </c>
      <c r="E322" t="inlineStr">
        <is>
          <t>SUNDSVALL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65030-2019</t>
        </is>
      </c>
      <c r="B323" s="1" t="n">
        <v>43801</v>
      </c>
      <c r="C323" s="1" t="n">
        <v>45577</v>
      </c>
      <c r="D323" t="inlineStr">
        <is>
          <t>VÄSTERNORRLANDS LÄN</t>
        </is>
      </c>
      <c r="E323" t="inlineStr">
        <is>
          <t>SUNDSVALL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66000-2019</t>
        </is>
      </c>
      <c r="B324" s="1" t="n">
        <v>43801</v>
      </c>
      <c r="C324" s="1" t="n">
        <v>45577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65458-2019</t>
        </is>
      </c>
      <c r="B325" s="1" t="n">
        <v>43803</v>
      </c>
      <c r="C325" s="1" t="n">
        <v>45577</v>
      </c>
      <c r="D325" t="inlineStr">
        <is>
          <t>VÄSTERNORRLANDS LÄN</t>
        </is>
      </c>
      <c r="E325" t="inlineStr">
        <is>
          <t>SUNDSVALL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65919-2019</t>
        </is>
      </c>
      <c r="B326" s="1" t="n">
        <v>43804</v>
      </c>
      <c r="C326" s="1" t="n">
        <v>45577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66374-2019</t>
        </is>
      </c>
      <c r="B327" s="1" t="n">
        <v>43808</v>
      </c>
      <c r="C327" s="1" t="n">
        <v>45577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66704-2019</t>
        </is>
      </c>
      <c r="B328" s="1" t="n">
        <v>43809</v>
      </c>
      <c r="C328" s="1" t="n">
        <v>45577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Naturvårdsverket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66699-2019</t>
        </is>
      </c>
      <c r="B329" s="1" t="n">
        <v>43809</v>
      </c>
      <c r="C329" s="1" t="n">
        <v>45577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66707-2019</t>
        </is>
      </c>
      <c r="B330" s="1" t="n">
        <v>43809</v>
      </c>
      <c r="C330" s="1" t="n">
        <v>45577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66706-2019</t>
        </is>
      </c>
      <c r="B331" s="1" t="n">
        <v>43809</v>
      </c>
      <c r="C331" s="1" t="n">
        <v>45577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66708-2019</t>
        </is>
      </c>
      <c r="B332" s="1" t="n">
        <v>43809</v>
      </c>
      <c r="C332" s="1" t="n">
        <v>45577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66705-2019</t>
        </is>
      </c>
      <c r="B333" s="1" t="n">
        <v>43809</v>
      </c>
      <c r="C333" s="1" t="n">
        <v>45577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66969-2019</t>
        </is>
      </c>
      <c r="B334" s="1" t="n">
        <v>43810</v>
      </c>
      <c r="C334" s="1" t="n">
        <v>45577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66998-2019</t>
        </is>
      </c>
      <c r="B335" s="1" t="n">
        <v>43811</v>
      </c>
      <c r="C335" s="1" t="n">
        <v>45577</v>
      </c>
      <c r="D335" t="inlineStr">
        <is>
          <t>VÄSTERNORRLANDS LÄN</t>
        </is>
      </c>
      <c r="E335" t="inlineStr">
        <is>
          <t>SUNDSVALL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68788-2019</t>
        </is>
      </c>
      <c r="B336" s="1" t="n">
        <v>43815</v>
      </c>
      <c r="C336" s="1" t="n">
        <v>45577</v>
      </c>
      <c r="D336" t="inlineStr">
        <is>
          <t>VÄSTERNORRLANDS LÄN</t>
        </is>
      </c>
      <c r="E336" t="inlineStr">
        <is>
          <t>SUNDSVALL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69043-2019</t>
        </is>
      </c>
      <c r="B337" s="1" t="n">
        <v>43826</v>
      </c>
      <c r="C337" s="1" t="n">
        <v>45577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69040-2019</t>
        </is>
      </c>
      <c r="B338" s="1" t="n">
        <v>43826</v>
      </c>
      <c r="C338" s="1" t="n">
        <v>45577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69042-2019</t>
        </is>
      </c>
      <c r="B339" s="1" t="n">
        <v>43826</v>
      </c>
      <c r="C339" s="1" t="n">
        <v>45577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113-2020</t>
        </is>
      </c>
      <c r="B340" s="1" t="n">
        <v>43832</v>
      </c>
      <c r="C340" s="1" t="n">
        <v>45577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503-2020</t>
        </is>
      </c>
      <c r="B341" s="1" t="n">
        <v>43837</v>
      </c>
      <c r="C341" s="1" t="n">
        <v>45577</v>
      </c>
      <c r="D341" t="inlineStr">
        <is>
          <t>VÄSTERNORRLANDS LÄN</t>
        </is>
      </c>
      <c r="E341" t="inlineStr">
        <is>
          <t>SUNDSVALL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473-2020</t>
        </is>
      </c>
      <c r="B342" s="1" t="n">
        <v>43837</v>
      </c>
      <c r="C342" s="1" t="n">
        <v>45577</v>
      </c>
      <c r="D342" t="inlineStr">
        <is>
          <t>VÄSTERNORRLANDS LÄN</t>
        </is>
      </c>
      <c r="E342" t="inlineStr">
        <is>
          <t>SUNDSVALL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803-2020</t>
        </is>
      </c>
      <c r="B343" s="1" t="n">
        <v>43838</v>
      </c>
      <c r="C343" s="1" t="n">
        <v>45577</v>
      </c>
      <c r="D343" t="inlineStr">
        <is>
          <t>VÄSTERNORRLANDS LÄN</t>
        </is>
      </c>
      <c r="E343" t="inlineStr">
        <is>
          <t>SUNDSVALL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805-2020</t>
        </is>
      </c>
      <c r="B344" s="1" t="n">
        <v>43838</v>
      </c>
      <c r="C344" s="1" t="n">
        <v>45577</v>
      </c>
      <c r="D344" t="inlineStr">
        <is>
          <t>VÄSTERNORRLANDS LÄN</t>
        </is>
      </c>
      <c r="E344" t="inlineStr">
        <is>
          <t>SUNDSVALL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1280-2020</t>
        </is>
      </c>
      <c r="B345" s="1" t="n">
        <v>43842</v>
      </c>
      <c r="C345" s="1" t="n">
        <v>45577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1856-2020</t>
        </is>
      </c>
      <c r="B346" s="1" t="n">
        <v>43844</v>
      </c>
      <c r="C346" s="1" t="n">
        <v>45577</v>
      </c>
      <c r="D346" t="inlineStr">
        <is>
          <t>VÄSTERNORRLANDS LÄN</t>
        </is>
      </c>
      <c r="E346" t="inlineStr">
        <is>
          <t>SUNDSVALL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1655-2020</t>
        </is>
      </c>
      <c r="B347" s="1" t="n">
        <v>43844</v>
      </c>
      <c r="C347" s="1" t="n">
        <v>45577</v>
      </c>
      <c r="D347" t="inlineStr">
        <is>
          <t>VÄSTERNORRLANDS LÄN</t>
        </is>
      </c>
      <c r="E347" t="inlineStr">
        <is>
          <t>SUNDSVALL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1639-2020</t>
        </is>
      </c>
      <c r="B348" s="1" t="n">
        <v>43844</v>
      </c>
      <c r="C348" s="1" t="n">
        <v>45577</v>
      </c>
      <c r="D348" t="inlineStr">
        <is>
          <t>VÄSTERNORRLANDS LÄN</t>
        </is>
      </c>
      <c r="E348" t="inlineStr">
        <is>
          <t>SUNDSVALL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1946-2020</t>
        </is>
      </c>
      <c r="B349" s="1" t="n">
        <v>43845</v>
      </c>
      <c r="C349" s="1" t="n">
        <v>45577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2052-2020</t>
        </is>
      </c>
      <c r="B350" s="1" t="n">
        <v>43845</v>
      </c>
      <c r="C350" s="1" t="n">
        <v>45577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2100-2020</t>
        </is>
      </c>
      <c r="B351" s="1" t="n">
        <v>43845</v>
      </c>
      <c r="C351" s="1" t="n">
        <v>45577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1919-2020</t>
        </is>
      </c>
      <c r="B352" s="1" t="n">
        <v>43845</v>
      </c>
      <c r="C352" s="1" t="n">
        <v>45577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1928-2020</t>
        </is>
      </c>
      <c r="B353" s="1" t="n">
        <v>43845</v>
      </c>
      <c r="C353" s="1" t="n">
        <v>45577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1937-2020</t>
        </is>
      </c>
      <c r="B354" s="1" t="n">
        <v>43845</v>
      </c>
      <c r="C354" s="1" t="n">
        <v>45577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2065-2020</t>
        </is>
      </c>
      <c r="B355" s="1" t="n">
        <v>43845</v>
      </c>
      <c r="C355" s="1" t="n">
        <v>45577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1979-2020</t>
        </is>
      </c>
      <c r="B356" s="1" t="n">
        <v>43845</v>
      </c>
      <c r="C356" s="1" t="n">
        <v>45577</v>
      </c>
      <c r="D356" t="inlineStr">
        <is>
          <t>VÄSTERNORRLANDS LÄN</t>
        </is>
      </c>
      <c r="E356" t="inlineStr">
        <is>
          <t>SUNDSVALL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3550-2020</t>
        </is>
      </c>
      <c r="B357" s="1" t="n">
        <v>43845</v>
      </c>
      <c r="C357" s="1" t="n">
        <v>45577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2106-2020</t>
        </is>
      </c>
      <c r="B358" s="1" t="n">
        <v>43845</v>
      </c>
      <c r="C358" s="1" t="n">
        <v>45577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Naturvårdsverket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2314-2020</t>
        </is>
      </c>
      <c r="B359" s="1" t="n">
        <v>43846</v>
      </c>
      <c r="C359" s="1" t="n">
        <v>45577</v>
      </c>
      <c r="D359" t="inlineStr">
        <is>
          <t>VÄSTERNORRLANDS LÄN</t>
        </is>
      </c>
      <c r="E359" t="inlineStr">
        <is>
          <t>SUNDSVALL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2631-2020</t>
        </is>
      </c>
      <c r="B360" s="1" t="n">
        <v>43847</v>
      </c>
      <c r="C360" s="1" t="n">
        <v>45577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2630-2020</t>
        </is>
      </c>
      <c r="B361" s="1" t="n">
        <v>43847</v>
      </c>
      <c r="C361" s="1" t="n">
        <v>45577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2478-2020</t>
        </is>
      </c>
      <c r="B362" s="1" t="n">
        <v>43847</v>
      </c>
      <c r="C362" s="1" t="n">
        <v>45577</v>
      </c>
      <c r="D362" t="inlineStr">
        <is>
          <t>VÄSTERNORRLANDS LÄN</t>
        </is>
      </c>
      <c r="E362" t="inlineStr">
        <is>
          <t>SUNDSVALL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3003-2020</t>
        </is>
      </c>
      <c r="B363" s="1" t="n">
        <v>43850</v>
      </c>
      <c r="C363" s="1" t="n">
        <v>45577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3092-2020</t>
        </is>
      </c>
      <c r="B364" s="1" t="n">
        <v>43851</v>
      </c>
      <c r="C364" s="1" t="n">
        <v>45577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3415-2020</t>
        </is>
      </c>
      <c r="B365" s="1" t="n">
        <v>43852</v>
      </c>
      <c r="C365" s="1" t="n">
        <v>45577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3538-2020</t>
        </is>
      </c>
      <c r="B366" s="1" t="n">
        <v>43853</v>
      </c>
      <c r="C366" s="1" t="n">
        <v>45577</v>
      </c>
      <c r="D366" t="inlineStr">
        <is>
          <t>VÄSTERNORRLANDS LÄN</t>
        </is>
      </c>
      <c r="E366" t="inlineStr">
        <is>
          <t>SUNDSVALL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4528-2020</t>
        </is>
      </c>
      <c r="B367" s="1" t="n">
        <v>43858</v>
      </c>
      <c r="C367" s="1" t="n">
        <v>45577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5631-2020</t>
        </is>
      </c>
      <c r="B368" s="1" t="n">
        <v>43860</v>
      </c>
      <c r="C368" s="1" t="n">
        <v>45577</v>
      </c>
      <c r="D368" t="inlineStr">
        <is>
          <t>VÄSTERNORRLANDS LÄN</t>
        </is>
      </c>
      <c r="E368" t="inlineStr">
        <is>
          <t>SUNDSVALL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5528-2020</t>
        </is>
      </c>
      <c r="B369" s="1" t="n">
        <v>43861</v>
      </c>
      <c r="C369" s="1" t="n">
        <v>45577</v>
      </c>
      <c r="D369" t="inlineStr">
        <is>
          <t>VÄSTERNORRLANDS LÄN</t>
        </is>
      </c>
      <c r="E369" t="inlineStr">
        <is>
          <t>SUNDSVALL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5705-2020</t>
        </is>
      </c>
      <c r="B370" s="1" t="n">
        <v>43861</v>
      </c>
      <c r="C370" s="1" t="n">
        <v>45577</v>
      </c>
      <c r="D370" t="inlineStr">
        <is>
          <t>VÄSTERNORRLANDS LÄN</t>
        </is>
      </c>
      <c r="E370" t="inlineStr">
        <is>
          <t>SUNDSVALL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5711-2020</t>
        </is>
      </c>
      <c r="B371" s="1" t="n">
        <v>43861</v>
      </c>
      <c r="C371" s="1" t="n">
        <v>45577</v>
      </c>
      <c r="D371" t="inlineStr">
        <is>
          <t>VÄSTERNORRLANDS LÄN</t>
        </is>
      </c>
      <c r="E371" t="inlineStr">
        <is>
          <t>SUNDSVALL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5773-2020</t>
        </is>
      </c>
      <c r="B372" s="1" t="n">
        <v>43864</v>
      </c>
      <c r="C372" s="1" t="n">
        <v>45577</v>
      </c>
      <c r="D372" t="inlineStr">
        <is>
          <t>VÄSTERNORRLANDS LÄN</t>
        </is>
      </c>
      <c r="E372" t="inlineStr">
        <is>
          <t>SUNDSVALL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5815-2020</t>
        </is>
      </c>
      <c r="B373" s="1" t="n">
        <v>43864</v>
      </c>
      <c r="C373" s="1" t="n">
        <v>45577</v>
      </c>
      <c r="D373" t="inlineStr">
        <is>
          <t>VÄSTERNORRLANDS LÄN</t>
        </is>
      </c>
      <c r="E373" t="inlineStr">
        <is>
          <t>SUNDSVALL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5963-2020</t>
        </is>
      </c>
      <c r="B374" s="1" t="n">
        <v>43864</v>
      </c>
      <c r="C374" s="1" t="n">
        <v>45577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5966-2020</t>
        </is>
      </c>
      <c r="B375" s="1" t="n">
        <v>43864</v>
      </c>
      <c r="C375" s="1" t="n">
        <v>45577</v>
      </c>
      <c r="D375" t="inlineStr">
        <is>
          <t>VÄSTERNORRLANDS LÄN</t>
        </is>
      </c>
      <c r="E375" t="inlineStr">
        <is>
          <t>SUNDSVALL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6292-2020</t>
        </is>
      </c>
      <c r="B376" s="1" t="n">
        <v>43866</v>
      </c>
      <c r="C376" s="1" t="n">
        <v>45577</v>
      </c>
      <c r="D376" t="inlineStr">
        <is>
          <t>VÄSTERNORRLANDS LÄN</t>
        </is>
      </c>
      <c r="E376" t="inlineStr">
        <is>
          <t>SUNDSVALL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6807-2020</t>
        </is>
      </c>
      <c r="B377" s="1" t="n">
        <v>43867</v>
      </c>
      <c r="C377" s="1" t="n">
        <v>45577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7497-2020</t>
        </is>
      </c>
      <c r="B378" s="1" t="n">
        <v>43871</v>
      </c>
      <c r="C378" s="1" t="n">
        <v>45577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7502-2020</t>
        </is>
      </c>
      <c r="B379" s="1" t="n">
        <v>43871</v>
      </c>
      <c r="C379" s="1" t="n">
        <v>45577</v>
      </c>
      <c r="D379" t="inlineStr">
        <is>
          <t>VÄSTERNORRLANDS LÄN</t>
        </is>
      </c>
      <c r="E379" t="inlineStr">
        <is>
          <t>SUNDSVALL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7499-2020</t>
        </is>
      </c>
      <c r="B380" s="1" t="n">
        <v>43871</v>
      </c>
      <c r="C380" s="1" t="n">
        <v>45577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7505-2020</t>
        </is>
      </c>
      <c r="B381" s="1" t="n">
        <v>43871</v>
      </c>
      <c r="C381" s="1" t="n">
        <v>45577</v>
      </c>
      <c r="D381" t="inlineStr">
        <is>
          <t>VÄSTERNORRLANDS LÄN</t>
        </is>
      </c>
      <c r="E381" t="inlineStr">
        <is>
          <t>SUNDSVALL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7501-2020</t>
        </is>
      </c>
      <c r="B382" s="1" t="n">
        <v>43871</v>
      </c>
      <c r="C382" s="1" t="n">
        <v>45577</v>
      </c>
      <c r="D382" t="inlineStr">
        <is>
          <t>VÄSTERNORRLANDS LÄN</t>
        </is>
      </c>
      <c r="E382" t="inlineStr">
        <is>
          <t>SUNDSVALL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7498-2020</t>
        </is>
      </c>
      <c r="B383" s="1" t="n">
        <v>43871</v>
      </c>
      <c r="C383" s="1" t="n">
        <v>45577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7503-2020</t>
        </is>
      </c>
      <c r="B384" s="1" t="n">
        <v>43871</v>
      </c>
      <c r="C384" s="1" t="n">
        <v>45577</v>
      </c>
      <c r="D384" t="inlineStr">
        <is>
          <t>VÄSTERNORRLANDS LÄN</t>
        </is>
      </c>
      <c r="E384" t="inlineStr">
        <is>
          <t>SUNDSVALL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7961-2020</t>
        </is>
      </c>
      <c r="B385" s="1" t="n">
        <v>43873</v>
      </c>
      <c r="C385" s="1" t="n">
        <v>45577</v>
      </c>
      <c r="D385" t="inlineStr">
        <is>
          <t>VÄSTERNORRLANDS LÄN</t>
        </is>
      </c>
      <c r="E385" t="inlineStr">
        <is>
          <t>SUNDSVALL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7944-2020</t>
        </is>
      </c>
      <c r="B386" s="1" t="n">
        <v>43873</v>
      </c>
      <c r="C386" s="1" t="n">
        <v>45577</v>
      </c>
      <c r="D386" t="inlineStr">
        <is>
          <t>VÄSTERNORRLANDS LÄN</t>
        </is>
      </c>
      <c r="E386" t="inlineStr">
        <is>
          <t>SUNDSVALL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8527-2020</t>
        </is>
      </c>
      <c r="B387" s="1" t="n">
        <v>43875</v>
      </c>
      <c r="C387" s="1" t="n">
        <v>45577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8531-2020</t>
        </is>
      </c>
      <c r="B388" s="1" t="n">
        <v>43875</v>
      </c>
      <c r="C388" s="1" t="n">
        <v>45577</v>
      </c>
      <c r="D388" t="inlineStr">
        <is>
          <t>VÄSTERNORRLANDS LÄN</t>
        </is>
      </c>
      <c r="E388" t="inlineStr">
        <is>
          <t>SUNDSVALL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8882-2020</t>
        </is>
      </c>
      <c r="B389" s="1" t="n">
        <v>43878</v>
      </c>
      <c r="C389" s="1" t="n">
        <v>45577</v>
      </c>
      <c r="D389" t="inlineStr">
        <is>
          <t>VÄSTERNORRLANDS LÄN</t>
        </is>
      </c>
      <c r="E389" t="inlineStr">
        <is>
          <t>SUNDSVALL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8924-2020</t>
        </is>
      </c>
      <c r="B390" s="1" t="n">
        <v>43878</v>
      </c>
      <c r="C390" s="1" t="n">
        <v>45577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8943-2020</t>
        </is>
      </c>
      <c r="B391" s="1" t="n">
        <v>43878</v>
      </c>
      <c r="C391" s="1" t="n">
        <v>45577</v>
      </c>
      <c r="D391" t="inlineStr">
        <is>
          <t>VÄSTERNORRLANDS LÄN</t>
        </is>
      </c>
      <c r="E391" t="inlineStr">
        <is>
          <t>SUNDSVALL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9486-2020</t>
        </is>
      </c>
      <c r="B392" s="1" t="n">
        <v>43880</v>
      </c>
      <c r="C392" s="1" t="n">
        <v>45577</v>
      </c>
      <c r="D392" t="inlineStr">
        <is>
          <t>VÄSTERNORRLANDS LÄN</t>
        </is>
      </c>
      <c r="E392" t="inlineStr">
        <is>
          <t>SUNDSVALL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9554-2020</t>
        </is>
      </c>
      <c r="B393" s="1" t="n">
        <v>43881</v>
      </c>
      <c r="C393" s="1" t="n">
        <v>45577</v>
      </c>
      <c r="D393" t="inlineStr">
        <is>
          <t>VÄSTERNORRLANDS LÄN</t>
        </is>
      </c>
      <c r="E393" t="inlineStr">
        <is>
          <t>SUNDSVALL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9837-2020</t>
        </is>
      </c>
      <c r="B394" s="1" t="n">
        <v>43881</v>
      </c>
      <c r="C394" s="1" t="n">
        <v>45577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9841-2020</t>
        </is>
      </c>
      <c r="B395" s="1" t="n">
        <v>43881</v>
      </c>
      <c r="C395" s="1" t="n">
        <v>45577</v>
      </c>
      <c r="D395" t="inlineStr">
        <is>
          <t>VÄSTERNORRLANDS LÄN</t>
        </is>
      </c>
      <c r="E395" t="inlineStr">
        <is>
          <t>SUNDSVALL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9915-2020</t>
        </is>
      </c>
      <c r="B396" s="1" t="n">
        <v>43882</v>
      </c>
      <c r="C396" s="1" t="n">
        <v>45577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10455-2020</t>
        </is>
      </c>
      <c r="B397" s="1" t="n">
        <v>43886</v>
      </c>
      <c r="C397" s="1" t="n">
        <v>45577</v>
      </c>
      <c r="D397" t="inlineStr">
        <is>
          <t>VÄSTERNORRLANDS LÄN</t>
        </is>
      </c>
      <c r="E397" t="inlineStr">
        <is>
          <t>SUNDSVALL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10456-2020</t>
        </is>
      </c>
      <c r="B398" s="1" t="n">
        <v>43886</v>
      </c>
      <c r="C398" s="1" t="n">
        <v>45577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10571-2020</t>
        </is>
      </c>
      <c r="B399" s="1" t="n">
        <v>43887</v>
      </c>
      <c r="C399" s="1" t="n">
        <v>45577</v>
      </c>
      <c r="D399" t="inlineStr">
        <is>
          <t>VÄSTERNORRLANDS LÄN</t>
        </is>
      </c>
      <c r="E399" t="inlineStr">
        <is>
          <t>SUNDSVALL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10649-2020</t>
        </is>
      </c>
      <c r="B400" s="1" t="n">
        <v>43887</v>
      </c>
      <c r="C400" s="1" t="n">
        <v>45577</v>
      </c>
      <c r="D400" t="inlineStr">
        <is>
          <t>VÄSTERNORRLANDS LÄN</t>
        </is>
      </c>
      <c r="E400" t="inlineStr">
        <is>
          <t>SUNDSVALL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10904-2020</t>
        </is>
      </c>
      <c r="B401" s="1" t="n">
        <v>43889</v>
      </c>
      <c r="C401" s="1" t="n">
        <v>45577</v>
      </c>
      <c r="D401" t="inlineStr">
        <is>
          <t>VÄSTERNORRLANDS LÄN</t>
        </is>
      </c>
      <c r="E401" t="inlineStr">
        <is>
          <t>SUNDSVALL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11426-2020</t>
        </is>
      </c>
      <c r="B402" s="1" t="n">
        <v>43892</v>
      </c>
      <c r="C402" s="1" t="n">
        <v>45577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11277-2020</t>
        </is>
      </c>
      <c r="B403" s="1" t="n">
        <v>43892</v>
      </c>
      <c r="C403" s="1" t="n">
        <v>45577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11413-2020</t>
        </is>
      </c>
      <c r="B404" s="1" t="n">
        <v>43892</v>
      </c>
      <c r="C404" s="1" t="n">
        <v>45577</v>
      </c>
      <c r="D404" t="inlineStr">
        <is>
          <t>VÄSTERNORRLANDS LÄN</t>
        </is>
      </c>
      <c r="E404" t="inlineStr">
        <is>
          <t>SUNDSVALL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11411-2020</t>
        </is>
      </c>
      <c r="B405" s="1" t="n">
        <v>43892</v>
      </c>
      <c r="C405" s="1" t="n">
        <v>45577</v>
      </c>
      <c r="D405" t="inlineStr">
        <is>
          <t>VÄSTERNORRLANDS LÄN</t>
        </is>
      </c>
      <c r="E405" t="inlineStr">
        <is>
          <t>SUNDSVALL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11427-2020</t>
        </is>
      </c>
      <c r="B406" s="1" t="n">
        <v>43892</v>
      </c>
      <c r="C406" s="1" t="n">
        <v>45577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11682-2020</t>
        </is>
      </c>
      <c r="B407" s="1" t="n">
        <v>43893</v>
      </c>
      <c r="C407" s="1" t="n">
        <v>45577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12065-2020</t>
        </is>
      </c>
      <c r="B408" s="1" t="n">
        <v>43894</v>
      </c>
      <c r="C408" s="1" t="n">
        <v>45577</v>
      </c>
      <c r="D408" t="inlineStr">
        <is>
          <t>VÄSTERNORRLANDS LÄN</t>
        </is>
      </c>
      <c r="E408" t="inlineStr">
        <is>
          <t>SUNDSVALL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12066-2020</t>
        </is>
      </c>
      <c r="B409" s="1" t="n">
        <v>43894</v>
      </c>
      <c r="C409" s="1" t="n">
        <v>45577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12336-2020</t>
        </is>
      </c>
      <c r="B410" s="1" t="n">
        <v>43895</v>
      </c>
      <c r="C410" s="1" t="n">
        <v>45577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13074-2020</t>
        </is>
      </c>
      <c r="B411" s="1" t="n">
        <v>43900</v>
      </c>
      <c r="C411" s="1" t="n">
        <v>45577</v>
      </c>
      <c r="D411" t="inlineStr">
        <is>
          <t>VÄSTERNORRLANDS LÄN</t>
        </is>
      </c>
      <c r="E411" t="inlineStr">
        <is>
          <t>SUNDSVALL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13073-2020</t>
        </is>
      </c>
      <c r="B412" s="1" t="n">
        <v>43900</v>
      </c>
      <c r="C412" s="1" t="n">
        <v>45577</v>
      </c>
      <c r="D412" t="inlineStr">
        <is>
          <t>VÄSTERNORRLANDS LÄN</t>
        </is>
      </c>
      <c r="E412" t="inlineStr">
        <is>
          <t>SUNDSVALL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13082-2020</t>
        </is>
      </c>
      <c r="B413" s="1" t="n">
        <v>43900</v>
      </c>
      <c r="C413" s="1" t="n">
        <v>45577</v>
      </c>
      <c r="D413" t="inlineStr">
        <is>
          <t>VÄSTERNORRLANDS LÄN</t>
        </is>
      </c>
      <c r="E413" t="inlineStr">
        <is>
          <t>SUNDSVALL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13068-2020</t>
        </is>
      </c>
      <c r="B414" s="1" t="n">
        <v>43900</v>
      </c>
      <c r="C414" s="1" t="n">
        <v>45577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13291-2020</t>
        </is>
      </c>
      <c r="B415" s="1" t="n">
        <v>43901</v>
      </c>
      <c r="C415" s="1" t="n">
        <v>45577</v>
      </c>
      <c r="D415" t="inlineStr">
        <is>
          <t>VÄSTERNORRLANDS LÄN</t>
        </is>
      </c>
      <c r="E415" t="inlineStr">
        <is>
          <t>SUNDSVALL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14330-2020</t>
        </is>
      </c>
      <c r="B416" s="1" t="n">
        <v>43907</v>
      </c>
      <c r="C416" s="1" t="n">
        <v>45577</v>
      </c>
      <c r="D416" t="inlineStr">
        <is>
          <t>VÄSTERNORRLANDS LÄN</t>
        </is>
      </c>
      <c r="E416" t="inlineStr">
        <is>
          <t>SUNDSVALL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14853-2020</t>
        </is>
      </c>
      <c r="B417" s="1" t="n">
        <v>43909</v>
      </c>
      <c r="C417" s="1" t="n">
        <v>45577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15098-2020</t>
        </is>
      </c>
      <c r="B418" s="1" t="n">
        <v>43910</v>
      </c>
      <c r="C418" s="1" t="n">
        <v>45577</v>
      </c>
      <c r="D418" t="inlineStr">
        <is>
          <t>VÄSTERNORRLANDS LÄN</t>
        </is>
      </c>
      <c r="E418" t="inlineStr">
        <is>
          <t>SUNDSVALL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15215-2020</t>
        </is>
      </c>
      <c r="B419" s="1" t="n">
        <v>43913</v>
      </c>
      <c r="C419" s="1" t="n">
        <v>45577</v>
      </c>
      <c r="D419" t="inlineStr">
        <is>
          <t>VÄSTERNORRLANDS LÄN</t>
        </is>
      </c>
      <c r="E419" t="inlineStr">
        <is>
          <t>SUNDSVALL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15267-2020</t>
        </is>
      </c>
      <c r="B420" s="1" t="n">
        <v>43913</v>
      </c>
      <c r="C420" s="1" t="n">
        <v>45577</v>
      </c>
      <c r="D420" t="inlineStr">
        <is>
          <t>VÄSTERNORRLANDS LÄN</t>
        </is>
      </c>
      <c r="E420" t="inlineStr">
        <is>
          <t>SUNDSVALL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15639-2020</t>
        </is>
      </c>
      <c r="B421" s="1" t="n">
        <v>43914</v>
      </c>
      <c r="C421" s="1" t="n">
        <v>45577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15640-2020</t>
        </is>
      </c>
      <c r="B422" s="1" t="n">
        <v>43914</v>
      </c>
      <c r="C422" s="1" t="n">
        <v>45577</v>
      </c>
      <c r="D422" t="inlineStr">
        <is>
          <t>VÄSTERNORRLANDS LÄN</t>
        </is>
      </c>
      <c r="E422" t="inlineStr">
        <is>
          <t>SUNDSVALL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15890-2020</t>
        </is>
      </c>
      <c r="B423" s="1" t="n">
        <v>43915</v>
      </c>
      <c r="C423" s="1" t="n">
        <v>45577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15892-2020</t>
        </is>
      </c>
      <c r="B424" s="1" t="n">
        <v>43915</v>
      </c>
      <c r="C424" s="1" t="n">
        <v>45577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15726-2020</t>
        </is>
      </c>
      <c r="B425" s="1" t="n">
        <v>43915</v>
      </c>
      <c r="C425" s="1" t="n">
        <v>45577</v>
      </c>
      <c r="D425" t="inlineStr">
        <is>
          <t>VÄSTERNORRLANDS LÄN</t>
        </is>
      </c>
      <c r="E425" t="inlineStr">
        <is>
          <t>SUNDSVALL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16166-2020</t>
        </is>
      </c>
      <c r="B426" s="1" t="n">
        <v>43916</v>
      </c>
      <c r="C426" s="1" t="n">
        <v>45577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16165-2020</t>
        </is>
      </c>
      <c r="B427" s="1" t="n">
        <v>43916</v>
      </c>
      <c r="C427" s="1" t="n">
        <v>45577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16167-2020</t>
        </is>
      </c>
      <c r="B428" s="1" t="n">
        <v>43916</v>
      </c>
      <c r="C428" s="1" t="n">
        <v>45577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16947-2020</t>
        </is>
      </c>
      <c r="B429" s="1" t="n">
        <v>43921</v>
      </c>
      <c r="C429" s="1" t="n">
        <v>45577</v>
      </c>
      <c r="D429" t="inlineStr">
        <is>
          <t>VÄSTERNORRLANDS LÄN</t>
        </is>
      </c>
      <c r="E429" t="inlineStr">
        <is>
          <t>SUNDSVALL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17691-2020</t>
        </is>
      </c>
      <c r="B430" s="1" t="n">
        <v>43923</v>
      </c>
      <c r="C430" s="1" t="n">
        <v>45577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19034-2020</t>
        </is>
      </c>
      <c r="B431" s="1" t="n">
        <v>43936</v>
      </c>
      <c r="C431" s="1" t="n">
        <v>45577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19074-2020</t>
        </is>
      </c>
      <c r="B432" s="1" t="n">
        <v>43936</v>
      </c>
      <c r="C432" s="1" t="n">
        <v>45577</v>
      </c>
      <c r="D432" t="inlineStr">
        <is>
          <t>VÄSTERNORRLANDS LÄN</t>
        </is>
      </c>
      <c r="E432" t="inlineStr">
        <is>
          <t>SUNDSVALL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19727-2020</t>
        </is>
      </c>
      <c r="B433" s="1" t="n">
        <v>43942</v>
      </c>
      <c r="C433" s="1" t="n">
        <v>45577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19726-2020</t>
        </is>
      </c>
      <c r="B434" s="1" t="n">
        <v>43941</v>
      </c>
      <c r="C434" s="1" t="n">
        <v>45577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19724-2020</t>
        </is>
      </c>
      <c r="B435" s="1" t="n">
        <v>43941</v>
      </c>
      <c r="C435" s="1" t="n">
        <v>45577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20082-2020</t>
        </is>
      </c>
      <c r="B436" s="1" t="n">
        <v>43943</v>
      </c>
      <c r="C436" s="1" t="n">
        <v>45577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20090-2020</t>
        </is>
      </c>
      <c r="B437" s="1" t="n">
        <v>43943</v>
      </c>
      <c r="C437" s="1" t="n">
        <v>45577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20623-2020</t>
        </is>
      </c>
      <c r="B438" s="1" t="n">
        <v>43948</v>
      </c>
      <c r="C438" s="1" t="n">
        <v>45577</v>
      </c>
      <c r="D438" t="inlineStr">
        <is>
          <t>VÄSTERNORRLANDS LÄN</t>
        </is>
      </c>
      <c r="E438" t="inlineStr">
        <is>
          <t>SUNDSVALL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21411-2020</t>
        </is>
      </c>
      <c r="B439" s="1" t="n">
        <v>43955</v>
      </c>
      <c r="C439" s="1" t="n">
        <v>45577</v>
      </c>
      <c r="D439" t="inlineStr">
        <is>
          <t>VÄSTERNORRLANDS LÄN</t>
        </is>
      </c>
      <c r="E439" t="inlineStr">
        <is>
          <t>SUNDSVALL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21358-2020</t>
        </is>
      </c>
      <c r="B440" s="1" t="n">
        <v>43955</v>
      </c>
      <c r="C440" s="1" t="n">
        <v>45577</v>
      </c>
      <c r="D440" t="inlineStr">
        <is>
          <t>VÄSTERNORRLANDS LÄN</t>
        </is>
      </c>
      <c r="E440" t="inlineStr">
        <is>
          <t>SUNDSVALL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21600-2020</t>
        </is>
      </c>
      <c r="B441" s="1" t="n">
        <v>43957</v>
      </c>
      <c r="C441" s="1" t="n">
        <v>45577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22101-2020</t>
        </is>
      </c>
      <c r="B442" s="1" t="n">
        <v>43959</v>
      </c>
      <c r="C442" s="1" t="n">
        <v>45577</v>
      </c>
      <c r="D442" t="inlineStr">
        <is>
          <t>VÄSTERNORRLANDS LÄN</t>
        </is>
      </c>
      <c r="E442" t="inlineStr">
        <is>
          <t>SUNDSVALL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22097-2020</t>
        </is>
      </c>
      <c r="B443" s="1" t="n">
        <v>43960</v>
      </c>
      <c r="C443" s="1" t="n">
        <v>45577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23283-2020</t>
        </is>
      </c>
      <c r="B444" s="1" t="n">
        <v>43965</v>
      </c>
      <c r="C444" s="1" t="n">
        <v>45577</v>
      </c>
      <c r="D444" t="inlineStr">
        <is>
          <t>VÄSTERNORRLANDS LÄN</t>
        </is>
      </c>
      <c r="E444" t="inlineStr">
        <is>
          <t>SUNDSVALL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23210-2020</t>
        </is>
      </c>
      <c r="B445" s="1" t="n">
        <v>43966</v>
      </c>
      <c r="C445" s="1" t="n">
        <v>45577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23587-2020</t>
        </is>
      </c>
      <c r="B446" s="1" t="n">
        <v>43969</v>
      </c>
      <c r="C446" s="1" t="n">
        <v>45577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23641-2020</t>
        </is>
      </c>
      <c r="B447" s="1" t="n">
        <v>43969</v>
      </c>
      <c r="C447" s="1" t="n">
        <v>45577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23642-2020</t>
        </is>
      </c>
      <c r="B448" s="1" t="n">
        <v>43969</v>
      </c>
      <c r="C448" s="1" t="n">
        <v>45577</v>
      </c>
      <c r="D448" t="inlineStr">
        <is>
          <t>VÄSTERNORRLANDS LÄN</t>
        </is>
      </c>
      <c r="E448" t="inlineStr">
        <is>
          <t>SUNDSVALL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24494-2020</t>
        </is>
      </c>
      <c r="B449" s="1" t="n">
        <v>43976</v>
      </c>
      <c r="C449" s="1" t="n">
        <v>45577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24662-2020</t>
        </is>
      </c>
      <c r="B450" s="1" t="n">
        <v>43977</v>
      </c>
      <c r="C450" s="1" t="n">
        <v>45577</v>
      </c>
      <c r="D450" t="inlineStr">
        <is>
          <t>VÄSTERNORRLANDS LÄN</t>
        </is>
      </c>
      <c r="E450" t="inlineStr">
        <is>
          <t>SUNDSVALL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25217-2020</t>
        </is>
      </c>
      <c r="B451" s="1" t="n">
        <v>43980</v>
      </c>
      <c r="C451" s="1" t="n">
        <v>45577</v>
      </c>
      <c r="D451" t="inlineStr">
        <is>
          <t>VÄSTERNORRLANDS LÄN</t>
        </is>
      </c>
      <c r="E451" t="inlineStr">
        <is>
          <t>SUNDSVALL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26613-2020</t>
        </is>
      </c>
      <c r="B452" s="1" t="n">
        <v>43987</v>
      </c>
      <c r="C452" s="1" t="n">
        <v>45577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26962-2020</t>
        </is>
      </c>
      <c r="B453" s="1" t="n">
        <v>43990</v>
      </c>
      <c r="C453" s="1" t="n">
        <v>45577</v>
      </c>
      <c r="D453" t="inlineStr">
        <is>
          <t>VÄSTERNORRLANDS LÄN</t>
        </is>
      </c>
      <c r="E453" t="inlineStr">
        <is>
          <t>SUNDSVALL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27195-2020</t>
        </is>
      </c>
      <c r="B454" s="1" t="n">
        <v>43991</v>
      </c>
      <c r="C454" s="1" t="n">
        <v>45577</v>
      </c>
      <c r="D454" t="inlineStr">
        <is>
          <t>VÄSTERNORRLANDS LÄN</t>
        </is>
      </c>
      <c r="E454" t="inlineStr">
        <is>
          <t>SUNDSVALL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27274-2020</t>
        </is>
      </c>
      <c r="B455" s="1" t="n">
        <v>43992</v>
      </c>
      <c r="C455" s="1" t="n">
        <v>45577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27551-2020</t>
        </is>
      </c>
      <c r="B456" s="1" t="n">
        <v>43993</v>
      </c>
      <c r="C456" s="1" t="n">
        <v>45577</v>
      </c>
      <c r="D456" t="inlineStr">
        <is>
          <t>VÄSTERNORRLANDS LÄN</t>
        </is>
      </c>
      <c r="E456" t="inlineStr">
        <is>
          <t>SUNDSVALL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27992-2020</t>
        </is>
      </c>
      <c r="B457" s="1" t="n">
        <v>43997</v>
      </c>
      <c r="C457" s="1" t="n">
        <v>45577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28220-2020</t>
        </is>
      </c>
      <c r="B458" s="1" t="n">
        <v>43997</v>
      </c>
      <c r="C458" s="1" t="n">
        <v>45577</v>
      </c>
      <c r="D458" t="inlineStr">
        <is>
          <t>VÄSTERNORRLANDS LÄN</t>
        </is>
      </c>
      <c r="E458" t="inlineStr">
        <is>
          <t>SUNDSVALL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28559-2020</t>
        </is>
      </c>
      <c r="B459" s="1" t="n">
        <v>43997</v>
      </c>
      <c r="C459" s="1" t="n">
        <v>45577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28222-2020</t>
        </is>
      </c>
      <c r="B460" s="1" t="n">
        <v>43997</v>
      </c>
      <c r="C460" s="1" t="n">
        <v>45577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28218-2020</t>
        </is>
      </c>
      <c r="B461" s="1" t="n">
        <v>43997</v>
      </c>
      <c r="C461" s="1" t="n">
        <v>45577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28655-2020</t>
        </is>
      </c>
      <c r="B462" s="1" t="n">
        <v>43999</v>
      </c>
      <c r="C462" s="1" t="n">
        <v>45577</v>
      </c>
      <c r="D462" t="inlineStr">
        <is>
          <t>VÄSTERNORRLANDS LÄN</t>
        </is>
      </c>
      <c r="E462" t="inlineStr">
        <is>
          <t>SUNDSVALL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28727-2020</t>
        </is>
      </c>
      <c r="B463" s="1" t="n">
        <v>43999</v>
      </c>
      <c r="C463" s="1" t="n">
        <v>45577</v>
      </c>
      <c r="D463" t="inlineStr">
        <is>
          <t>VÄSTERNORRLANDS LÄN</t>
        </is>
      </c>
      <c r="E463" t="inlineStr">
        <is>
          <t>SUNDSVALL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28724-2020</t>
        </is>
      </c>
      <c r="B464" s="1" t="n">
        <v>43999</v>
      </c>
      <c r="C464" s="1" t="n">
        <v>45577</v>
      </c>
      <c r="D464" t="inlineStr">
        <is>
          <t>VÄSTERNORRLANDS LÄN</t>
        </is>
      </c>
      <c r="E464" t="inlineStr">
        <is>
          <t>SUNDSVALL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29059-2020</t>
        </is>
      </c>
      <c r="B465" s="1" t="n">
        <v>44000</v>
      </c>
      <c r="C465" s="1" t="n">
        <v>45577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29189-2020</t>
        </is>
      </c>
      <c r="B466" s="1" t="n">
        <v>44004</v>
      </c>
      <c r="C466" s="1" t="n">
        <v>45577</v>
      </c>
      <c r="D466" t="inlineStr">
        <is>
          <t>VÄSTERNORRLANDS LÄN</t>
        </is>
      </c>
      <c r="E466" t="inlineStr">
        <is>
          <t>SUNDSVALL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29777-2020</t>
        </is>
      </c>
      <c r="B467" s="1" t="n">
        <v>44005</v>
      </c>
      <c r="C467" s="1" t="n">
        <v>45577</v>
      </c>
      <c r="D467" t="inlineStr">
        <is>
          <t>VÄSTERNORRLANDS LÄN</t>
        </is>
      </c>
      <c r="E467" t="inlineStr">
        <is>
          <t>SUNDSVALL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29784-2020</t>
        </is>
      </c>
      <c r="B468" s="1" t="n">
        <v>44005</v>
      </c>
      <c r="C468" s="1" t="n">
        <v>45577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29906-2020</t>
        </is>
      </c>
      <c r="B469" s="1" t="n">
        <v>44006</v>
      </c>
      <c r="C469" s="1" t="n">
        <v>45577</v>
      </c>
      <c r="D469" t="inlineStr">
        <is>
          <t>VÄSTERNORRLANDS LÄN</t>
        </is>
      </c>
      <c r="E469" t="inlineStr">
        <is>
          <t>SUNDSVALL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30685-2020</t>
        </is>
      </c>
      <c r="B470" s="1" t="n">
        <v>44008</v>
      </c>
      <c r="C470" s="1" t="n">
        <v>45577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31586-2020</t>
        </is>
      </c>
      <c r="B471" s="1" t="n">
        <v>44013</v>
      </c>
      <c r="C471" s="1" t="n">
        <v>45577</v>
      </c>
      <c r="D471" t="inlineStr">
        <is>
          <t>VÄSTERNORRLANDS LÄN</t>
        </is>
      </c>
      <c r="E471" t="inlineStr">
        <is>
          <t>SUNDSVALL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31965-2020</t>
        </is>
      </c>
      <c r="B472" s="1" t="n">
        <v>44014</v>
      </c>
      <c r="C472" s="1" t="n">
        <v>45577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31984-2020</t>
        </is>
      </c>
      <c r="B473" s="1" t="n">
        <v>44014</v>
      </c>
      <c r="C473" s="1" t="n">
        <v>45577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32425-2020</t>
        </is>
      </c>
      <c r="B474" s="1" t="n">
        <v>44018</v>
      </c>
      <c r="C474" s="1" t="n">
        <v>45577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32646-2020</t>
        </is>
      </c>
      <c r="B475" s="1" t="n">
        <v>44018</v>
      </c>
      <c r="C475" s="1" t="n">
        <v>45577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32998-2020</t>
        </is>
      </c>
      <c r="B476" s="1" t="n">
        <v>44020</v>
      </c>
      <c r="C476" s="1" t="n">
        <v>45577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32997-2020</t>
        </is>
      </c>
      <c r="B477" s="1" t="n">
        <v>44021</v>
      </c>
      <c r="C477" s="1" t="n">
        <v>45577</v>
      </c>
      <c r="D477" t="inlineStr">
        <is>
          <t>VÄSTERNORRLANDS LÄN</t>
        </is>
      </c>
      <c r="E477" t="inlineStr">
        <is>
          <t>SUNDSVALL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33877-2020</t>
        </is>
      </c>
      <c r="B478" s="1" t="n">
        <v>44025</v>
      </c>
      <c r="C478" s="1" t="n">
        <v>45577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33779-2020</t>
        </is>
      </c>
      <c r="B479" s="1" t="n">
        <v>44026</v>
      </c>
      <c r="C479" s="1" t="n">
        <v>45577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34568-2020</t>
        </is>
      </c>
      <c r="B480" s="1" t="n">
        <v>44033</v>
      </c>
      <c r="C480" s="1" t="n">
        <v>45577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34655-2020</t>
        </is>
      </c>
      <c r="B481" s="1" t="n">
        <v>44034</v>
      </c>
      <c r="C481" s="1" t="n">
        <v>45577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34656-2020</t>
        </is>
      </c>
      <c r="B482" s="1" t="n">
        <v>44034</v>
      </c>
      <c r="C482" s="1" t="n">
        <v>45577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34781-2020</t>
        </is>
      </c>
      <c r="B483" s="1" t="n">
        <v>44035</v>
      </c>
      <c r="C483" s="1" t="n">
        <v>45577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34779-2020</t>
        </is>
      </c>
      <c r="B484" s="1" t="n">
        <v>44035</v>
      </c>
      <c r="C484" s="1" t="n">
        <v>45577</v>
      </c>
      <c r="D484" t="inlineStr">
        <is>
          <t>VÄSTERNORRLANDS LÄN</t>
        </is>
      </c>
      <c r="E484" t="inlineStr">
        <is>
          <t>SUNDSVALL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34780-2020</t>
        </is>
      </c>
      <c r="B485" s="1" t="n">
        <v>44035</v>
      </c>
      <c r="C485" s="1" t="n">
        <v>45577</v>
      </c>
      <c r="D485" t="inlineStr">
        <is>
          <t>VÄSTERNORRLANDS LÄN</t>
        </is>
      </c>
      <c r="E485" t="inlineStr">
        <is>
          <t>SUNDSVALL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35211-2020</t>
        </is>
      </c>
      <c r="B486" s="1" t="n">
        <v>44040</v>
      </c>
      <c r="C486" s="1" t="n">
        <v>45577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35596-2020</t>
        </is>
      </c>
      <c r="B487" s="1" t="n">
        <v>44043</v>
      </c>
      <c r="C487" s="1" t="n">
        <v>45577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36020-2020</t>
        </is>
      </c>
      <c r="B488" s="1" t="n">
        <v>44047</v>
      </c>
      <c r="C488" s="1" t="n">
        <v>45577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36448-2020</t>
        </is>
      </c>
      <c r="B489" s="1" t="n">
        <v>44049</v>
      </c>
      <c r="C489" s="1" t="n">
        <v>45577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36645-2020</t>
        </is>
      </c>
      <c r="B490" s="1" t="n">
        <v>44050</v>
      </c>
      <c r="C490" s="1" t="n">
        <v>45577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36673-2020</t>
        </is>
      </c>
      <c r="B491" s="1" t="n">
        <v>44050</v>
      </c>
      <c r="C491" s="1" t="n">
        <v>45577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37233-2020</t>
        </is>
      </c>
      <c r="B492" s="1" t="n">
        <v>44054</v>
      </c>
      <c r="C492" s="1" t="n">
        <v>45577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38096-2020</t>
        </is>
      </c>
      <c r="B493" s="1" t="n">
        <v>44057</v>
      </c>
      <c r="C493" s="1" t="n">
        <v>45577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38091-2020</t>
        </is>
      </c>
      <c r="B494" s="1" t="n">
        <v>44057</v>
      </c>
      <c r="C494" s="1" t="n">
        <v>45577</v>
      </c>
      <c r="D494" t="inlineStr">
        <is>
          <t>VÄSTERNORRLANDS LÄN</t>
        </is>
      </c>
      <c r="E494" t="inlineStr">
        <is>
          <t>SUNDSVALL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38754-2020</t>
        </is>
      </c>
      <c r="B495" s="1" t="n">
        <v>44061</v>
      </c>
      <c r="C495" s="1" t="n">
        <v>45577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38852-2020</t>
        </is>
      </c>
      <c r="B496" s="1" t="n">
        <v>44062</v>
      </c>
      <c r="C496" s="1" t="n">
        <v>45577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38858-2020</t>
        </is>
      </c>
      <c r="B497" s="1" t="n">
        <v>44062</v>
      </c>
      <c r="C497" s="1" t="n">
        <v>45577</v>
      </c>
      <c r="D497" t="inlineStr">
        <is>
          <t>VÄSTERNORRLANDS LÄN</t>
        </is>
      </c>
      <c r="E497" t="inlineStr">
        <is>
          <t>SUNDSVALL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38863-2020</t>
        </is>
      </c>
      <c r="B498" s="1" t="n">
        <v>44062</v>
      </c>
      <c r="C498" s="1" t="n">
        <v>45577</v>
      </c>
      <c r="D498" t="inlineStr">
        <is>
          <t>VÄSTERNORRLANDS LÄN</t>
        </is>
      </c>
      <c r="E498" t="inlineStr">
        <is>
          <t>SUNDSVALL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39756-2020</t>
        </is>
      </c>
      <c r="B499" s="1" t="n">
        <v>44067</v>
      </c>
      <c r="C499" s="1" t="n">
        <v>45577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40554-2020</t>
        </is>
      </c>
      <c r="B500" s="1" t="n">
        <v>44069</v>
      </c>
      <c r="C500" s="1" t="n">
        <v>45577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41030-2020</t>
        </is>
      </c>
      <c r="B501" s="1" t="n">
        <v>44070</v>
      </c>
      <c r="C501" s="1" t="n">
        <v>45577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41335-2020</t>
        </is>
      </c>
      <c r="B502" s="1" t="n">
        <v>44071</v>
      </c>
      <c r="C502" s="1" t="n">
        <v>45577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41351-2020</t>
        </is>
      </c>
      <c r="B503" s="1" t="n">
        <v>44071</v>
      </c>
      <c r="C503" s="1" t="n">
        <v>45577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42099-2020</t>
        </is>
      </c>
      <c r="B504" s="1" t="n">
        <v>44074</v>
      </c>
      <c r="C504" s="1" t="n">
        <v>45577</v>
      </c>
      <c r="D504" t="inlineStr">
        <is>
          <t>VÄSTERNORRLANDS LÄN</t>
        </is>
      </c>
      <c r="E504" t="inlineStr">
        <is>
          <t>SUNDSVALL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42155-2020</t>
        </is>
      </c>
      <c r="B505" s="1" t="n">
        <v>44074</v>
      </c>
      <c r="C505" s="1" t="n">
        <v>45577</v>
      </c>
      <c r="D505" t="inlineStr">
        <is>
          <t>VÄSTERNORRLANDS LÄN</t>
        </is>
      </c>
      <c r="E505" t="inlineStr">
        <is>
          <t>SUNDSVALL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43299-2020</t>
        </is>
      </c>
      <c r="B506" s="1" t="n">
        <v>44081</v>
      </c>
      <c r="C506" s="1" t="n">
        <v>45577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44210-2020</t>
        </is>
      </c>
      <c r="B507" s="1" t="n">
        <v>44083</v>
      </c>
      <c r="C507" s="1" t="n">
        <v>45577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45053-2020</t>
        </is>
      </c>
      <c r="B508" s="1" t="n">
        <v>44084</v>
      </c>
      <c r="C508" s="1" t="n">
        <v>45577</v>
      </c>
      <c r="D508" t="inlineStr">
        <is>
          <t>VÄSTERNORRLANDS LÄN</t>
        </is>
      </c>
      <c r="E508" t="inlineStr">
        <is>
          <t>SUNDSVALL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44599-2020</t>
        </is>
      </c>
      <c r="B509" s="1" t="n">
        <v>44085</v>
      </c>
      <c r="C509" s="1" t="n">
        <v>45577</v>
      </c>
      <c r="D509" t="inlineStr">
        <is>
          <t>VÄSTERNORRLANDS LÄN</t>
        </is>
      </c>
      <c r="E509" t="inlineStr">
        <is>
          <t>SUNDSVALL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45337-2020</t>
        </is>
      </c>
      <c r="B510" s="1" t="n">
        <v>44085</v>
      </c>
      <c r="C510" s="1" t="n">
        <v>45577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45099-2020</t>
        </is>
      </c>
      <c r="B511" s="1" t="n">
        <v>44088</v>
      </c>
      <c r="C511" s="1" t="n">
        <v>45577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45005-2020</t>
        </is>
      </c>
      <c r="B512" s="1" t="n">
        <v>44088</v>
      </c>
      <c r="C512" s="1" t="n">
        <v>45577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45233-2020</t>
        </is>
      </c>
      <c r="B513" s="1" t="n">
        <v>44088</v>
      </c>
      <c r="C513" s="1" t="n">
        <v>45577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45596-2020</t>
        </is>
      </c>
      <c r="B514" s="1" t="n">
        <v>44090</v>
      </c>
      <c r="C514" s="1" t="n">
        <v>45577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45829-2020</t>
        </is>
      </c>
      <c r="B515" s="1" t="n">
        <v>44090</v>
      </c>
      <c r="C515" s="1" t="n">
        <v>45577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45852-2020</t>
        </is>
      </c>
      <c r="B516" s="1" t="n">
        <v>44090</v>
      </c>
      <c r="C516" s="1" t="n">
        <v>45577</v>
      </c>
      <c r="D516" t="inlineStr">
        <is>
          <t>VÄSTERNORRLANDS LÄN</t>
        </is>
      </c>
      <c r="E516" t="inlineStr">
        <is>
          <t>SUNDSVALL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49273-2020</t>
        </is>
      </c>
      <c r="B517" s="1" t="n">
        <v>44105</v>
      </c>
      <c r="C517" s="1" t="n">
        <v>45577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49497-2020</t>
        </is>
      </c>
      <c r="B518" s="1" t="n">
        <v>44105</v>
      </c>
      <c r="C518" s="1" t="n">
        <v>45577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49504-2020</t>
        </is>
      </c>
      <c r="B519" s="1" t="n">
        <v>44105</v>
      </c>
      <c r="C519" s="1" t="n">
        <v>45577</v>
      </c>
      <c r="D519" t="inlineStr">
        <is>
          <t>VÄSTERNORRLANDS LÄN</t>
        </is>
      </c>
      <c r="E519" t="inlineStr">
        <is>
          <t>SUNDSVALL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49496-2020</t>
        </is>
      </c>
      <c r="B520" s="1" t="n">
        <v>44105</v>
      </c>
      <c r="C520" s="1" t="n">
        <v>45577</v>
      </c>
      <c r="D520" t="inlineStr">
        <is>
          <t>VÄSTERNORRLANDS LÄN</t>
        </is>
      </c>
      <c r="E520" t="inlineStr">
        <is>
          <t>SUNDSVALL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49503-2020</t>
        </is>
      </c>
      <c r="B521" s="1" t="n">
        <v>44105</v>
      </c>
      <c r="C521" s="1" t="n">
        <v>45577</v>
      </c>
      <c r="D521" t="inlineStr">
        <is>
          <t>VÄSTERNORRLANDS LÄN</t>
        </is>
      </c>
      <c r="E521" t="inlineStr">
        <is>
          <t>SUNDSVALL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49499-2020</t>
        </is>
      </c>
      <c r="B522" s="1" t="n">
        <v>44105</v>
      </c>
      <c r="C522" s="1" t="n">
        <v>45577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49489-2020</t>
        </is>
      </c>
      <c r="B523" s="1" t="n">
        <v>44105</v>
      </c>
      <c r="C523" s="1" t="n">
        <v>45577</v>
      </c>
      <c r="D523" t="inlineStr">
        <is>
          <t>VÄSTERNORRLANDS LÄN</t>
        </is>
      </c>
      <c r="E523" t="inlineStr">
        <is>
          <t>SUNDSVALL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49501-2020</t>
        </is>
      </c>
      <c r="B524" s="1" t="n">
        <v>44106</v>
      </c>
      <c r="C524" s="1" t="n">
        <v>45577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50151-2020</t>
        </is>
      </c>
      <c r="B525" s="1" t="n">
        <v>44109</v>
      </c>
      <c r="C525" s="1" t="n">
        <v>45577</v>
      </c>
      <c r="D525" t="inlineStr">
        <is>
          <t>VÄSTERNORRLANDS LÄN</t>
        </is>
      </c>
      <c r="E525" t="inlineStr">
        <is>
          <t>SUNDSVALL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50169-2020</t>
        </is>
      </c>
      <c r="B526" s="1" t="n">
        <v>44109</v>
      </c>
      <c r="C526" s="1" t="n">
        <v>45577</v>
      </c>
      <c r="D526" t="inlineStr">
        <is>
          <t>VÄSTERNORRLANDS LÄN</t>
        </is>
      </c>
      <c r="E526" t="inlineStr">
        <is>
          <t>SUNDSVALL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50485-2020</t>
        </is>
      </c>
      <c r="B527" s="1" t="n">
        <v>44110</v>
      </c>
      <c r="C527" s="1" t="n">
        <v>45577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50500-2020</t>
        </is>
      </c>
      <c r="B528" s="1" t="n">
        <v>44110</v>
      </c>
      <c r="C528" s="1" t="n">
        <v>45577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51368-2020</t>
        </is>
      </c>
      <c r="B529" s="1" t="n">
        <v>44112</v>
      </c>
      <c r="C529" s="1" t="n">
        <v>45577</v>
      </c>
      <c r="D529" t="inlineStr">
        <is>
          <t>VÄSTERNORRLANDS LÄN</t>
        </is>
      </c>
      <c r="E529" t="inlineStr">
        <is>
          <t>SUNDSVALL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51712-2020</t>
        </is>
      </c>
      <c r="B530" s="1" t="n">
        <v>44113</v>
      </c>
      <c r="C530" s="1" t="n">
        <v>45577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51754-2020</t>
        </is>
      </c>
      <c r="B531" s="1" t="n">
        <v>44114</v>
      </c>
      <c r="C531" s="1" t="n">
        <v>45577</v>
      </c>
      <c r="D531" t="inlineStr">
        <is>
          <t>VÄSTERNORRLANDS LÄN</t>
        </is>
      </c>
      <c r="E531" t="inlineStr">
        <is>
          <t>SUNDSVALL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52036-2020</t>
        </is>
      </c>
      <c r="B532" s="1" t="n">
        <v>44116</v>
      </c>
      <c r="C532" s="1" t="n">
        <v>45577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53142-2020</t>
        </is>
      </c>
      <c r="B533" s="1" t="n">
        <v>44120</v>
      </c>
      <c r="C533" s="1" t="n">
        <v>45577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53503-2020</t>
        </is>
      </c>
      <c r="B534" s="1" t="n">
        <v>44123</v>
      </c>
      <c r="C534" s="1" t="n">
        <v>45577</v>
      </c>
      <c r="D534" t="inlineStr">
        <is>
          <t>VÄSTERNORRLANDS LÄN</t>
        </is>
      </c>
      <c r="E534" t="inlineStr">
        <is>
          <t>SUNDSVALL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54574-2020</t>
        </is>
      </c>
      <c r="B535" s="1" t="n">
        <v>44126</v>
      </c>
      <c r="C535" s="1" t="n">
        <v>45577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55313-2020</t>
        </is>
      </c>
      <c r="B536" s="1" t="n">
        <v>44130</v>
      </c>
      <c r="C536" s="1" t="n">
        <v>45577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55988-2020</t>
        </is>
      </c>
      <c r="B537" s="1" t="n">
        <v>44132</v>
      </c>
      <c r="C537" s="1" t="n">
        <v>45577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57405-2020</t>
        </is>
      </c>
      <c r="B538" s="1" t="n">
        <v>44139</v>
      </c>
      <c r="C538" s="1" t="n">
        <v>45577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57900-2020</t>
        </is>
      </c>
      <c r="B539" s="1" t="n">
        <v>44140</v>
      </c>
      <c r="C539" s="1" t="n">
        <v>45577</v>
      </c>
      <c r="D539" t="inlineStr">
        <is>
          <t>VÄSTERNORRLANDS LÄN</t>
        </is>
      </c>
      <c r="E539" t="inlineStr">
        <is>
          <t>SUNDSVALL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57890-2020</t>
        </is>
      </c>
      <c r="B540" s="1" t="n">
        <v>44140</v>
      </c>
      <c r="C540" s="1" t="n">
        <v>45577</v>
      </c>
      <c r="D540" t="inlineStr">
        <is>
          <t>VÄSTERNORRLANDS LÄN</t>
        </is>
      </c>
      <c r="E540" t="inlineStr">
        <is>
          <t>SUNDSVALL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57735-2020</t>
        </is>
      </c>
      <c r="B541" s="1" t="n">
        <v>44140</v>
      </c>
      <c r="C541" s="1" t="n">
        <v>45577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59013-2020</t>
        </is>
      </c>
      <c r="B542" s="1" t="n">
        <v>44146</v>
      </c>
      <c r="C542" s="1" t="n">
        <v>45577</v>
      </c>
      <c r="D542" t="inlineStr">
        <is>
          <t>VÄSTERNORRLANDS LÄN</t>
        </is>
      </c>
      <c r="E542" t="inlineStr">
        <is>
          <t>SUNDSVALL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59106-2020</t>
        </is>
      </c>
      <c r="B543" s="1" t="n">
        <v>44147</v>
      </c>
      <c r="C543" s="1" t="n">
        <v>45577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60178-2020</t>
        </is>
      </c>
      <c r="B544" s="1" t="n">
        <v>44152</v>
      </c>
      <c r="C544" s="1" t="n">
        <v>45577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60391-2020</t>
        </is>
      </c>
      <c r="B545" s="1" t="n">
        <v>44152</v>
      </c>
      <c r="C545" s="1" t="n">
        <v>45577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61568-2020</t>
        </is>
      </c>
      <c r="B546" s="1" t="n">
        <v>44154</v>
      </c>
      <c r="C546" s="1" t="n">
        <v>45577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61142-2020</t>
        </is>
      </c>
      <c r="B547" s="1" t="n">
        <v>44154</v>
      </c>
      <c r="C547" s="1" t="n">
        <v>45577</v>
      </c>
      <c r="D547" t="inlineStr">
        <is>
          <t>VÄSTERNORRLANDS LÄN</t>
        </is>
      </c>
      <c r="E547" t="inlineStr">
        <is>
          <t>SUNDSVALL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61719-2020</t>
        </is>
      </c>
      <c r="B548" s="1" t="n">
        <v>44158</v>
      </c>
      <c r="C548" s="1" t="n">
        <v>45577</v>
      </c>
      <c r="D548" t="inlineStr">
        <is>
          <t>VÄSTERNORRLANDS LÄN</t>
        </is>
      </c>
      <c r="E548" t="inlineStr">
        <is>
          <t>SUNDSVALL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61723-2020</t>
        </is>
      </c>
      <c r="B549" s="1" t="n">
        <v>44158</v>
      </c>
      <c r="C549" s="1" t="n">
        <v>45577</v>
      </c>
      <c r="D549" t="inlineStr">
        <is>
          <t>VÄSTERNORRLANDS LÄN</t>
        </is>
      </c>
      <c r="E549" t="inlineStr">
        <is>
          <t>SUNDSVALL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62294-2020</t>
        </is>
      </c>
      <c r="B550" s="1" t="n">
        <v>44160</v>
      </c>
      <c r="C550" s="1" t="n">
        <v>45577</v>
      </c>
      <c r="D550" t="inlineStr">
        <is>
          <t>VÄSTERNORRLANDS LÄN</t>
        </is>
      </c>
      <c r="E550" t="inlineStr">
        <is>
          <t>SUNDSVALL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63598-2020</t>
        </is>
      </c>
      <c r="B551" s="1" t="n">
        <v>44165</v>
      </c>
      <c r="C551" s="1" t="n">
        <v>45577</v>
      </c>
      <c r="D551" t="inlineStr">
        <is>
          <t>VÄSTERNORRLANDS LÄN</t>
        </is>
      </c>
      <c r="E551" t="inlineStr">
        <is>
          <t>SUNDSVALL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63681-2020</t>
        </is>
      </c>
      <c r="B552" s="1" t="n">
        <v>44166</v>
      </c>
      <c r="C552" s="1" t="n">
        <v>45577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63786-2020</t>
        </is>
      </c>
      <c r="B553" s="1" t="n">
        <v>44166</v>
      </c>
      <c r="C553" s="1" t="n">
        <v>45577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63774-2020</t>
        </is>
      </c>
      <c r="B554" s="1" t="n">
        <v>44166</v>
      </c>
      <c r="C554" s="1" t="n">
        <v>45577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63817-2020</t>
        </is>
      </c>
      <c r="B555" s="1" t="n">
        <v>44166</v>
      </c>
      <c r="C555" s="1" t="n">
        <v>45577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63840-2020</t>
        </is>
      </c>
      <c r="B556" s="1" t="n">
        <v>44166</v>
      </c>
      <c r="C556" s="1" t="n">
        <v>45577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63862-2020</t>
        </is>
      </c>
      <c r="B557" s="1" t="n">
        <v>44166</v>
      </c>
      <c r="C557" s="1" t="n">
        <v>45577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64394-2020</t>
        </is>
      </c>
      <c r="B558" s="1" t="n">
        <v>44168</v>
      </c>
      <c r="C558" s="1" t="n">
        <v>45577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64479-2020</t>
        </is>
      </c>
      <c r="B559" s="1" t="n">
        <v>44168</v>
      </c>
      <c r="C559" s="1" t="n">
        <v>45577</v>
      </c>
      <c r="D559" t="inlineStr">
        <is>
          <t>VÄSTERNORRLANDS LÄN</t>
        </is>
      </c>
      <c r="E559" t="inlineStr">
        <is>
          <t>SUNDSVALL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65465-2020</t>
        </is>
      </c>
      <c r="B560" s="1" t="n">
        <v>44173</v>
      </c>
      <c r="C560" s="1" t="n">
        <v>45577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66016-2020</t>
        </is>
      </c>
      <c r="B561" s="1" t="n">
        <v>44175</v>
      </c>
      <c r="C561" s="1" t="n">
        <v>45577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66236-2020</t>
        </is>
      </c>
      <c r="B562" s="1" t="n">
        <v>44175</v>
      </c>
      <c r="C562" s="1" t="n">
        <v>45577</v>
      </c>
      <c r="D562" t="inlineStr">
        <is>
          <t>VÄSTERNORRLANDS LÄN</t>
        </is>
      </c>
      <c r="E562" t="inlineStr">
        <is>
          <t>SUNDSVALL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67233-2020</t>
        </is>
      </c>
      <c r="B563" s="1" t="n">
        <v>44180</v>
      </c>
      <c r="C563" s="1" t="n">
        <v>45577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67987-2020</t>
        </is>
      </c>
      <c r="B564" s="1" t="n">
        <v>44182</v>
      </c>
      <c r="C564" s="1" t="n">
        <v>45577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68286-2020</t>
        </is>
      </c>
      <c r="B565" s="1" t="n">
        <v>44183</v>
      </c>
      <c r="C565" s="1" t="n">
        <v>45577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68285-2020</t>
        </is>
      </c>
      <c r="B566" s="1" t="n">
        <v>44183</v>
      </c>
      <c r="C566" s="1" t="n">
        <v>45577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69172-2020</t>
        </is>
      </c>
      <c r="B567" s="1" t="n">
        <v>44188</v>
      </c>
      <c r="C567" s="1" t="n">
        <v>45577</v>
      </c>
      <c r="D567" t="inlineStr">
        <is>
          <t>VÄSTERNORRLANDS LÄN</t>
        </is>
      </c>
      <c r="E567" t="inlineStr">
        <is>
          <t>SUNDSVALL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444-2021</t>
        </is>
      </c>
      <c r="B568" s="1" t="n">
        <v>44201</v>
      </c>
      <c r="C568" s="1" t="n">
        <v>45577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695-2021</t>
        </is>
      </c>
      <c r="B569" s="1" t="n">
        <v>44203</v>
      </c>
      <c r="C569" s="1" t="n">
        <v>45577</v>
      </c>
      <c r="D569" t="inlineStr">
        <is>
          <t>VÄSTERNORRLANDS LÄN</t>
        </is>
      </c>
      <c r="E569" t="inlineStr">
        <is>
          <t>SUNDSVALL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1174-2021</t>
        </is>
      </c>
      <c r="B570" s="1" t="n">
        <v>44207</v>
      </c>
      <c r="C570" s="1" t="n">
        <v>45577</v>
      </c>
      <c r="D570" t="inlineStr">
        <is>
          <t>VÄSTERNORRLANDS LÄN</t>
        </is>
      </c>
      <c r="E570" t="inlineStr">
        <is>
          <t>SUNDSVALL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1480-2021</t>
        </is>
      </c>
      <c r="B571" s="1" t="n">
        <v>44208</v>
      </c>
      <c r="C571" s="1" t="n">
        <v>45577</v>
      </c>
      <c r="D571" t="inlineStr">
        <is>
          <t>VÄSTERNORRLANDS LÄN</t>
        </is>
      </c>
      <c r="E571" t="inlineStr">
        <is>
          <t>SUNDSVALL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1473-2021</t>
        </is>
      </c>
      <c r="B572" s="1" t="n">
        <v>44208</v>
      </c>
      <c r="C572" s="1" t="n">
        <v>45577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1561-2021</t>
        </is>
      </c>
      <c r="B573" s="1" t="n">
        <v>44209</v>
      </c>
      <c r="C573" s="1" t="n">
        <v>45577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2233-2021</t>
        </is>
      </c>
      <c r="B574" s="1" t="n">
        <v>44211</v>
      </c>
      <c r="C574" s="1" t="n">
        <v>45577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2835-2021</t>
        </is>
      </c>
      <c r="B575" s="1" t="n">
        <v>44215</v>
      </c>
      <c r="C575" s="1" t="n">
        <v>45577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2836-2021</t>
        </is>
      </c>
      <c r="B576" s="1" t="n">
        <v>44215</v>
      </c>
      <c r="C576" s="1" t="n">
        <v>45577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3351-2021</t>
        </is>
      </c>
      <c r="B577" s="1" t="n">
        <v>44217</v>
      </c>
      <c r="C577" s="1" t="n">
        <v>45577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3811-2021</t>
        </is>
      </c>
      <c r="B578" s="1" t="n">
        <v>44221</v>
      </c>
      <c r="C578" s="1" t="n">
        <v>45577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4365-2021</t>
        </is>
      </c>
      <c r="B579" s="1" t="n">
        <v>44221</v>
      </c>
      <c r="C579" s="1" t="n">
        <v>45577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3821-2021</t>
        </is>
      </c>
      <c r="B580" s="1" t="n">
        <v>44222</v>
      </c>
      <c r="C580" s="1" t="n">
        <v>45577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3824-2021</t>
        </is>
      </c>
      <c r="B581" s="1" t="n">
        <v>44222</v>
      </c>
      <c r="C581" s="1" t="n">
        <v>45577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4123-2021</t>
        </is>
      </c>
      <c r="B582" s="1" t="n">
        <v>44222</v>
      </c>
      <c r="C582" s="1" t="n">
        <v>45577</v>
      </c>
      <c r="D582" t="inlineStr">
        <is>
          <t>VÄSTERNORRLANDS LÄN</t>
        </is>
      </c>
      <c r="E582" t="inlineStr">
        <is>
          <t>SUNDSVALL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3822-2021</t>
        </is>
      </c>
      <c r="B583" s="1" t="n">
        <v>44222</v>
      </c>
      <c r="C583" s="1" t="n">
        <v>45577</v>
      </c>
      <c r="D583" t="inlineStr">
        <is>
          <t>VÄSTERNORRLANDS LÄN</t>
        </is>
      </c>
      <c r="E583" t="inlineStr">
        <is>
          <t>SUNDSVALL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4659-2021</t>
        </is>
      </c>
      <c r="B584" s="1" t="n">
        <v>44224</v>
      </c>
      <c r="C584" s="1" t="n">
        <v>45577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4760-2021</t>
        </is>
      </c>
      <c r="B585" s="1" t="n">
        <v>44225</v>
      </c>
      <c r="C585" s="1" t="n">
        <v>45577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5799-2021</t>
        </is>
      </c>
      <c r="B586" s="1" t="n">
        <v>44230</v>
      </c>
      <c r="C586" s="1" t="n">
        <v>45577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5798-2021</t>
        </is>
      </c>
      <c r="B587" s="1" t="n">
        <v>44230</v>
      </c>
      <c r="C587" s="1" t="n">
        <v>45577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5797-2021</t>
        </is>
      </c>
      <c r="B588" s="1" t="n">
        <v>44230</v>
      </c>
      <c r="C588" s="1" t="n">
        <v>45577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6009-2021</t>
        </is>
      </c>
      <c r="B589" s="1" t="n">
        <v>44231</v>
      </c>
      <c r="C589" s="1" t="n">
        <v>45577</v>
      </c>
      <c r="D589" t="inlineStr">
        <is>
          <t>VÄSTERNORRLANDS LÄN</t>
        </is>
      </c>
      <c r="E589" t="inlineStr">
        <is>
          <t>SUNDSVALL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6220-2021</t>
        </is>
      </c>
      <c r="B590" s="1" t="n">
        <v>44232</v>
      </c>
      <c r="C590" s="1" t="n">
        <v>45577</v>
      </c>
      <c r="D590" t="inlineStr">
        <is>
          <t>VÄSTERNORRLANDS LÄN</t>
        </is>
      </c>
      <c r="E590" t="inlineStr">
        <is>
          <t>SUNDSVALL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6708-2021</t>
        </is>
      </c>
      <c r="B591" s="1" t="n">
        <v>44236</v>
      </c>
      <c r="C591" s="1" t="n">
        <v>45577</v>
      </c>
      <c r="D591" t="inlineStr">
        <is>
          <t>VÄSTERNORRLANDS LÄN</t>
        </is>
      </c>
      <c r="E591" t="inlineStr">
        <is>
          <t>SUNDSVALL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7639-2021</t>
        </is>
      </c>
      <c r="B592" s="1" t="n">
        <v>44242</v>
      </c>
      <c r="C592" s="1" t="n">
        <v>45577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7638-2021</t>
        </is>
      </c>
      <c r="B593" s="1" t="n">
        <v>44242</v>
      </c>
      <c r="C593" s="1" t="n">
        <v>45577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7875-2021</t>
        </is>
      </c>
      <c r="B594" s="1" t="n">
        <v>44242</v>
      </c>
      <c r="C594" s="1" t="n">
        <v>45577</v>
      </c>
      <c r="D594" t="inlineStr">
        <is>
          <t>VÄSTERNORRLANDS LÄN</t>
        </is>
      </c>
      <c r="E594" t="inlineStr">
        <is>
          <t>SUNDSVALL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7878-2021</t>
        </is>
      </c>
      <c r="B595" s="1" t="n">
        <v>44242</v>
      </c>
      <c r="C595" s="1" t="n">
        <v>45577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7899-2021</t>
        </is>
      </c>
      <c r="B596" s="1" t="n">
        <v>44242</v>
      </c>
      <c r="C596" s="1" t="n">
        <v>45577</v>
      </c>
      <c r="D596" t="inlineStr">
        <is>
          <t>VÄSTERNORRLANDS LÄN</t>
        </is>
      </c>
      <c r="E596" t="inlineStr">
        <is>
          <t>SUNDSVALL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7879-2021</t>
        </is>
      </c>
      <c r="B597" s="1" t="n">
        <v>44242</v>
      </c>
      <c r="C597" s="1" t="n">
        <v>45577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8234-2021</t>
        </is>
      </c>
      <c r="B598" s="1" t="n">
        <v>44244</v>
      </c>
      <c r="C598" s="1" t="n">
        <v>45577</v>
      </c>
      <c r="D598" t="inlineStr">
        <is>
          <t>VÄSTERNORRLANDS LÄN</t>
        </is>
      </c>
      <c r="E598" t="inlineStr">
        <is>
          <t>SUNDSVALL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9177-2021</t>
        </is>
      </c>
      <c r="B599" s="1" t="n">
        <v>44249</v>
      </c>
      <c r="C599" s="1" t="n">
        <v>45577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9628-2021</t>
        </is>
      </c>
      <c r="B600" s="1" t="n">
        <v>44251</v>
      </c>
      <c r="C600" s="1" t="n">
        <v>45577</v>
      </c>
      <c r="D600" t="inlineStr">
        <is>
          <t>VÄSTERNORRLANDS LÄN</t>
        </is>
      </c>
      <c r="E600" t="inlineStr">
        <is>
          <t>SUNDSVALL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9624-2021</t>
        </is>
      </c>
      <c r="B601" s="1" t="n">
        <v>44251</v>
      </c>
      <c r="C601" s="1" t="n">
        <v>45577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10482-2021</t>
        </is>
      </c>
      <c r="B602" s="1" t="n">
        <v>44257</v>
      </c>
      <c r="C602" s="1" t="n">
        <v>45577</v>
      </c>
      <c r="D602" t="inlineStr">
        <is>
          <t>VÄSTERNORRLANDS LÄN</t>
        </is>
      </c>
      <c r="E602" t="inlineStr">
        <is>
          <t>SUNDSVALL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10602-2021</t>
        </is>
      </c>
      <c r="B603" s="1" t="n">
        <v>44258</v>
      </c>
      <c r="C603" s="1" t="n">
        <v>45577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11139-2021</t>
        </is>
      </c>
      <c r="B604" s="1" t="n">
        <v>44260</v>
      </c>
      <c r="C604" s="1" t="n">
        <v>45577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11696-2021</t>
        </is>
      </c>
      <c r="B605" s="1" t="n">
        <v>44264</v>
      </c>
      <c r="C605" s="1" t="n">
        <v>45577</v>
      </c>
      <c r="D605" t="inlineStr">
        <is>
          <t>VÄSTERNORRLANDS LÄN</t>
        </is>
      </c>
      <c r="E605" t="inlineStr">
        <is>
          <t>SUNDSVALL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13038-2021</t>
        </is>
      </c>
      <c r="B606" s="1" t="n">
        <v>44271</v>
      </c>
      <c r="C606" s="1" t="n">
        <v>45577</v>
      </c>
      <c r="D606" t="inlineStr">
        <is>
          <t>VÄSTERNORRLANDS LÄN</t>
        </is>
      </c>
      <c r="E606" t="inlineStr">
        <is>
          <t>SUNDSVALL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13574-2021</t>
        </is>
      </c>
      <c r="B607" s="1" t="n">
        <v>44273</v>
      </c>
      <c r="C607" s="1" t="n">
        <v>45577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13987-2021</t>
        </is>
      </c>
      <c r="B608" s="1" t="n">
        <v>44277</v>
      </c>
      <c r="C608" s="1" t="n">
        <v>45577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14113-2021</t>
        </is>
      </c>
      <c r="B609" s="1" t="n">
        <v>44277</v>
      </c>
      <c r="C609" s="1" t="n">
        <v>45577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14231-2021</t>
        </is>
      </c>
      <c r="B610" s="1" t="n">
        <v>44277</v>
      </c>
      <c r="C610" s="1" t="n">
        <v>45577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14328-2021</t>
        </is>
      </c>
      <c r="B611" s="1" t="n">
        <v>44278</v>
      </c>
      <c r="C611" s="1" t="n">
        <v>45577</v>
      </c>
      <c r="D611" t="inlineStr">
        <is>
          <t>VÄSTERNORRLANDS LÄN</t>
        </is>
      </c>
      <c r="E611" t="inlineStr">
        <is>
          <t>SUNDSVALL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15769-2021</t>
        </is>
      </c>
      <c r="B612" s="1" t="n">
        <v>44286</v>
      </c>
      <c r="C612" s="1" t="n">
        <v>45577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16334-2021</t>
        </is>
      </c>
      <c r="B613" s="1" t="n">
        <v>44292</v>
      </c>
      <c r="C613" s="1" t="n">
        <v>45577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16424-2021</t>
        </is>
      </c>
      <c r="B614" s="1" t="n">
        <v>44292</v>
      </c>
      <c r="C614" s="1" t="n">
        <v>45577</v>
      </c>
      <c r="D614" t="inlineStr">
        <is>
          <t>VÄSTERNORRLANDS LÄN</t>
        </is>
      </c>
      <c r="E614" t="inlineStr">
        <is>
          <t>SUNDSVALL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17379-2021</t>
        </is>
      </c>
      <c r="B615" s="1" t="n">
        <v>44298</v>
      </c>
      <c r="C615" s="1" t="n">
        <v>45577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17690-2021</t>
        </is>
      </c>
      <c r="B616" s="1" t="n">
        <v>44300</v>
      </c>
      <c r="C616" s="1" t="n">
        <v>45577</v>
      </c>
      <c r="D616" t="inlineStr">
        <is>
          <t>VÄSTERNORRLANDS LÄN</t>
        </is>
      </c>
      <c r="E616" t="inlineStr">
        <is>
          <t>SUNDSVALL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17845-2021</t>
        </is>
      </c>
      <c r="B617" s="1" t="n">
        <v>44301</v>
      </c>
      <c r="C617" s="1" t="n">
        <v>45577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18453-2021</t>
        </is>
      </c>
      <c r="B618" s="1" t="n">
        <v>44306</v>
      </c>
      <c r="C618" s="1" t="n">
        <v>45577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18672-2021</t>
        </is>
      </c>
      <c r="B619" s="1" t="n">
        <v>44306</v>
      </c>
      <c r="C619" s="1" t="n">
        <v>45577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18774-2021</t>
        </is>
      </c>
      <c r="B620" s="1" t="n">
        <v>44307</v>
      </c>
      <c r="C620" s="1" t="n">
        <v>45577</v>
      </c>
      <c r="D620" t="inlineStr">
        <is>
          <t>VÄSTERNORRLANDS LÄN</t>
        </is>
      </c>
      <c r="E620" t="inlineStr">
        <is>
          <t>SUNDSVALL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19208-2021</t>
        </is>
      </c>
      <c r="B621" s="1" t="n">
        <v>44308</v>
      </c>
      <c r="C621" s="1" t="n">
        <v>45577</v>
      </c>
      <c r="D621" t="inlineStr">
        <is>
          <t>VÄSTERNORRLANDS LÄN</t>
        </is>
      </c>
      <c r="E621" t="inlineStr">
        <is>
          <t>SUNDSVALL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19236-2021</t>
        </is>
      </c>
      <c r="B622" s="1" t="n">
        <v>44309</v>
      </c>
      <c r="C622" s="1" t="n">
        <v>45577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20416-2021</t>
        </is>
      </c>
      <c r="B623" s="1" t="n">
        <v>44312</v>
      </c>
      <c r="C623" s="1" t="n">
        <v>45577</v>
      </c>
      <c r="D623" t="inlineStr">
        <is>
          <t>VÄSTERNORRLANDS LÄN</t>
        </is>
      </c>
      <c r="E623" t="inlineStr">
        <is>
          <t>SUNDSVALL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19729-2021</t>
        </is>
      </c>
      <c r="B624" s="1" t="n">
        <v>44312</v>
      </c>
      <c r="C624" s="1" t="n">
        <v>45577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20010-2021</t>
        </is>
      </c>
      <c r="B625" s="1" t="n">
        <v>44313</v>
      </c>
      <c r="C625" s="1" t="n">
        <v>45577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20011-2021</t>
        </is>
      </c>
      <c r="B626" s="1" t="n">
        <v>44313</v>
      </c>
      <c r="C626" s="1" t="n">
        <v>45577</v>
      </c>
      <c r="D626" t="inlineStr">
        <is>
          <t>VÄSTERNORRLANDS LÄN</t>
        </is>
      </c>
      <c r="E626" t="inlineStr">
        <is>
          <t>SUNDSVALL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20186-2021</t>
        </is>
      </c>
      <c r="B627" s="1" t="n">
        <v>44314</v>
      </c>
      <c r="C627" s="1" t="n">
        <v>45577</v>
      </c>
      <c r="D627" t="inlineStr">
        <is>
          <t>VÄSTERNORRLANDS LÄN</t>
        </is>
      </c>
      <c r="E627" t="inlineStr">
        <is>
          <t>SUNDSVALL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20514-2021</t>
        </is>
      </c>
      <c r="B628" s="1" t="n">
        <v>44315</v>
      </c>
      <c r="C628" s="1" t="n">
        <v>45577</v>
      </c>
      <c r="D628" t="inlineStr">
        <is>
          <t>VÄSTERNORRLANDS LÄN</t>
        </is>
      </c>
      <c r="E628" t="inlineStr">
        <is>
          <t>SUNDSVALL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20520-2021</t>
        </is>
      </c>
      <c r="B629" s="1" t="n">
        <v>44315</v>
      </c>
      <c r="C629" s="1" t="n">
        <v>45577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20698-2021</t>
        </is>
      </c>
      <c r="B630" s="1" t="n">
        <v>44316</v>
      </c>
      <c r="C630" s="1" t="n">
        <v>45577</v>
      </c>
      <c r="D630" t="inlineStr">
        <is>
          <t>VÄSTERNORRLANDS LÄN</t>
        </is>
      </c>
      <c r="E630" t="inlineStr">
        <is>
          <t>SUNDSVALL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20713-2021</t>
        </is>
      </c>
      <c r="B631" s="1" t="n">
        <v>44316</v>
      </c>
      <c r="C631" s="1" t="n">
        <v>45577</v>
      </c>
      <c r="D631" t="inlineStr">
        <is>
          <t>VÄSTERNORRLANDS LÄN</t>
        </is>
      </c>
      <c r="E631" t="inlineStr">
        <is>
          <t>SUNDSVALL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20660-2021</t>
        </is>
      </c>
      <c r="B632" s="1" t="n">
        <v>44316</v>
      </c>
      <c r="C632" s="1" t="n">
        <v>45577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21099-2021</t>
        </is>
      </c>
      <c r="B633" s="1" t="n">
        <v>44319</v>
      </c>
      <c r="C633" s="1" t="n">
        <v>45577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21102-2021</t>
        </is>
      </c>
      <c r="B634" s="1" t="n">
        <v>44319</v>
      </c>
      <c r="C634" s="1" t="n">
        <v>45577</v>
      </c>
      <c r="D634" t="inlineStr">
        <is>
          <t>VÄSTERNORRLANDS LÄN</t>
        </is>
      </c>
      <c r="E634" t="inlineStr">
        <is>
          <t>SUNDSVALL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21370-2021</t>
        </is>
      </c>
      <c r="B635" s="1" t="n">
        <v>44320</v>
      </c>
      <c r="C635" s="1" t="n">
        <v>45577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21427-2021</t>
        </is>
      </c>
      <c r="B636" s="1" t="n">
        <v>44320</v>
      </c>
      <c r="C636" s="1" t="n">
        <v>45577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22336-2021</t>
        </is>
      </c>
      <c r="B637" s="1" t="n">
        <v>44326</v>
      </c>
      <c r="C637" s="1" t="n">
        <v>45577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22420-2021</t>
        </is>
      </c>
      <c r="B638" s="1" t="n">
        <v>44326</v>
      </c>
      <c r="C638" s="1" t="n">
        <v>45577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Kyrkan</t>
        </is>
      </c>
      <c r="G638" t="n">
        <v>21.9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23052-2021</t>
        </is>
      </c>
      <c r="B639" s="1" t="n">
        <v>44329</v>
      </c>
      <c r="C639" s="1" t="n">
        <v>45577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23480-2021</t>
        </is>
      </c>
      <c r="B640" s="1" t="n">
        <v>44333</v>
      </c>
      <c r="C640" s="1" t="n">
        <v>45577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23951-2021</t>
        </is>
      </c>
      <c r="B641" s="1" t="n">
        <v>44335</v>
      </c>
      <c r="C641" s="1" t="n">
        <v>45577</v>
      </c>
      <c r="D641" t="inlineStr">
        <is>
          <t>VÄSTERNORRLANDS LÄN</t>
        </is>
      </c>
      <c r="E641" t="inlineStr">
        <is>
          <t>SUNDSVALL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24068-2021</t>
        </is>
      </c>
      <c r="B642" s="1" t="n">
        <v>44336</v>
      </c>
      <c r="C642" s="1" t="n">
        <v>45577</v>
      </c>
      <c r="D642" t="inlineStr">
        <is>
          <t>VÄSTERNORRLANDS LÄN</t>
        </is>
      </c>
      <c r="E642" t="inlineStr">
        <is>
          <t>SUNDSVALL</t>
        </is>
      </c>
      <c r="G642" t="n">
        <v>39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24342-2021</t>
        </is>
      </c>
      <c r="B643" s="1" t="n">
        <v>44337</v>
      </c>
      <c r="C643" s="1" t="n">
        <v>45577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24433-2021</t>
        </is>
      </c>
      <c r="B644" s="1" t="n">
        <v>44337</v>
      </c>
      <c r="C644" s="1" t="n">
        <v>45577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24505-2021</t>
        </is>
      </c>
      <c r="B645" s="1" t="n">
        <v>44338</v>
      </c>
      <c r="C645" s="1" t="n">
        <v>45577</v>
      </c>
      <c r="D645" t="inlineStr">
        <is>
          <t>VÄSTERNORRLANDS LÄN</t>
        </is>
      </c>
      <c r="E645" t="inlineStr">
        <is>
          <t>SUNDSVALL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24853-2021</t>
        </is>
      </c>
      <c r="B646" s="1" t="n">
        <v>44340</v>
      </c>
      <c r="C646" s="1" t="n">
        <v>45577</v>
      </c>
      <c r="D646" t="inlineStr">
        <is>
          <t>VÄSTERNORRLANDS LÄN</t>
        </is>
      </c>
      <c r="E646" t="inlineStr">
        <is>
          <t>SUNDSVALL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25147-2021</t>
        </is>
      </c>
      <c r="B647" s="1" t="n">
        <v>44341</v>
      </c>
      <c r="C647" s="1" t="n">
        <v>45577</v>
      </c>
      <c r="D647" t="inlineStr">
        <is>
          <t>VÄSTERNORRLANDS LÄN</t>
        </is>
      </c>
      <c r="E647" t="inlineStr">
        <is>
          <t>SUNDSVALL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25148-2021</t>
        </is>
      </c>
      <c r="B648" s="1" t="n">
        <v>44341</v>
      </c>
      <c r="C648" s="1" t="n">
        <v>45577</v>
      </c>
      <c r="D648" t="inlineStr">
        <is>
          <t>VÄSTERNORRLANDS LÄN</t>
        </is>
      </c>
      <c r="E648" t="inlineStr">
        <is>
          <t>SUNDSVALL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25371-2021</t>
        </is>
      </c>
      <c r="B649" s="1" t="n">
        <v>44342</v>
      </c>
      <c r="C649" s="1" t="n">
        <v>45577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25484-2021</t>
        </is>
      </c>
      <c r="B650" s="1" t="n">
        <v>44342</v>
      </c>
      <c r="C650" s="1" t="n">
        <v>45577</v>
      </c>
      <c r="D650" t="inlineStr">
        <is>
          <t>VÄSTERNORRLANDS LÄN</t>
        </is>
      </c>
      <c r="E650" t="inlineStr">
        <is>
          <t>SUNDSVALL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25747-2021</t>
        </is>
      </c>
      <c r="B651" s="1" t="n">
        <v>44343</v>
      </c>
      <c r="C651" s="1" t="n">
        <v>45577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25539-2021</t>
        </is>
      </c>
      <c r="B652" s="1" t="n">
        <v>44343</v>
      </c>
      <c r="C652" s="1" t="n">
        <v>45577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25748-2021</t>
        </is>
      </c>
      <c r="B653" s="1" t="n">
        <v>44343</v>
      </c>
      <c r="C653" s="1" t="n">
        <v>45577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25980-2021</t>
        </is>
      </c>
      <c r="B654" s="1" t="n">
        <v>44344</v>
      </c>
      <c r="C654" s="1" t="n">
        <v>45577</v>
      </c>
      <c r="D654" t="inlineStr">
        <is>
          <t>VÄSTERNORRLANDS LÄN</t>
        </is>
      </c>
      <c r="E654" t="inlineStr">
        <is>
          <t>SUNDSVALL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26089-2021</t>
        </is>
      </c>
      <c r="B655" s="1" t="n">
        <v>44344</v>
      </c>
      <c r="C655" s="1" t="n">
        <v>45577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26108-2021</t>
        </is>
      </c>
      <c r="B656" s="1" t="n">
        <v>44344</v>
      </c>
      <c r="C656" s="1" t="n">
        <v>45577</v>
      </c>
      <c r="D656" t="inlineStr">
        <is>
          <t>VÄSTERNORRLANDS LÄN</t>
        </is>
      </c>
      <c r="E656" t="inlineStr">
        <is>
          <t>SUNDSVALL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26424-2021</t>
        </is>
      </c>
      <c r="B657" s="1" t="n">
        <v>44347</v>
      </c>
      <c r="C657" s="1" t="n">
        <v>45577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26396-2021</t>
        </is>
      </c>
      <c r="B658" s="1" t="n">
        <v>44347</v>
      </c>
      <c r="C658" s="1" t="n">
        <v>45577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26972-2021</t>
        </is>
      </c>
      <c r="B659" s="1" t="n">
        <v>44350</v>
      </c>
      <c r="C659" s="1" t="n">
        <v>45577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26950-2021</t>
        </is>
      </c>
      <c r="B660" s="1" t="n">
        <v>44349</v>
      </c>
      <c r="C660" s="1" t="n">
        <v>45577</v>
      </c>
      <c r="D660" t="inlineStr">
        <is>
          <t>VÄSTERNORRLANDS LÄN</t>
        </is>
      </c>
      <c r="E660" t="inlineStr">
        <is>
          <t>SUNDSVALL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27015-2021</t>
        </is>
      </c>
      <c r="B661" s="1" t="n">
        <v>44349</v>
      </c>
      <c r="C661" s="1" t="n">
        <v>45577</v>
      </c>
      <c r="D661" t="inlineStr">
        <is>
          <t>VÄSTERNORRLANDS LÄN</t>
        </is>
      </c>
      <c r="E661" t="inlineStr">
        <is>
          <t>SUNDSVALL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27170-2021</t>
        </is>
      </c>
      <c r="B662" s="1" t="n">
        <v>44350</v>
      </c>
      <c r="C662" s="1" t="n">
        <v>45577</v>
      </c>
      <c r="D662" t="inlineStr">
        <is>
          <t>VÄSTERNORRLANDS LÄN</t>
        </is>
      </c>
      <c r="E662" t="inlineStr">
        <is>
          <t>SUNDSVALL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27238-2021</t>
        </is>
      </c>
      <c r="B663" s="1" t="n">
        <v>44350</v>
      </c>
      <c r="C663" s="1" t="n">
        <v>45577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27366-2021</t>
        </is>
      </c>
      <c r="B664" s="1" t="n">
        <v>44351</v>
      </c>
      <c r="C664" s="1" t="n">
        <v>45577</v>
      </c>
      <c r="D664" t="inlineStr">
        <is>
          <t>VÄSTERNORRLANDS LÄN</t>
        </is>
      </c>
      <c r="E664" t="inlineStr">
        <is>
          <t>SUNDSVALL</t>
        </is>
      </c>
      <c r="G664" t="n">
        <v>15.9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27556-2021</t>
        </is>
      </c>
      <c r="B665" s="1" t="n">
        <v>44352</v>
      </c>
      <c r="C665" s="1" t="n">
        <v>45577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27959-2021</t>
        </is>
      </c>
      <c r="B666" s="1" t="n">
        <v>44354</v>
      </c>
      <c r="C666" s="1" t="n">
        <v>45577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28238-2021</t>
        </is>
      </c>
      <c r="B667" s="1" t="n">
        <v>44355</v>
      </c>
      <c r="C667" s="1" t="n">
        <v>45577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28264-2021</t>
        </is>
      </c>
      <c r="B668" s="1" t="n">
        <v>44355</v>
      </c>
      <c r="C668" s="1" t="n">
        <v>45577</v>
      </c>
      <c r="D668" t="inlineStr">
        <is>
          <t>VÄSTERNORRLANDS LÄN</t>
        </is>
      </c>
      <c r="E668" t="inlineStr">
        <is>
          <t>SUNDSVALL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28341-2021</t>
        </is>
      </c>
      <c r="B669" s="1" t="n">
        <v>44356</v>
      </c>
      <c r="C669" s="1" t="n">
        <v>45577</v>
      </c>
      <c r="D669" t="inlineStr">
        <is>
          <t>VÄSTERNORRLANDS LÄN</t>
        </is>
      </c>
      <c r="E669" t="inlineStr">
        <is>
          <t>SUNDSVALL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28595-2021</t>
        </is>
      </c>
      <c r="B670" s="1" t="n">
        <v>44356</v>
      </c>
      <c r="C670" s="1" t="n">
        <v>45577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28594-2021</t>
        </is>
      </c>
      <c r="B671" s="1" t="n">
        <v>44356</v>
      </c>
      <c r="C671" s="1" t="n">
        <v>45577</v>
      </c>
      <c r="D671" t="inlineStr">
        <is>
          <t>VÄSTERNORRLANDS LÄN</t>
        </is>
      </c>
      <c r="E671" t="inlineStr">
        <is>
          <t>SUNDSVALL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28684-2021</t>
        </is>
      </c>
      <c r="B672" s="1" t="n">
        <v>44357</v>
      </c>
      <c r="C672" s="1" t="n">
        <v>45577</v>
      </c>
      <c r="D672" t="inlineStr">
        <is>
          <t>VÄSTERNORRLANDS LÄN</t>
        </is>
      </c>
      <c r="E672" t="inlineStr">
        <is>
          <t>SUNDSVALL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28825-2021</t>
        </is>
      </c>
      <c r="B673" s="1" t="n">
        <v>44357</v>
      </c>
      <c r="C673" s="1" t="n">
        <v>45577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28829-2021</t>
        </is>
      </c>
      <c r="B674" s="1" t="n">
        <v>44357</v>
      </c>
      <c r="C674" s="1" t="n">
        <v>45577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29292-2021</t>
        </is>
      </c>
      <c r="B675" s="1" t="n">
        <v>44358</v>
      </c>
      <c r="C675" s="1" t="n">
        <v>45577</v>
      </c>
      <c r="D675" t="inlineStr">
        <is>
          <t>VÄSTERNORRLANDS LÄN</t>
        </is>
      </c>
      <c r="E675" t="inlineStr">
        <is>
          <t>SUNDSVALL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29256-2021</t>
        </is>
      </c>
      <c r="B676" s="1" t="n">
        <v>44361</v>
      </c>
      <c r="C676" s="1" t="n">
        <v>45577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29322-2021</t>
        </is>
      </c>
      <c r="B677" s="1" t="n">
        <v>44361</v>
      </c>
      <c r="C677" s="1" t="n">
        <v>45577</v>
      </c>
      <c r="D677" t="inlineStr">
        <is>
          <t>VÄSTERNORRLANDS LÄN</t>
        </is>
      </c>
      <c r="E677" t="inlineStr">
        <is>
          <t>SUNDSVALL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29301-2021</t>
        </is>
      </c>
      <c r="B678" s="1" t="n">
        <v>44361</v>
      </c>
      <c r="C678" s="1" t="n">
        <v>45577</v>
      </c>
      <c r="D678" t="inlineStr">
        <is>
          <t>VÄSTERNORRLANDS LÄN</t>
        </is>
      </c>
      <c r="E678" t="inlineStr">
        <is>
          <t>SUNDSVALL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29403-2021</t>
        </is>
      </c>
      <c r="B679" s="1" t="n">
        <v>44361</v>
      </c>
      <c r="C679" s="1" t="n">
        <v>45577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29468-2021</t>
        </is>
      </c>
      <c r="B680" s="1" t="n">
        <v>44361</v>
      </c>
      <c r="C680" s="1" t="n">
        <v>45577</v>
      </c>
      <c r="D680" t="inlineStr">
        <is>
          <t>VÄSTERNORRLANDS LÄN</t>
        </is>
      </c>
      <c r="E680" t="inlineStr">
        <is>
          <t>SUNDSVALL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29484-2021</t>
        </is>
      </c>
      <c r="B681" s="1" t="n">
        <v>44361</v>
      </c>
      <c r="C681" s="1" t="n">
        <v>45577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29535-2021</t>
        </is>
      </c>
      <c r="B682" s="1" t="n">
        <v>44361</v>
      </c>
      <c r="C682" s="1" t="n">
        <v>45577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29576-2021</t>
        </is>
      </c>
      <c r="B683" s="1" t="n">
        <v>44361</v>
      </c>
      <c r="C683" s="1" t="n">
        <v>45577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29577-2021</t>
        </is>
      </c>
      <c r="B684" s="1" t="n">
        <v>44361</v>
      </c>
      <c r="C684" s="1" t="n">
        <v>45577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29584-2021</t>
        </is>
      </c>
      <c r="B685" s="1" t="n">
        <v>44361</v>
      </c>
      <c r="C685" s="1" t="n">
        <v>45577</v>
      </c>
      <c r="D685" t="inlineStr">
        <is>
          <t>VÄSTERNORRLANDS LÄN</t>
        </is>
      </c>
      <c r="E685" t="inlineStr">
        <is>
          <t>SUNDSVALL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29643-2021</t>
        </is>
      </c>
      <c r="B686" s="1" t="n">
        <v>44361</v>
      </c>
      <c r="C686" s="1" t="n">
        <v>45577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29925-2021</t>
        </is>
      </c>
      <c r="B687" s="1" t="n">
        <v>44363</v>
      </c>
      <c r="C687" s="1" t="n">
        <v>45577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29926-2021</t>
        </is>
      </c>
      <c r="B688" s="1" t="n">
        <v>44363</v>
      </c>
      <c r="C688" s="1" t="n">
        <v>45577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30019-2021</t>
        </is>
      </c>
      <c r="B689" s="1" t="n">
        <v>44363</v>
      </c>
      <c r="C689" s="1" t="n">
        <v>45577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30450-2021</t>
        </is>
      </c>
      <c r="B690" s="1" t="n">
        <v>44364</v>
      </c>
      <c r="C690" s="1" t="n">
        <v>45577</v>
      </c>
      <c r="D690" t="inlineStr">
        <is>
          <t>VÄSTERNORRLANDS LÄN</t>
        </is>
      </c>
      <c r="E690" t="inlineStr">
        <is>
          <t>SUNDSVALL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30460-2021</t>
        </is>
      </c>
      <c r="B691" s="1" t="n">
        <v>44364</v>
      </c>
      <c r="C691" s="1" t="n">
        <v>45577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31510-2021</t>
        </is>
      </c>
      <c r="B692" s="1" t="n">
        <v>44369</v>
      </c>
      <c r="C692" s="1" t="n">
        <v>45577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32172-2021</t>
        </is>
      </c>
      <c r="B693" s="1" t="n">
        <v>44371</v>
      </c>
      <c r="C693" s="1" t="n">
        <v>45577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32183-2021</t>
        </is>
      </c>
      <c r="B694" s="1" t="n">
        <v>44371</v>
      </c>
      <c r="C694" s="1" t="n">
        <v>45577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32203-2021</t>
        </is>
      </c>
      <c r="B695" s="1" t="n">
        <v>44371</v>
      </c>
      <c r="C695" s="1" t="n">
        <v>45577</v>
      </c>
      <c r="D695" t="inlineStr">
        <is>
          <t>VÄSTERNORRLANDS LÄN</t>
        </is>
      </c>
      <c r="E695" t="inlineStr">
        <is>
          <t>SUNDSVALL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32275-2021</t>
        </is>
      </c>
      <c r="B696" s="1" t="n">
        <v>44371</v>
      </c>
      <c r="C696" s="1" t="n">
        <v>45577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32285-2021</t>
        </is>
      </c>
      <c r="B697" s="1" t="n">
        <v>44371</v>
      </c>
      <c r="C697" s="1" t="n">
        <v>45577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32335-2021</t>
        </is>
      </c>
      <c r="B698" s="1" t="n">
        <v>44371</v>
      </c>
      <c r="C698" s="1" t="n">
        <v>45577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33206-2021</t>
        </is>
      </c>
      <c r="B699" s="1" t="n">
        <v>44377</v>
      </c>
      <c r="C699" s="1" t="n">
        <v>45577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33990-2021</t>
        </is>
      </c>
      <c r="B700" s="1" t="n">
        <v>44379</v>
      </c>
      <c r="C700" s="1" t="n">
        <v>45577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34198-2021</t>
        </is>
      </c>
      <c r="B701" s="1" t="n">
        <v>44379</v>
      </c>
      <c r="C701" s="1" t="n">
        <v>45577</v>
      </c>
      <c r="D701" t="inlineStr">
        <is>
          <t>VÄSTERNORRLANDS LÄN</t>
        </is>
      </c>
      <c r="E701" t="inlineStr">
        <is>
          <t>SUNDSVALL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34605-2021</t>
        </is>
      </c>
      <c r="B702" s="1" t="n">
        <v>44379</v>
      </c>
      <c r="C702" s="1" t="n">
        <v>45577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34612-2021</t>
        </is>
      </c>
      <c r="B703" s="1" t="n">
        <v>44379</v>
      </c>
      <c r="C703" s="1" t="n">
        <v>45577</v>
      </c>
      <c r="D703" t="inlineStr">
        <is>
          <t>VÄSTERNORRLANDS LÄN</t>
        </is>
      </c>
      <c r="E703" t="inlineStr">
        <is>
          <t>SUNDSVALL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34931-2021</t>
        </is>
      </c>
      <c r="B704" s="1" t="n">
        <v>44379</v>
      </c>
      <c r="C704" s="1" t="n">
        <v>45577</v>
      </c>
      <c r="D704" t="inlineStr">
        <is>
          <t>VÄSTERNORRLANDS LÄN</t>
        </is>
      </c>
      <c r="E704" t="inlineStr">
        <is>
          <t>SUNDSVALL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34643-2021</t>
        </is>
      </c>
      <c r="B705" s="1" t="n">
        <v>44379</v>
      </c>
      <c r="C705" s="1" t="n">
        <v>45577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35318-2021</t>
        </is>
      </c>
      <c r="B706" s="1" t="n">
        <v>44384</v>
      </c>
      <c r="C706" s="1" t="n">
        <v>45577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36007-2021</t>
        </is>
      </c>
      <c r="B707" s="1" t="n">
        <v>44389</v>
      </c>
      <c r="C707" s="1" t="n">
        <v>45577</v>
      </c>
      <c r="D707" t="inlineStr">
        <is>
          <t>VÄSTERNORRLANDS LÄN</t>
        </is>
      </c>
      <c r="E707" t="inlineStr">
        <is>
          <t>SUNDSVALL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36226-2021</t>
        </is>
      </c>
      <c r="B708" s="1" t="n">
        <v>44390</v>
      </c>
      <c r="C708" s="1" t="n">
        <v>45577</v>
      </c>
      <c r="D708" t="inlineStr">
        <is>
          <t>VÄSTERNORRLANDS LÄN</t>
        </is>
      </c>
      <c r="E708" t="inlineStr">
        <is>
          <t>SUNDSVALL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36251-2021</t>
        </is>
      </c>
      <c r="B709" s="1" t="n">
        <v>44390</v>
      </c>
      <c r="C709" s="1" t="n">
        <v>45577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36316-2021</t>
        </is>
      </c>
      <c r="B710" s="1" t="n">
        <v>44390</v>
      </c>
      <c r="C710" s="1" t="n">
        <v>45577</v>
      </c>
      <c r="D710" t="inlineStr">
        <is>
          <t>VÄSTERNORRLANDS LÄN</t>
        </is>
      </c>
      <c r="E710" t="inlineStr">
        <is>
          <t>SUNDSVALL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36809-2021</t>
        </is>
      </c>
      <c r="B711" s="1" t="n">
        <v>44392</v>
      </c>
      <c r="C711" s="1" t="n">
        <v>45577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37040-2021</t>
        </is>
      </c>
      <c r="B712" s="1" t="n">
        <v>44394</v>
      </c>
      <c r="C712" s="1" t="n">
        <v>45577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37059-2021</t>
        </is>
      </c>
      <c r="B713" s="1" t="n">
        <v>44394</v>
      </c>
      <c r="C713" s="1" t="n">
        <v>45577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37232-2021</t>
        </is>
      </c>
      <c r="B714" s="1" t="n">
        <v>44396</v>
      </c>
      <c r="C714" s="1" t="n">
        <v>45577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37231-2021</t>
        </is>
      </c>
      <c r="B715" s="1" t="n">
        <v>44396</v>
      </c>
      <c r="C715" s="1" t="n">
        <v>45577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37617-2021</t>
        </is>
      </c>
      <c r="B716" s="1" t="n">
        <v>44399</v>
      </c>
      <c r="C716" s="1" t="n">
        <v>45577</v>
      </c>
      <c r="D716" t="inlineStr">
        <is>
          <t>VÄSTERNORRLANDS LÄN</t>
        </is>
      </c>
      <c r="E716" t="inlineStr">
        <is>
          <t>SUNDSVALL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37611-2021</t>
        </is>
      </c>
      <c r="B717" s="1" t="n">
        <v>44399</v>
      </c>
      <c r="C717" s="1" t="n">
        <v>45577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37708-2021</t>
        </is>
      </c>
      <c r="B718" s="1" t="n">
        <v>44400</v>
      </c>
      <c r="C718" s="1" t="n">
        <v>45577</v>
      </c>
      <c r="D718" t="inlineStr">
        <is>
          <t>VÄSTERNORRLANDS LÄN</t>
        </is>
      </c>
      <c r="E718" t="inlineStr">
        <is>
          <t>SUNDSVALL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37718-2021</t>
        </is>
      </c>
      <c r="B719" s="1" t="n">
        <v>44400</v>
      </c>
      <c r="C719" s="1" t="n">
        <v>45577</v>
      </c>
      <c r="D719" t="inlineStr">
        <is>
          <t>VÄSTERNORRLANDS LÄN</t>
        </is>
      </c>
      <c r="E719" t="inlineStr">
        <is>
          <t>SUNDSVALL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37704-2021</t>
        </is>
      </c>
      <c r="B720" s="1" t="n">
        <v>44400</v>
      </c>
      <c r="C720" s="1" t="n">
        <v>45577</v>
      </c>
      <c r="D720" t="inlineStr">
        <is>
          <t>VÄSTERNORRLANDS LÄN</t>
        </is>
      </c>
      <c r="E720" t="inlineStr">
        <is>
          <t>SUNDSVALL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37965-2021</t>
        </is>
      </c>
      <c r="B721" s="1" t="n">
        <v>44404</v>
      </c>
      <c r="C721" s="1" t="n">
        <v>45577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37962-2021</t>
        </is>
      </c>
      <c r="B722" s="1" t="n">
        <v>44404</v>
      </c>
      <c r="C722" s="1" t="n">
        <v>45577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38306-2021</t>
        </is>
      </c>
      <c r="B723" s="1" t="n">
        <v>44406</v>
      </c>
      <c r="C723" s="1" t="n">
        <v>45577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39169-2021</t>
        </is>
      </c>
      <c r="B724" s="1" t="n">
        <v>44412</v>
      </c>
      <c r="C724" s="1" t="n">
        <v>45577</v>
      </c>
      <c r="D724" t="inlineStr">
        <is>
          <t>VÄSTERNORRLANDS LÄN</t>
        </is>
      </c>
      <c r="E724" t="inlineStr">
        <is>
          <t>SUNDSVALL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39502-2021</t>
        </is>
      </c>
      <c r="B725" s="1" t="n">
        <v>44414</v>
      </c>
      <c r="C725" s="1" t="n">
        <v>45577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39503-2021</t>
        </is>
      </c>
      <c r="B726" s="1" t="n">
        <v>44414</v>
      </c>
      <c r="C726" s="1" t="n">
        <v>45577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39676-2021</t>
        </is>
      </c>
      <c r="B727" s="1" t="n">
        <v>44414</v>
      </c>
      <c r="C727" s="1" t="n">
        <v>45577</v>
      </c>
      <c r="D727" t="inlineStr">
        <is>
          <t>VÄSTERNORRLANDS LÄN</t>
        </is>
      </c>
      <c r="E727" t="inlineStr">
        <is>
          <t>SUNDSVALL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39933-2021</t>
        </is>
      </c>
      <c r="B728" s="1" t="n">
        <v>44417</v>
      </c>
      <c r="C728" s="1" t="n">
        <v>45577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39929-2021</t>
        </is>
      </c>
      <c r="B729" s="1" t="n">
        <v>44417</v>
      </c>
      <c r="C729" s="1" t="n">
        <v>45577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40141-2021</t>
        </is>
      </c>
      <c r="B730" s="1" t="n">
        <v>44418</v>
      </c>
      <c r="C730" s="1" t="n">
        <v>45577</v>
      </c>
      <c r="D730" t="inlineStr">
        <is>
          <t>VÄSTERNORRLANDS LÄN</t>
        </is>
      </c>
      <c r="E730" t="inlineStr">
        <is>
          <t>SUNDSVALL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40160-2021</t>
        </is>
      </c>
      <c r="B731" s="1" t="n">
        <v>44418</v>
      </c>
      <c r="C731" s="1" t="n">
        <v>45577</v>
      </c>
      <c r="D731" t="inlineStr">
        <is>
          <t>VÄSTERNORRLANDS LÄN</t>
        </is>
      </c>
      <c r="E731" t="inlineStr">
        <is>
          <t>SUNDSVALL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40534-2021</t>
        </is>
      </c>
      <c r="B732" s="1" t="n">
        <v>44420</v>
      </c>
      <c r="C732" s="1" t="n">
        <v>45577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40908-2021</t>
        </is>
      </c>
      <c r="B733" s="1" t="n">
        <v>44421</v>
      </c>
      <c r="C733" s="1" t="n">
        <v>45577</v>
      </c>
      <c r="D733" t="inlineStr">
        <is>
          <t>VÄSTERNORRLANDS LÄN</t>
        </is>
      </c>
      <c r="E733" t="inlineStr">
        <is>
          <t>SUNDSVALL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41469-2021</t>
        </is>
      </c>
      <c r="B734" s="1" t="n">
        <v>44424</v>
      </c>
      <c r="C734" s="1" t="n">
        <v>45577</v>
      </c>
      <c r="D734" t="inlineStr">
        <is>
          <t>VÄSTERNORRLANDS LÄN</t>
        </is>
      </c>
      <c r="E734" t="inlineStr">
        <is>
          <t>SUNDSVALL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42169-2021</t>
        </is>
      </c>
      <c r="B735" s="1" t="n">
        <v>44426</v>
      </c>
      <c r="C735" s="1" t="n">
        <v>45577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42199-2021</t>
        </is>
      </c>
      <c r="B736" s="1" t="n">
        <v>44426</v>
      </c>
      <c r="C736" s="1" t="n">
        <v>45577</v>
      </c>
      <c r="D736" t="inlineStr">
        <is>
          <t>VÄSTERNORRLANDS LÄN</t>
        </is>
      </c>
      <c r="E736" t="inlineStr">
        <is>
          <t>SUNDSVALL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42201-2021</t>
        </is>
      </c>
      <c r="B737" s="1" t="n">
        <v>44426</v>
      </c>
      <c r="C737" s="1" t="n">
        <v>45577</v>
      </c>
      <c r="D737" t="inlineStr">
        <is>
          <t>VÄSTERNORRLANDS LÄN</t>
        </is>
      </c>
      <c r="E737" t="inlineStr">
        <is>
          <t>SUNDSVALL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42195-2021</t>
        </is>
      </c>
      <c r="B738" s="1" t="n">
        <v>44426</v>
      </c>
      <c r="C738" s="1" t="n">
        <v>45577</v>
      </c>
      <c r="D738" t="inlineStr">
        <is>
          <t>VÄSTERNORRLANDS LÄN</t>
        </is>
      </c>
      <c r="E738" t="inlineStr">
        <is>
          <t>SUNDSVALL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42700-2021</t>
        </is>
      </c>
      <c r="B739" s="1" t="n">
        <v>44428</v>
      </c>
      <c r="C739" s="1" t="n">
        <v>45577</v>
      </c>
      <c r="D739" t="inlineStr">
        <is>
          <t>VÄSTERNORRLANDS LÄN</t>
        </is>
      </c>
      <c r="E739" t="inlineStr">
        <is>
          <t>SUNDSVALL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42728-2021</t>
        </is>
      </c>
      <c r="B740" s="1" t="n">
        <v>44428</v>
      </c>
      <c r="C740" s="1" t="n">
        <v>45577</v>
      </c>
      <c r="D740" t="inlineStr">
        <is>
          <t>VÄSTERNORRLANDS LÄN</t>
        </is>
      </c>
      <c r="E740" t="inlineStr">
        <is>
          <t>SUNDSVALL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43194-2021</t>
        </is>
      </c>
      <c r="B741" s="1" t="n">
        <v>44431</v>
      </c>
      <c r="C741" s="1" t="n">
        <v>45577</v>
      </c>
      <c r="D741" t="inlineStr">
        <is>
          <t>VÄSTERNORRLANDS LÄN</t>
        </is>
      </c>
      <c r="E741" t="inlineStr">
        <is>
          <t>SUNDSVALL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43199-2021</t>
        </is>
      </c>
      <c r="B742" s="1" t="n">
        <v>44432</v>
      </c>
      <c r="C742" s="1" t="n">
        <v>45577</v>
      </c>
      <c r="D742" t="inlineStr">
        <is>
          <t>VÄSTERNORRLANDS LÄN</t>
        </is>
      </c>
      <c r="E742" t="inlineStr">
        <is>
          <t>SUNDSVALL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43195-2021</t>
        </is>
      </c>
      <c r="B743" s="1" t="n">
        <v>44431</v>
      </c>
      <c r="C743" s="1" t="n">
        <v>45577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43204-2021</t>
        </is>
      </c>
      <c r="B744" s="1" t="n">
        <v>44431</v>
      </c>
      <c r="C744" s="1" t="n">
        <v>45577</v>
      </c>
      <c r="D744" t="inlineStr">
        <is>
          <t>VÄSTERNORRLANDS LÄN</t>
        </is>
      </c>
      <c r="E744" t="inlineStr">
        <is>
          <t>SUNDSVALL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43197-2021</t>
        </is>
      </c>
      <c r="B745" s="1" t="n">
        <v>44432</v>
      </c>
      <c r="C745" s="1" t="n">
        <v>45577</v>
      </c>
      <c r="D745" t="inlineStr">
        <is>
          <t>VÄSTERNORRLANDS LÄN</t>
        </is>
      </c>
      <c r="E745" t="inlineStr">
        <is>
          <t>SUNDSVALL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43205-2021</t>
        </is>
      </c>
      <c r="B746" s="1" t="n">
        <v>44431</v>
      </c>
      <c r="C746" s="1" t="n">
        <v>45577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43834-2021</t>
        </is>
      </c>
      <c r="B747" s="1" t="n">
        <v>44433</v>
      </c>
      <c r="C747" s="1" t="n">
        <v>45577</v>
      </c>
      <c r="D747" t="inlineStr">
        <is>
          <t>VÄSTERNORRLANDS LÄN</t>
        </is>
      </c>
      <c r="E747" t="inlineStr">
        <is>
          <t>SUNDSVALL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44030-2021</t>
        </is>
      </c>
      <c r="B748" s="1" t="n">
        <v>44434</v>
      </c>
      <c r="C748" s="1" t="n">
        <v>45577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44039-2021</t>
        </is>
      </c>
      <c r="B749" s="1" t="n">
        <v>44434</v>
      </c>
      <c r="C749" s="1" t="n">
        <v>45577</v>
      </c>
      <c r="D749" t="inlineStr">
        <is>
          <t>VÄSTERNORRLANDS LÄN</t>
        </is>
      </c>
      <c r="E749" t="inlineStr">
        <is>
          <t>SUNDSVALL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44610-2021</t>
        </is>
      </c>
      <c r="B750" s="1" t="n">
        <v>44436</v>
      </c>
      <c r="C750" s="1" t="n">
        <v>45577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45005-2021</t>
        </is>
      </c>
      <c r="B751" s="1" t="n">
        <v>44439</v>
      </c>
      <c r="C751" s="1" t="n">
        <v>45577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44920-2021</t>
        </is>
      </c>
      <c r="B752" s="1" t="n">
        <v>44438</v>
      </c>
      <c r="C752" s="1" t="n">
        <v>45577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44934-2021</t>
        </is>
      </c>
      <c r="B753" s="1" t="n">
        <v>44438</v>
      </c>
      <c r="C753" s="1" t="n">
        <v>45577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45000-2021</t>
        </is>
      </c>
      <c r="B754" s="1" t="n">
        <v>44439</v>
      </c>
      <c r="C754" s="1" t="n">
        <v>45577</v>
      </c>
      <c r="D754" t="inlineStr">
        <is>
          <t>VÄSTERNORRLANDS LÄN</t>
        </is>
      </c>
      <c r="E754" t="inlineStr">
        <is>
          <t>SUNDSVALL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45006-2021</t>
        </is>
      </c>
      <c r="B755" s="1" t="n">
        <v>44439</v>
      </c>
      <c r="C755" s="1" t="n">
        <v>45577</v>
      </c>
      <c r="D755" t="inlineStr">
        <is>
          <t>VÄSTERNORRLANDS LÄN</t>
        </is>
      </c>
      <c r="E755" t="inlineStr">
        <is>
          <t>SUNDSVALL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45506-2021</t>
        </is>
      </c>
      <c r="B756" s="1" t="n">
        <v>44440</v>
      </c>
      <c r="C756" s="1" t="n">
        <v>45577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45515-2021</t>
        </is>
      </c>
      <c r="B757" s="1" t="n">
        <v>44440</v>
      </c>
      <c r="C757" s="1" t="n">
        <v>45577</v>
      </c>
      <c r="D757" t="inlineStr">
        <is>
          <t>VÄSTERNORRLANDS LÄN</t>
        </is>
      </c>
      <c r="E757" t="inlineStr">
        <is>
          <t>SUNDSVALL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45646-2021</t>
        </is>
      </c>
      <c r="B758" s="1" t="n">
        <v>44440</v>
      </c>
      <c r="C758" s="1" t="n">
        <v>45577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45775-2021</t>
        </is>
      </c>
      <c r="B759" s="1" t="n">
        <v>44441</v>
      </c>
      <c r="C759" s="1" t="n">
        <v>45577</v>
      </c>
      <c r="D759" t="inlineStr">
        <is>
          <t>VÄSTERNORRLANDS LÄN</t>
        </is>
      </c>
      <c r="E759" t="inlineStr">
        <is>
          <t>SUNDSVALL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45739-2021</t>
        </is>
      </c>
      <c r="B760" s="1" t="n">
        <v>44441</v>
      </c>
      <c r="C760" s="1" t="n">
        <v>45577</v>
      </c>
      <c r="D760" t="inlineStr">
        <is>
          <t>VÄSTERNORRLANDS LÄN</t>
        </is>
      </c>
      <c r="E760" t="inlineStr">
        <is>
          <t>SUNDSVALL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45959-2021</t>
        </is>
      </c>
      <c r="B761" s="1" t="n">
        <v>44441</v>
      </c>
      <c r="C761" s="1" t="n">
        <v>45577</v>
      </c>
      <c r="D761" t="inlineStr">
        <is>
          <t>VÄSTERNORRLANDS LÄN</t>
        </is>
      </c>
      <c r="E761" t="inlineStr">
        <is>
          <t>SUNDSVALL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47565-2021</t>
        </is>
      </c>
      <c r="B762" s="1" t="n">
        <v>44447</v>
      </c>
      <c r="C762" s="1" t="n">
        <v>45577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47944-2021</t>
        </is>
      </c>
      <c r="B763" s="1" t="n">
        <v>44448</v>
      </c>
      <c r="C763" s="1" t="n">
        <v>45577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48662-2021</t>
        </is>
      </c>
      <c r="B764" s="1" t="n">
        <v>44452</v>
      </c>
      <c r="C764" s="1" t="n">
        <v>45577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48705-2021</t>
        </is>
      </c>
      <c r="B765" s="1" t="n">
        <v>44452</v>
      </c>
      <c r="C765" s="1" t="n">
        <v>45577</v>
      </c>
      <c r="D765" t="inlineStr">
        <is>
          <t>VÄSTERNORRLANDS LÄN</t>
        </is>
      </c>
      <c r="E765" t="inlineStr">
        <is>
          <t>SUNDSVALL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48878-2021</t>
        </is>
      </c>
      <c r="B766" s="1" t="n">
        <v>44453</v>
      </c>
      <c r="C766" s="1" t="n">
        <v>45577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48864-2021</t>
        </is>
      </c>
      <c r="B767" s="1" t="n">
        <v>44453</v>
      </c>
      <c r="C767" s="1" t="n">
        <v>45577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49480-2021</t>
        </is>
      </c>
      <c r="B768" s="1" t="n">
        <v>44454</v>
      </c>
      <c r="C768" s="1" t="n">
        <v>45577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49368-2021</t>
        </is>
      </c>
      <c r="B769" s="1" t="n">
        <v>44454</v>
      </c>
      <c r="C769" s="1" t="n">
        <v>45577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49380-2021</t>
        </is>
      </c>
      <c r="B770" s="1" t="n">
        <v>44454</v>
      </c>
      <c r="C770" s="1" t="n">
        <v>45577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50127-2021</t>
        </is>
      </c>
      <c r="B771" s="1" t="n">
        <v>44456</v>
      </c>
      <c r="C771" s="1" t="n">
        <v>45577</v>
      </c>
      <c r="D771" t="inlineStr">
        <is>
          <t>VÄSTERNORRLANDS LÄN</t>
        </is>
      </c>
      <c r="E771" t="inlineStr">
        <is>
          <t>SUNDSVALL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50237-2021</t>
        </is>
      </c>
      <c r="B772" s="1" t="n">
        <v>44458</v>
      </c>
      <c r="C772" s="1" t="n">
        <v>45577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50659-2021</t>
        </is>
      </c>
      <c r="B773" s="1" t="n">
        <v>44460</v>
      </c>
      <c r="C773" s="1" t="n">
        <v>45577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50921-2021</t>
        </is>
      </c>
      <c r="B774" s="1" t="n">
        <v>44460</v>
      </c>
      <c r="C774" s="1" t="n">
        <v>45577</v>
      </c>
      <c r="D774" t="inlineStr">
        <is>
          <t>VÄSTERNORRLANDS LÄN</t>
        </is>
      </c>
      <c r="E774" t="inlineStr">
        <is>
          <t>SUNDSVALL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51011-2021</t>
        </is>
      </c>
      <c r="B775" s="1" t="n">
        <v>44460</v>
      </c>
      <c r="C775" s="1" t="n">
        <v>45577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51681-2021</t>
        </is>
      </c>
      <c r="B776" s="1" t="n">
        <v>44461</v>
      </c>
      <c r="C776" s="1" t="n">
        <v>45577</v>
      </c>
      <c r="D776" t="inlineStr">
        <is>
          <t>VÄSTERNORRLANDS LÄN</t>
        </is>
      </c>
      <c r="E776" t="inlineStr">
        <is>
          <t>SUNDSVALL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51599-2021</t>
        </is>
      </c>
      <c r="B777" s="1" t="n">
        <v>44461</v>
      </c>
      <c r="C777" s="1" t="n">
        <v>45577</v>
      </c>
      <c r="D777" t="inlineStr">
        <is>
          <t>VÄSTERNORRLANDS LÄN</t>
        </is>
      </c>
      <c r="E777" t="inlineStr">
        <is>
          <t>SUNDSVALL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51621-2021</t>
        </is>
      </c>
      <c r="B778" s="1" t="n">
        <v>44462</v>
      </c>
      <c r="C778" s="1" t="n">
        <v>45577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51687-2021</t>
        </is>
      </c>
      <c r="B779" s="1" t="n">
        <v>44462</v>
      </c>
      <c r="C779" s="1" t="n">
        <v>45577</v>
      </c>
      <c r="D779" t="inlineStr">
        <is>
          <t>VÄSTERNORRLANDS LÄN</t>
        </is>
      </c>
      <c r="E779" t="inlineStr">
        <is>
          <t>SUNDSVALL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51768-2021</t>
        </is>
      </c>
      <c r="B780" s="1" t="n">
        <v>44462</v>
      </c>
      <c r="C780" s="1" t="n">
        <v>45577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51910-2021</t>
        </is>
      </c>
      <c r="B781" s="1" t="n">
        <v>44463</v>
      </c>
      <c r="C781" s="1" t="n">
        <v>45577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51948-2021</t>
        </is>
      </c>
      <c r="B782" s="1" t="n">
        <v>44463</v>
      </c>
      <c r="C782" s="1" t="n">
        <v>45577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52315-2021</t>
        </is>
      </c>
      <c r="B783" s="1" t="n">
        <v>44463</v>
      </c>
      <c r="C783" s="1" t="n">
        <v>45577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52318-2021</t>
        </is>
      </c>
      <c r="B784" s="1" t="n">
        <v>44463</v>
      </c>
      <c r="C784" s="1" t="n">
        <v>45577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52651-2021</t>
        </is>
      </c>
      <c r="B785" s="1" t="n">
        <v>44466</v>
      </c>
      <c r="C785" s="1" t="n">
        <v>45577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52554-2021</t>
        </is>
      </c>
      <c r="B786" s="1" t="n">
        <v>44466</v>
      </c>
      <c r="C786" s="1" t="n">
        <v>45577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54470-2021</t>
        </is>
      </c>
      <c r="B787" s="1" t="n">
        <v>44473</v>
      </c>
      <c r="C787" s="1" t="n">
        <v>45577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54506-2021</t>
        </is>
      </c>
      <c r="B788" s="1" t="n">
        <v>44473</v>
      </c>
      <c r="C788" s="1" t="n">
        <v>45577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54739-2021</t>
        </is>
      </c>
      <c r="B789" s="1" t="n">
        <v>44473</v>
      </c>
      <c r="C789" s="1" t="n">
        <v>45577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55158-2021</t>
        </is>
      </c>
      <c r="B790" s="1" t="n">
        <v>44474</v>
      </c>
      <c r="C790" s="1" t="n">
        <v>45577</v>
      </c>
      <c r="D790" t="inlineStr">
        <is>
          <t>VÄSTERNORRLANDS LÄN</t>
        </is>
      </c>
      <c r="E790" t="inlineStr">
        <is>
          <t>SUNDSVALL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55161-2021</t>
        </is>
      </c>
      <c r="B791" s="1" t="n">
        <v>44475</v>
      </c>
      <c r="C791" s="1" t="n">
        <v>45577</v>
      </c>
      <c r="D791" t="inlineStr">
        <is>
          <t>VÄSTERNORRLANDS LÄN</t>
        </is>
      </c>
      <c r="E791" t="inlineStr">
        <is>
          <t>SUNDSVALL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55594-2021</t>
        </is>
      </c>
      <c r="B792" s="1" t="n">
        <v>44475</v>
      </c>
      <c r="C792" s="1" t="n">
        <v>45577</v>
      </c>
      <c r="D792" t="inlineStr">
        <is>
          <t>VÄSTERNORRLANDS LÄN</t>
        </is>
      </c>
      <c r="E792" t="inlineStr">
        <is>
          <t>SUNDSVALL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55676-2021</t>
        </is>
      </c>
      <c r="B793" s="1" t="n">
        <v>44476</v>
      </c>
      <c r="C793" s="1" t="n">
        <v>45577</v>
      </c>
      <c r="D793" t="inlineStr">
        <is>
          <t>VÄSTERNORRLANDS LÄN</t>
        </is>
      </c>
      <c r="E793" t="inlineStr">
        <is>
          <t>SUNDSVALL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56216-2021</t>
        </is>
      </c>
      <c r="B794" s="1" t="n">
        <v>44478</v>
      </c>
      <c r="C794" s="1" t="n">
        <v>45577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56217-2021</t>
        </is>
      </c>
      <c r="B795" s="1" t="n">
        <v>44478</v>
      </c>
      <c r="C795" s="1" t="n">
        <v>45577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56218-2021</t>
        </is>
      </c>
      <c r="B796" s="1" t="n">
        <v>44478</v>
      </c>
      <c r="C796" s="1" t="n">
        <v>45577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56660-2021</t>
        </is>
      </c>
      <c r="B797" s="1" t="n">
        <v>44481</v>
      </c>
      <c r="C797" s="1" t="n">
        <v>45577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Naturvårdsverket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56894-2021</t>
        </is>
      </c>
      <c r="B798" s="1" t="n">
        <v>44481</v>
      </c>
      <c r="C798" s="1" t="n">
        <v>45577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56755-2021</t>
        </is>
      </c>
      <c r="B799" s="1" t="n">
        <v>44481</v>
      </c>
      <c r="C799" s="1" t="n">
        <v>45577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Kommuner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56892-2021</t>
        </is>
      </c>
      <c r="B800" s="1" t="n">
        <v>44481</v>
      </c>
      <c r="C800" s="1" t="n">
        <v>45577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57202-2021</t>
        </is>
      </c>
      <c r="B801" s="1" t="n">
        <v>44482</v>
      </c>
      <c r="C801" s="1" t="n">
        <v>45577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57212-2021</t>
        </is>
      </c>
      <c r="B802" s="1" t="n">
        <v>44483</v>
      </c>
      <c r="C802" s="1" t="n">
        <v>45577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57082-2021</t>
        </is>
      </c>
      <c r="B803" s="1" t="n">
        <v>44482</v>
      </c>
      <c r="C803" s="1" t="n">
        <v>45577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57234-2021</t>
        </is>
      </c>
      <c r="B804" s="1" t="n">
        <v>44482</v>
      </c>
      <c r="C804" s="1" t="n">
        <v>45577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57533-2021</t>
        </is>
      </c>
      <c r="B805" s="1" t="n">
        <v>44484</v>
      </c>
      <c r="C805" s="1" t="n">
        <v>45577</v>
      </c>
      <c r="D805" t="inlineStr">
        <is>
          <t>VÄSTERNORRLANDS LÄN</t>
        </is>
      </c>
      <c r="E805" t="inlineStr">
        <is>
          <t>SUNDSVALL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57543-2021</t>
        </is>
      </c>
      <c r="B806" s="1" t="n">
        <v>44483</v>
      </c>
      <c r="C806" s="1" t="n">
        <v>45577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45577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58037-2021</t>
        </is>
      </c>
      <c r="B808" s="1" t="n">
        <v>44487</v>
      </c>
      <c r="C808" s="1" t="n">
        <v>45577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58274-2021</t>
        </is>
      </c>
      <c r="B809" s="1" t="n">
        <v>44488</v>
      </c>
      <c r="C809" s="1" t="n">
        <v>45577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59127-2021</t>
        </is>
      </c>
      <c r="B810" s="1" t="n">
        <v>44490</v>
      </c>
      <c r="C810" s="1" t="n">
        <v>45577</v>
      </c>
      <c r="D810" t="inlineStr">
        <is>
          <t>VÄSTERNORRLANDS LÄN</t>
        </is>
      </c>
      <c r="E810" t="inlineStr">
        <is>
          <t>SUNDSVALL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59146-2021</t>
        </is>
      </c>
      <c r="B811" s="1" t="n">
        <v>44490</v>
      </c>
      <c r="C811" s="1" t="n">
        <v>45577</v>
      </c>
      <c r="D811" t="inlineStr">
        <is>
          <t>VÄSTERNORRLANDS LÄN</t>
        </is>
      </c>
      <c r="E811" t="inlineStr">
        <is>
          <t>SUNDSVALL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59326-2021</t>
        </is>
      </c>
      <c r="B812" s="1" t="n">
        <v>44491</v>
      </c>
      <c r="C812" s="1" t="n">
        <v>45577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59325-2021</t>
        </is>
      </c>
      <c r="B813" s="1" t="n">
        <v>44491</v>
      </c>
      <c r="C813" s="1" t="n">
        <v>45577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59496-2021</t>
        </is>
      </c>
      <c r="B814" s="1" t="n">
        <v>44491</v>
      </c>
      <c r="C814" s="1" t="n">
        <v>45577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59440-2021</t>
        </is>
      </c>
      <c r="B815" s="1" t="n">
        <v>44491</v>
      </c>
      <c r="C815" s="1" t="n">
        <v>45577</v>
      </c>
      <c r="D815" t="inlineStr">
        <is>
          <t>VÄSTERNORRLANDS LÄN</t>
        </is>
      </c>
      <c r="E815" t="inlineStr">
        <is>
          <t>SUNDSVALL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59579-2021</t>
        </is>
      </c>
      <c r="B816" s="1" t="n">
        <v>44491</v>
      </c>
      <c r="C816" s="1" t="n">
        <v>45577</v>
      </c>
      <c r="D816" t="inlineStr">
        <is>
          <t>VÄSTERNORRLANDS LÄN</t>
        </is>
      </c>
      <c r="E816" t="inlineStr">
        <is>
          <t>SUNDSVALL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59978-2021</t>
        </is>
      </c>
      <c r="B817" s="1" t="n">
        <v>44495</v>
      </c>
      <c r="C817" s="1" t="n">
        <v>45577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59973-2021</t>
        </is>
      </c>
      <c r="B818" s="1" t="n">
        <v>44495</v>
      </c>
      <c r="C818" s="1" t="n">
        <v>45577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59975-2021</t>
        </is>
      </c>
      <c r="B819" s="1" t="n">
        <v>44495</v>
      </c>
      <c r="C819" s="1" t="n">
        <v>45577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60891-2021</t>
        </is>
      </c>
      <c r="B820" s="1" t="n">
        <v>44497</v>
      </c>
      <c r="C820" s="1" t="n">
        <v>45577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61300-2021</t>
        </is>
      </c>
      <c r="B821" s="1" t="n">
        <v>44497</v>
      </c>
      <c r="C821" s="1" t="n">
        <v>45577</v>
      </c>
      <c r="D821" t="inlineStr">
        <is>
          <t>VÄSTERNORRLANDS LÄN</t>
        </is>
      </c>
      <c r="E821" t="inlineStr">
        <is>
          <t>SUNDSVALL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60911-2021</t>
        </is>
      </c>
      <c r="B822" s="1" t="n">
        <v>44497</v>
      </c>
      <c r="C822" s="1" t="n">
        <v>45577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61407-2021</t>
        </is>
      </c>
      <c r="B823" s="1" t="n">
        <v>44500</v>
      </c>
      <c r="C823" s="1" t="n">
        <v>45577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61409-2021</t>
        </is>
      </c>
      <c r="B824" s="1" t="n">
        <v>44500</v>
      </c>
      <c r="C824" s="1" t="n">
        <v>45577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61562-2021</t>
        </is>
      </c>
      <c r="B825" s="1" t="n">
        <v>44501</v>
      </c>
      <c r="C825" s="1" t="n">
        <v>45577</v>
      </c>
      <c r="D825" t="inlineStr">
        <is>
          <t>VÄSTERNORRLANDS LÄN</t>
        </is>
      </c>
      <c r="E825" t="inlineStr">
        <is>
          <t>SUNDSVALL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61851-2021</t>
        </is>
      </c>
      <c r="B826" s="1" t="n">
        <v>44501</v>
      </c>
      <c r="C826" s="1" t="n">
        <v>45577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62077-2021</t>
        </is>
      </c>
      <c r="B827" s="1" t="n">
        <v>44502</v>
      </c>
      <c r="C827" s="1" t="n">
        <v>45577</v>
      </c>
      <c r="D827" t="inlineStr">
        <is>
          <t>VÄSTERNORRLANDS LÄN</t>
        </is>
      </c>
      <c r="E827" t="inlineStr">
        <is>
          <t>SUNDSVALL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62080-2021</t>
        </is>
      </c>
      <c r="B828" s="1" t="n">
        <v>44502</v>
      </c>
      <c r="C828" s="1" t="n">
        <v>45577</v>
      </c>
      <c r="D828" t="inlineStr">
        <is>
          <t>VÄSTERNORRLANDS LÄN</t>
        </is>
      </c>
      <c r="E828" t="inlineStr">
        <is>
          <t>SUNDSVALL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62073-2021</t>
        </is>
      </c>
      <c r="B829" s="1" t="n">
        <v>44502</v>
      </c>
      <c r="C829" s="1" t="n">
        <v>45577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62083-2021</t>
        </is>
      </c>
      <c r="B830" s="1" t="n">
        <v>44502</v>
      </c>
      <c r="C830" s="1" t="n">
        <v>45577</v>
      </c>
      <c r="D830" t="inlineStr">
        <is>
          <t>VÄSTERNORRLANDS LÄN</t>
        </is>
      </c>
      <c r="E830" t="inlineStr">
        <is>
          <t>SUNDSVALL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62184-2021</t>
        </is>
      </c>
      <c r="B831" s="1" t="n">
        <v>44502</v>
      </c>
      <c r="C831" s="1" t="n">
        <v>45577</v>
      </c>
      <c r="D831" t="inlineStr">
        <is>
          <t>VÄSTERNORRLANDS LÄN</t>
        </is>
      </c>
      <c r="E831" t="inlineStr">
        <is>
          <t>SUNDSVALL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62662-2021</t>
        </is>
      </c>
      <c r="B832" s="1" t="n">
        <v>44503</v>
      </c>
      <c r="C832" s="1" t="n">
        <v>45577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63464-2021</t>
        </is>
      </c>
      <c r="B833" s="1" t="n">
        <v>44504</v>
      </c>
      <c r="C833" s="1" t="n">
        <v>45577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63163-2021</t>
        </is>
      </c>
      <c r="B834" s="1" t="n">
        <v>44505</v>
      </c>
      <c r="C834" s="1" t="n">
        <v>45577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45577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63655-2021</t>
        </is>
      </c>
      <c r="B836" s="1" t="n">
        <v>44508</v>
      </c>
      <c r="C836" s="1" t="n">
        <v>45577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63665-2021</t>
        </is>
      </c>
      <c r="B837" s="1" t="n">
        <v>44508</v>
      </c>
      <c r="C837" s="1" t="n">
        <v>45577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63661-2021</t>
        </is>
      </c>
      <c r="B838" s="1" t="n">
        <v>44508</v>
      </c>
      <c r="C838" s="1" t="n">
        <v>45577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64367-2021</t>
        </is>
      </c>
      <c r="B839" s="1" t="n">
        <v>44511</v>
      </c>
      <c r="C839" s="1" t="n">
        <v>45577</v>
      </c>
      <c r="D839" t="inlineStr">
        <is>
          <t>VÄSTERNORRLANDS LÄN</t>
        </is>
      </c>
      <c r="E839" t="inlineStr">
        <is>
          <t>SUNDSVALL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64478-2021</t>
        </is>
      </c>
      <c r="B840" s="1" t="n">
        <v>44511</v>
      </c>
      <c r="C840" s="1" t="n">
        <v>45577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64641-2021</t>
        </is>
      </c>
      <c r="B841" s="1" t="n">
        <v>44511</v>
      </c>
      <c r="C841" s="1" t="n">
        <v>45577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64649-2021</t>
        </is>
      </c>
      <c r="B842" s="1" t="n">
        <v>44511</v>
      </c>
      <c r="C842" s="1" t="n">
        <v>45577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64917-2021</t>
        </is>
      </c>
      <c r="B843" s="1" t="n">
        <v>44512</v>
      </c>
      <c r="C843" s="1" t="n">
        <v>45577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65743-2021</t>
        </is>
      </c>
      <c r="B844" s="1" t="n">
        <v>44516</v>
      </c>
      <c r="C844" s="1" t="n">
        <v>45577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65696-2021</t>
        </is>
      </c>
      <c r="B845" s="1" t="n">
        <v>44516</v>
      </c>
      <c r="C845" s="1" t="n">
        <v>45577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66027-2021</t>
        </is>
      </c>
      <c r="B846" s="1" t="n">
        <v>44517</v>
      </c>
      <c r="C846" s="1" t="n">
        <v>45577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66191-2021</t>
        </is>
      </c>
      <c r="B847" s="1" t="n">
        <v>44517</v>
      </c>
      <c r="C847" s="1" t="n">
        <v>45577</v>
      </c>
      <c r="D847" t="inlineStr">
        <is>
          <t>VÄSTERNORRLANDS LÄN</t>
        </is>
      </c>
      <c r="E847" t="inlineStr">
        <is>
          <t>SUNDSVALL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66160-2021</t>
        </is>
      </c>
      <c r="B848" s="1" t="n">
        <v>44517</v>
      </c>
      <c r="C848" s="1" t="n">
        <v>45577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66872-2021</t>
        </is>
      </c>
      <c r="B849" s="1" t="n">
        <v>44522</v>
      </c>
      <c r="C849" s="1" t="n">
        <v>45577</v>
      </c>
      <c r="D849" t="inlineStr">
        <is>
          <t>VÄSTERNORRLANDS LÄN</t>
        </is>
      </c>
      <c r="E849" t="inlineStr">
        <is>
          <t>SUNDSVALL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67075-2021</t>
        </is>
      </c>
      <c r="B850" s="1" t="n">
        <v>44522</v>
      </c>
      <c r="C850" s="1" t="n">
        <v>45577</v>
      </c>
      <c r="D850" t="inlineStr">
        <is>
          <t>VÄSTERNORRLANDS LÄN</t>
        </is>
      </c>
      <c r="E850" t="inlineStr">
        <is>
          <t>SUNDSVALL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67095-2021</t>
        </is>
      </c>
      <c r="B851" s="1" t="n">
        <v>44522</v>
      </c>
      <c r="C851" s="1" t="n">
        <v>45577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67098-2021</t>
        </is>
      </c>
      <c r="B852" s="1" t="n">
        <v>44522</v>
      </c>
      <c r="C852" s="1" t="n">
        <v>45577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67123-2021</t>
        </is>
      </c>
      <c r="B853" s="1" t="n">
        <v>44522</v>
      </c>
      <c r="C853" s="1" t="n">
        <v>45577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67277-2021</t>
        </is>
      </c>
      <c r="B854" s="1" t="n">
        <v>44523</v>
      </c>
      <c r="C854" s="1" t="n">
        <v>45577</v>
      </c>
      <c r="D854" t="inlineStr">
        <is>
          <t>VÄSTERNORRLANDS LÄN</t>
        </is>
      </c>
      <c r="E854" t="inlineStr">
        <is>
          <t>SUNDSVALL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67388-2021</t>
        </is>
      </c>
      <c r="B855" s="1" t="n">
        <v>44523</v>
      </c>
      <c r="C855" s="1" t="n">
        <v>45577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67474-2021</t>
        </is>
      </c>
      <c r="B856" s="1" t="n">
        <v>44524</v>
      </c>
      <c r="C856" s="1" t="n">
        <v>45577</v>
      </c>
      <c r="D856" t="inlineStr">
        <is>
          <t>VÄSTERNORRLANDS LÄN</t>
        </is>
      </c>
      <c r="E856" t="inlineStr">
        <is>
          <t>SUNDSVALL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67562-2021</t>
        </is>
      </c>
      <c r="B857" s="1" t="n">
        <v>44524</v>
      </c>
      <c r="C857" s="1" t="n">
        <v>45577</v>
      </c>
      <c r="D857" t="inlineStr">
        <is>
          <t>VÄSTERNORRLANDS LÄN</t>
        </is>
      </c>
      <c r="E857" t="inlineStr">
        <is>
          <t>SUNDSVALL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67698-2021</t>
        </is>
      </c>
      <c r="B858" s="1" t="n">
        <v>44524</v>
      </c>
      <c r="C858" s="1" t="n">
        <v>45577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67706-2021</t>
        </is>
      </c>
      <c r="B859" s="1" t="n">
        <v>44524</v>
      </c>
      <c r="C859" s="1" t="n">
        <v>45577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68055-2021</t>
        </is>
      </c>
      <c r="B860" s="1" t="n">
        <v>44525</v>
      </c>
      <c r="C860" s="1" t="n">
        <v>45577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68880-2021</t>
        </is>
      </c>
      <c r="B861" s="1" t="n">
        <v>44529</v>
      </c>
      <c r="C861" s="1" t="n">
        <v>45577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69260-2021</t>
        </is>
      </c>
      <c r="B862" s="1" t="n">
        <v>44530</v>
      </c>
      <c r="C862" s="1" t="n">
        <v>45577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69210-2021</t>
        </is>
      </c>
      <c r="B863" s="1" t="n">
        <v>44531</v>
      </c>
      <c r="C863" s="1" t="n">
        <v>45577</v>
      </c>
      <c r="D863" t="inlineStr">
        <is>
          <t>VÄSTERNORRLANDS LÄN</t>
        </is>
      </c>
      <c r="E863" t="inlineStr">
        <is>
          <t>SUNDSVALL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70174-2021</t>
        </is>
      </c>
      <c r="B864" s="1" t="n">
        <v>44533</v>
      </c>
      <c r="C864" s="1" t="n">
        <v>45577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70173-2021</t>
        </is>
      </c>
      <c r="B865" s="1" t="n">
        <v>44533</v>
      </c>
      <c r="C865" s="1" t="n">
        <v>45577</v>
      </c>
      <c r="D865" t="inlineStr">
        <is>
          <t>VÄSTERNORRLANDS LÄN</t>
        </is>
      </c>
      <c r="E865" t="inlineStr">
        <is>
          <t>SUNDSVALL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70171-2021</t>
        </is>
      </c>
      <c r="B866" s="1" t="n">
        <v>44533</v>
      </c>
      <c r="C866" s="1" t="n">
        <v>45577</v>
      </c>
      <c r="D866" t="inlineStr">
        <is>
          <t>VÄSTERNORRLANDS LÄN</t>
        </is>
      </c>
      <c r="E866" t="inlineStr">
        <is>
          <t>SUNDSVALL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70309-2021</t>
        </is>
      </c>
      <c r="B867" s="1" t="n">
        <v>44533</v>
      </c>
      <c r="C867" s="1" t="n">
        <v>45577</v>
      </c>
      <c r="D867" t="inlineStr">
        <is>
          <t>VÄSTERNORRLANDS LÄN</t>
        </is>
      </c>
      <c r="E867" t="inlineStr">
        <is>
          <t>SUNDSVALL</t>
        </is>
      </c>
      <c r="G867" t="n">
        <v>18.8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70690-2021</t>
        </is>
      </c>
      <c r="B868" s="1" t="n">
        <v>44537</v>
      </c>
      <c r="C868" s="1" t="n">
        <v>45577</v>
      </c>
      <c r="D868" t="inlineStr">
        <is>
          <t>VÄSTERNORRLANDS LÄN</t>
        </is>
      </c>
      <c r="E868" t="inlineStr">
        <is>
          <t>SUNDSVALL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70879-2021</t>
        </is>
      </c>
      <c r="B869" s="1" t="n">
        <v>44538</v>
      </c>
      <c r="C869" s="1" t="n">
        <v>45577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70873-2021</t>
        </is>
      </c>
      <c r="B870" s="1" t="n">
        <v>44538</v>
      </c>
      <c r="C870" s="1" t="n">
        <v>45577</v>
      </c>
      <c r="D870" t="inlineStr">
        <is>
          <t>VÄSTERNORRLANDS LÄN</t>
        </is>
      </c>
      <c r="E870" t="inlineStr">
        <is>
          <t>SUNDSVALL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70901-2021</t>
        </is>
      </c>
      <c r="B871" s="1" t="n">
        <v>44538</v>
      </c>
      <c r="C871" s="1" t="n">
        <v>45577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71983-2021</t>
        </is>
      </c>
      <c r="B872" s="1" t="n">
        <v>44540</v>
      </c>
      <c r="C872" s="1" t="n">
        <v>45577</v>
      </c>
      <c r="D872" t="inlineStr">
        <is>
          <t>VÄSTERNORRLANDS LÄN</t>
        </is>
      </c>
      <c r="E872" t="inlineStr">
        <is>
          <t>SUNDSVALL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72499-2021</t>
        </is>
      </c>
      <c r="B873" s="1" t="n">
        <v>44545</v>
      </c>
      <c r="C873" s="1" t="n">
        <v>45577</v>
      </c>
      <c r="D873" t="inlineStr">
        <is>
          <t>VÄSTERNORRLANDS LÄN</t>
        </is>
      </c>
      <c r="E873" t="inlineStr">
        <is>
          <t>SUNDSVALL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72769-2021</t>
        </is>
      </c>
      <c r="B874" s="1" t="n">
        <v>44546</v>
      </c>
      <c r="C874" s="1" t="n">
        <v>45577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73980-2021</t>
        </is>
      </c>
      <c r="B875" s="1" t="n">
        <v>44554</v>
      </c>
      <c r="C875" s="1" t="n">
        <v>45577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73979-2021</t>
        </is>
      </c>
      <c r="B876" s="1" t="n">
        <v>44554</v>
      </c>
      <c r="C876" s="1" t="n">
        <v>45577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74104-2021</t>
        </is>
      </c>
      <c r="B877" s="1" t="n">
        <v>44557</v>
      </c>
      <c r="C877" s="1" t="n">
        <v>45577</v>
      </c>
      <c r="D877" t="inlineStr">
        <is>
          <t>VÄSTERNORRLANDS LÄN</t>
        </is>
      </c>
      <c r="E877" t="inlineStr">
        <is>
          <t>SUNDSVALL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74383-2021</t>
        </is>
      </c>
      <c r="B878" s="1" t="n">
        <v>44559</v>
      </c>
      <c r="C878" s="1" t="n">
        <v>45577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74384-2021</t>
        </is>
      </c>
      <c r="B879" s="1" t="n">
        <v>44559</v>
      </c>
      <c r="C879" s="1" t="n">
        <v>45577</v>
      </c>
      <c r="D879" t="inlineStr">
        <is>
          <t>VÄSTERNORRLANDS LÄN</t>
        </is>
      </c>
      <c r="E879" t="inlineStr">
        <is>
          <t>SUNDSVALL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227-2022</t>
        </is>
      </c>
      <c r="B880" s="1" t="n">
        <v>44564</v>
      </c>
      <c r="C880" s="1" t="n">
        <v>45577</v>
      </c>
      <c r="D880" t="inlineStr">
        <is>
          <t>VÄSTERNORRLANDS LÄN</t>
        </is>
      </c>
      <c r="E880" t="inlineStr">
        <is>
          <t>SUNDSVALL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223-2022</t>
        </is>
      </c>
      <c r="B881" s="1" t="n">
        <v>44564</v>
      </c>
      <c r="C881" s="1" t="n">
        <v>45577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228-2022</t>
        </is>
      </c>
      <c r="B882" s="1" t="n">
        <v>44564</v>
      </c>
      <c r="C882" s="1" t="n">
        <v>45577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1079-2022</t>
        </is>
      </c>
      <c r="B883" s="1" t="n">
        <v>44571</v>
      </c>
      <c r="C883" s="1" t="n">
        <v>45577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1097-2022</t>
        </is>
      </c>
      <c r="B884" s="1" t="n">
        <v>44571</v>
      </c>
      <c r="C884" s="1" t="n">
        <v>45577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1080-2022</t>
        </is>
      </c>
      <c r="B885" s="1" t="n">
        <v>44571</v>
      </c>
      <c r="C885" s="1" t="n">
        <v>45577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1100-2022</t>
        </is>
      </c>
      <c r="B886" s="1" t="n">
        <v>44571</v>
      </c>
      <c r="C886" s="1" t="n">
        <v>45577</v>
      </c>
      <c r="D886" t="inlineStr">
        <is>
          <t>VÄSTERNORRLANDS LÄN</t>
        </is>
      </c>
      <c r="E886" t="inlineStr">
        <is>
          <t>SUNDSVALL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1232-2022</t>
        </is>
      </c>
      <c r="B887" s="1" t="n">
        <v>44572</v>
      </c>
      <c r="C887" s="1" t="n">
        <v>45577</v>
      </c>
      <c r="D887" t="inlineStr">
        <is>
          <t>VÄSTERNORRLANDS LÄN</t>
        </is>
      </c>
      <c r="E887" t="inlineStr">
        <is>
          <t>SUNDSVALL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1335-2022</t>
        </is>
      </c>
      <c r="B888" s="1" t="n">
        <v>44572</v>
      </c>
      <c r="C888" s="1" t="n">
        <v>45577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1873-2022</t>
        </is>
      </c>
      <c r="B889" s="1" t="n">
        <v>44574</v>
      </c>
      <c r="C889" s="1" t="n">
        <v>45577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2330-2022</t>
        </is>
      </c>
      <c r="B890" s="1" t="n">
        <v>44578</v>
      </c>
      <c r="C890" s="1" t="n">
        <v>45577</v>
      </c>
      <c r="D890" t="inlineStr">
        <is>
          <t>VÄSTERNORRLANDS LÄN</t>
        </is>
      </c>
      <c r="E890" t="inlineStr">
        <is>
          <t>SUNDSVALL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2347-2022</t>
        </is>
      </c>
      <c r="B891" s="1" t="n">
        <v>44578</v>
      </c>
      <c r="C891" s="1" t="n">
        <v>45577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2332-2022</t>
        </is>
      </c>
      <c r="B892" s="1" t="n">
        <v>44578</v>
      </c>
      <c r="C892" s="1" t="n">
        <v>45577</v>
      </c>
      <c r="D892" t="inlineStr">
        <is>
          <t>VÄSTERNORRLANDS LÄN</t>
        </is>
      </c>
      <c r="E892" t="inlineStr">
        <is>
          <t>SUNDSVALL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3161-2022</t>
        </is>
      </c>
      <c r="B893" s="1" t="n">
        <v>44582</v>
      </c>
      <c r="C893" s="1" t="n">
        <v>45577</v>
      </c>
      <c r="D893" t="inlineStr">
        <is>
          <t>VÄSTERNORRLANDS LÄN</t>
        </is>
      </c>
      <c r="E893" t="inlineStr">
        <is>
          <t>SUNDSVALL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3238-2022</t>
        </is>
      </c>
      <c r="B894" s="1" t="n">
        <v>44582</v>
      </c>
      <c r="C894" s="1" t="n">
        <v>45577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3236-2022</t>
        </is>
      </c>
      <c r="B895" s="1" t="n">
        <v>44582</v>
      </c>
      <c r="C895" s="1" t="n">
        <v>45577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3359-2022</t>
        </is>
      </c>
      <c r="B896" s="1" t="n">
        <v>44585</v>
      </c>
      <c r="C896" s="1" t="n">
        <v>45577</v>
      </c>
      <c r="D896" t="inlineStr">
        <is>
          <t>VÄSTERNORRLANDS LÄN</t>
        </is>
      </c>
      <c r="E896" t="inlineStr">
        <is>
          <t>SUNDSVALL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3545-2022</t>
        </is>
      </c>
      <c r="B897" s="1" t="n">
        <v>44585</v>
      </c>
      <c r="C897" s="1" t="n">
        <v>45577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3546-2022</t>
        </is>
      </c>
      <c r="B898" s="1" t="n">
        <v>44585</v>
      </c>
      <c r="C898" s="1" t="n">
        <v>45577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4332-2022</t>
        </is>
      </c>
      <c r="B899" s="1" t="n">
        <v>44588</v>
      </c>
      <c r="C899" s="1" t="n">
        <v>45577</v>
      </c>
      <c r="D899" t="inlineStr">
        <is>
          <t>VÄSTERNORRLANDS LÄN</t>
        </is>
      </c>
      <c r="E899" t="inlineStr">
        <is>
          <t>SUNDSVALL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4519-2022</t>
        </is>
      </c>
      <c r="B900" s="1" t="n">
        <v>44589</v>
      </c>
      <c r="C900" s="1" t="n">
        <v>45577</v>
      </c>
      <c r="D900" t="inlineStr">
        <is>
          <t>VÄSTERNORRLANDS LÄN</t>
        </is>
      </c>
      <c r="E900" t="inlineStr">
        <is>
          <t>SUNDSVALL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4871-2022</t>
        </is>
      </c>
      <c r="B901" s="1" t="n">
        <v>44592</v>
      </c>
      <c r="C901" s="1" t="n">
        <v>45577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5119-2022</t>
        </is>
      </c>
      <c r="B902" s="1" t="n">
        <v>44593</v>
      </c>
      <c r="C902" s="1" t="n">
        <v>45577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5123-2022</t>
        </is>
      </c>
      <c r="B903" s="1" t="n">
        <v>44593</v>
      </c>
      <c r="C903" s="1" t="n">
        <v>45577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5362-2022</t>
        </is>
      </c>
      <c r="B904" s="1" t="n">
        <v>44594</v>
      </c>
      <c r="C904" s="1" t="n">
        <v>45577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5332-2022</t>
        </is>
      </c>
      <c r="B905" s="1" t="n">
        <v>44594</v>
      </c>
      <c r="C905" s="1" t="n">
        <v>45577</v>
      </c>
      <c r="D905" t="inlineStr">
        <is>
          <t>VÄSTERNORRLANDS LÄN</t>
        </is>
      </c>
      <c r="E905" t="inlineStr">
        <is>
          <t>SUNDSVALL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5650-2022</t>
        </is>
      </c>
      <c r="B906" s="1" t="n">
        <v>44595</v>
      </c>
      <c r="C906" s="1" t="n">
        <v>45577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5654-2022</t>
        </is>
      </c>
      <c r="B907" s="1" t="n">
        <v>44595</v>
      </c>
      <c r="C907" s="1" t="n">
        <v>45577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6239-2022</t>
        </is>
      </c>
      <c r="B908" s="1" t="n">
        <v>44599</v>
      </c>
      <c r="C908" s="1" t="n">
        <v>45577</v>
      </c>
      <c r="D908" t="inlineStr">
        <is>
          <t>VÄSTERNORRLANDS LÄN</t>
        </is>
      </c>
      <c r="E908" t="inlineStr">
        <is>
          <t>SUNDSVALL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6644-2022</t>
        </is>
      </c>
      <c r="B909" s="1" t="n">
        <v>44601</v>
      </c>
      <c r="C909" s="1" t="n">
        <v>45577</v>
      </c>
      <c r="D909" t="inlineStr">
        <is>
          <t>VÄSTERNORRLANDS LÄN</t>
        </is>
      </c>
      <c r="E909" t="inlineStr">
        <is>
          <t>SUNDSVALL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6808-2022</t>
        </is>
      </c>
      <c r="B910" s="1" t="n">
        <v>44602</v>
      </c>
      <c r="C910" s="1" t="n">
        <v>45577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7432-2022</t>
        </is>
      </c>
      <c r="B911" s="1" t="n">
        <v>44606</v>
      </c>
      <c r="C911" s="1" t="n">
        <v>45577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7436-2022</t>
        </is>
      </c>
      <c r="B912" s="1" t="n">
        <v>44606</v>
      </c>
      <c r="C912" s="1" t="n">
        <v>45577</v>
      </c>
      <c r="D912" t="inlineStr">
        <is>
          <t>VÄSTERNORRLANDS LÄN</t>
        </is>
      </c>
      <c r="E912" t="inlineStr">
        <is>
          <t>SUNDSVALL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7434-2022</t>
        </is>
      </c>
      <c r="B913" s="1" t="n">
        <v>44606</v>
      </c>
      <c r="C913" s="1" t="n">
        <v>45577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7437-2022</t>
        </is>
      </c>
      <c r="B914" s="1" t="n">
        <v>44606</v>
      </c>
      <c r="C914" s="1" t="n">
        <v>45577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7431-2022</t>
        </is>
      </c>
      <c r="B915" s="1" t="n">
        <v>44606</v>
      </c>
      <c r="C915" s="1" t="n">
        <v>45577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7943-2022</t>
        </is>
      </c>
      <c r="B916" s="1" t="n">
        <v>44608</v>
      </c>
      <c r="C916" s="1" t="n">
        <v>45577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7946-2022</t>
        </is>
      </c>
      <c r="B917" s="1" t="n">
        <v>44608</v>
      </c>
      <c r="C917" s="1" t="n">
        <v>45577</v>
      </c>
      <c r="D917" t="inlineStr">
        <is>
          <t>VÄSTERNORRLANDS LÄN</t>
        </is>
      </c>
      <c r="E917" t="inlineStr">
        <is>
          <t>SUNDSVALL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8224-2022</t>
        </is>
      </c>
      <c r="B918" s="1" t="n">
        <v>44609</v>
      </c>
      <c r="C918" s="1" t="n">
        <v>45577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8232-2022</t>
        </is>
      </c>
      <c r="B919" s="1" t="n">
        <v>44609</v>
      </c>
      <c r="C919" s="1" t="n">
        <v>45577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8233-2022</t>
        </is>
      </c>
      <c r="B920" s="1" t="n">
        <v>44609</v>
      </c>
      <c r="C920" s="1" t="n">
        <v>45577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9200-2022</t>
        </is>
      </c>
      <c r="B921" s="1" t="n">
        <v>44615</v>
      </c>
      <c r="C921" s="1" t="n">
        <v>45577</v>
      </c>
      <c r="D921" t="inlineStr">
        <is>
          <t>VÄSTERNORRLANDS LÄN</t>
        </is>
      </c>
      <c r="E921" t="inlineStr">
        <is>
          <t>SUNDSVALL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9201-2022</t>
        </is>
      </c>
      <c r="B922" s="1" t="n">
        <v>44615</v>
      </c>
      <c r="C922" s="1" t="n">
        <v>45577</v>
      </c>
      <c r="D922" t="inlineStr">
        <is>
          <t>VÄSTERNORRLANDS LÄN</t>
        </is>
      </c>
      <c r="E922" t="inlineStr">
        <is>
          <t>SUNDSVALL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9365-2022</t>
        </is>
      </c>
      <c r="B923" s="1" t="n">
        <v>44616</v>
      </c>
      <c r="C923" s="1" t="n">
        <v>45577</v>
      </c>
      <c r="D923" t="inlineStr">
        <is>
          <t>VÄSTERNORRLANDS LÄN</t>
        </is>
      </c>
      <c r="E923" t="inlineStr">
        <is>
          <t>SUNDSVALL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9400-2022</t>
        </is>
      </c>
      <c r="B924" s="1" t="n">
        <v>44616</v>
      </c>
      <c r="C924" s="1" t="n">
        <v>45577</v>
      </c>
      <c r="D924" t="inlineStr">
        <is>
          <t>VÄSTERNORRLANDS LÄN</t>
        </is>
      </c>
      <c r="E924" t="inlineStr">
        <is>
          <t>SUNDSVALL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9393-2022</t>
        </is>
      </c>
      <c r="B925" s="1" t="n">
        <v>44616</v>
      </c>
      <c r="C925" s="1" t="n">
        <v>45577</v>
      </c>
      <c r="D925" t="inlineStr">
        <is>
          <t>VÄSTERNORRLANDS LÄN</t>
        </is>
      </c>
      <c r="E925" t="inlineStr">
        <is>
          <t>SUNDSVALL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9385-2022</t>
        </is>
      </c>
      <c r="B926" s="1" t="n">
        <v>44616</v>
      </c>
      <c r="C926" s="1" t="n">
        <v>45577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10528-2022</t>
        </is>
      </c>
      <c r="B927" s="1" t="n">
        <v>44623</v>
      </c>
      <c r="C927" s="1" t="n">
        <v>45577</v>
      </c>
      <c r="D927" t="inlineStr">
        <is>
          <t>VÄSTERNORRLANDS LÄN</t>
        </is>
      </c>
      <c r="E927" t="inlineStr">
        <is>
          <t>SUNDSVALL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10890-2022</t>
        </is>
      </c>
      <c r="B928" s="1" t="n">
        <v>44627</v>
      </c>
      <c r="C928" s="1" t="n">
        <v>45577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10984-2022</t>
        </is>
      </c>
      <c r="B929" s="1" t="n">
        <v>44628</v>
      </c>
      <c r="C929" s="1" t="n">
        <v>45577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10994-2022</t>
        </is>
      </c>
      <c r="B930" s="1" t="n">
        <v>44628</v>
      </c>
      <c r="C930" s="1" t="n">
        <v>45577</v>
      </c>
      <c r="D930" t="inlineStr">
        <is>
          <t>VÄSTERNORRLANDS LÄN</t>
        </is>
      </c>
      <c r="E930" t="inlineStr">
        <is>
          <t>SUNDSVALL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10986-2022</t>
        </is>
      </c>
      <c r="B931" s="1" t="n">
        <v>44628</v>
      </c>
      <c r="C931" s="1" t="n">
        <v>45577</v>
      </c>
      <c r="D931" t="inlineStr">
        <is>
          <t>VÄSTERNORRLANDS LÄN</t>
        </is>
      </c>
      <c r="E931" t="inlineStr">
        <is>
          <t>SUNDSVALL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10988-2022</t>
        </is>
      </c>
      <c r="B932" s="1" t="n">
        <v>44628</v>
      </c>
      <c r="C932" s="1" t="n">
        <v>45577</v>
      </c>
      <c r="D932" t="inlineStr">
        <is>
          <t>VÄSTERNORRLANDS LÄN</t>
        </is>
      </c>
      <c r="E932" t="inlineStr">
        <is>
          <t>SUNDSVALL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10993-2022</t>
        </is>
      </c>
      <c r="B933" s="1" t="n">
        <v>44628</v>
      </c>
      <c r="C933" s="1" t="n">
        <v>45577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11352-2022</t>
        </is>
      </c>
      <c r="B934" s="1" t="n">
        <v>44630</v>
      </c>
      <c r="C934" s="1" t="n">
        <v>45577</v>
      </c>
      <c r="D934" t="inlineStr">
        <is>
          <t>VÄSTERNORRLANDS LÄN</t>
        </is>
      </c>
      <c r="E934" t="inlineStr">
        <is>
          <t>SUNDSVALL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11610-2022</t>
        </is>
      </c>
      <c r="B935" s="1" t="n">
        <v>44631</v>
      </c>
      <c r="C935" s="1" t="n">
        <v>45577</v>
      </c>
      <c r="D935" t="inlineStr">
        <is>
          <t>VÄSTERNORRLANDS LÄN</t>
        </is>
      </c>
      <c r="E935" t="inlineStr">
        <is>
          <t>SUNDSVALL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11813-2022</t>
        </is>
      </c>
      <c r="B936" s="1" t="n">
        <v>44634</v>
      </c>
      <c r="C936" s="1" t="n">
        <v>45577</v>
      </c>
      <c r="D936" t="inlineStr">
        <is>
          <t>VÄSTERNORRLANDS LÄN</t>
        </is>
      </c>
      <c r="E936" t="inlineStr">
        <is>
          <t>SUNDSVALL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11862-2022</t>
        </is>
      </c>
      <c r="B937" s="1" t="n">
        <v>44635</v>
      </c>
      <c r="C937" s="1" t="n">
        <v>45577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11865-2022</t>
        </is>
      </c>
      <c r="B938" s="1" t="n">
        <v>44635</v>
      </c>
      <c r="C938" s="1" t="n">
        <v>45577</v>
      </c>
      <c r="D938" t="inlineStr">
        <is>
          <t>VÄSTERNORRLANDS LÄN</t>
        </is>
      </c>
      <c r="E938" t="inlineStr">
        <is>
          <t>SUNDSVALL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12015-2022</t>
        </is>
      </c>
      <c r="B939" s="1" t="n">
        <v>44635</v>
      </c>
      <c r="C939" s="1" t="n">
        <v>45577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12177-2022</t>
        </is>
      </c>
      <c r="B940" s="1" t="n">
        <v>44636</v>
      </c>
      <c r="C940" s="1" t="n">
        <v>45577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12208-2022</t>
        </is>
      </c>
      <c r="B941" s="1" t="n">
        <v>44636</v>
      </c>
      <c r="C941" s="1" t="n">
        <v>45577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12496-2022</t>
        </is>
      </c>
      <c r="B942" s="1" t="n">
        <v>44638</v>
      </c>
      <c r="C942" s="1" t="n">
        <v>45577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12494-2022</t>
        </is>
      </c>
      <c r="B943" s="1" t="n">
        <v>44638</v>
      </c>
      <c r="C943" s="1" t="n">
        <v>45577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12751-2022</t>
        </is>
      </c>
      <c r="B944" s="1" t="n">
        <v>44641</v>
      </c>
      <c r="C944" s="1" t="n">
        <v>45577</v>
      </c>
      <c r="D944" t="inlineStr">
        <is>
          <t>VÄSTERNORRLANDS LÄN</t>
        </is>
      </c>
      <c r="E944" t="inlineStr">
        <is>
          <t>SUNDSVALL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13291-2022</t>
        </is>
      </c>
      <c r="B945" s="1" t="n">
        <v>44644</v>
      </c>
      <c r="C945" s="1" t="n">
        <v>45577</v>
      </c>
      <c r="D945" t="inlineStr">
        <is>
          <t>VÄSTERNORRLANDS LÄN</t>
        </is>
      </c>
      <c r="E945" t="inlineStr">
        <is>
          <t>SUNDSVALL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13260-2022</t>
        </is>
      </c>
      <c r="B946" s="1" t="n">
        <v>44644</v>
      </c>
      <c r="C946" s="1" t="n">
        <v>45577</v>
      </c>
      <c r="D946" t="inlineStr">
        <is>
          <t>VÄSTERNORRLANDS LÄN</t>
        </is>
      </c>
      <c r="E946" t="inlineStr">
        <is>
          <t>SUNDSVALL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13293-2022</t>
        </is>
      </c>
      <c r="B947" s="1" t="n">
        <v>44644</v>
      </c>
      <c r="C947" s="1" t="n">
        <v>45577</v>
      </c>
      <c r="D947" t="inlineStr">
        <is>
          <t>VÄSTERNORRLANDS LÄN</t>
        </is>
      </c>
      <c r="E947" t="inlineStr">
        <is>
          <t>SUNDSVALL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13461-2022</t>
        </is>
      </c>
      <c r="B948" s="1" t="n">
        <v>44645</v>
      </c>
      <c r="C948" s="1" t="n">
        <v>45577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14014-2022</t>
        </is>
      </c>
      <c r="B949" s="1" t="n">
        <v>44650</v>
      </c>
      <c r="C949" s="1" t="n">
        <v>45577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14040-2022</t>
        </is>
      </c>
      <c r="B950" s="1" t="n">
        <v>44651</v>
      </c>
      <c r="C950" s="1" t="n">
        <v>45577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14233-2022</t>
        </is>
      </c>
      <c r="B951" s="1" t="n">
        <v>44651</v>
      </c>
      <c r="C951" s="1" t="n">
        <v>45577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14462-2022</t>
        </is>
      </c>
      <c r="B952" s="1" t="n">
        <v>44654</v>
      </c>
      <c r="C952" s="1" t="n">
        <v>45577</v>
      </c>
      <c r="D952" t="inlineStr">
        <is>
          <t>VÄSTERNORRLANDS LÄN</t>
        </is>
      </c>
      <c r="E952" t="inlineStr">
        <is>
          <t>SUNDSVALL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14468-2022</t>
        </is>
      </c>
      <c r="B953" s="1" t="n">
        <v>44654</v>
      </c>
      <c r="C953" s="1" t="n">
        <v>45577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14464-2022</t>
        </is>
      </c>
      <c r="B954" s="1" t="n">
        <v>44654</v>
      </c>
      <c r="C954" s="1" t="n">
        <v>45577</v>
      </c>
      <c r="D954" t="inlineStr">
        <is>
          <t>VÄSTERNORRLANDS LÄN</t>
        </is>
      </c>
      <c r="E954" t="inlineStr">
        <is>
          <t>SUNDSVALL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14466-2022</t>
        </is>
      </c>
      <c r="B955" s="1" t="n">
        <v>44654</v>
      </c>
      <c r="C955" s="1" t="n">
        <v>45577</v>
      </c>
      <c r="D955" t="inlineStr">
        <is>
          <t>VÄSTERNORRLANDS LÄN</t>
        </is>
      </c>
      <c r="E955" t="inlineStr">
        <is>
          <t>SUNDSVALL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15089-2022</t>
        </is>
      </c>
      <c r="B956" s="1" t="n">
        <v>44657</v>
      </c>
      <c r="C956" s="1" t="n">
        <v>45577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15598-2022</t>
        </is>
      </c>
      <c r="B957" s="1" t="n">
        <v>44662</v>
      </c>
      <c r="C957" s="1" t="n">
        <v>45577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15599-2022</t>
        </is>
      </c>
      <c r="B958" s="1" t="n">
        <v>44662</v>
      </c>
      <c r="C958" s="1" t="n">
        <v>45577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15698-2022</t>
        </is>
      </c>
      <c r="B959" s="1" t="n">
        <v>44663</v>
      </c>
      <c r="C959" s="1" t="n">
        <v>45577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15724-2022</t>
        </is>
      </c>
      <c r="B960" s="1" t="n">
        <v>44663</v>
      </c>
      <c r="C960" s="1" t="n">
        <v>45577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44664</v>
      </c>
      <c r="C961" s="1" t="n">
        <v>45577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15726-2022</t>
        </is>
      </c>
      <c r="B962" s="1" t="n">
        <v>44663</v>
      </c>
      <c r="C962" s="1" t="n">
        <v>45577</v>
      </c>
      <c r="D962" t="inlineStr">
        <is>
          <t>VÄSTERNORRLANDS LÄN</t>
        </is>
      </c>
      <c r="E962" t="inlineStr">
        <is>
          <t>SUNDSVALL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15733-2022</t>
        </is>
      </c>
      <c r="B963" s="1" t="n">
        <v>44663</v>
      </c>
      <c r="C963" s="1" t="n">
        <v>45577</v>
      </c>
      <c r="D963" t="inlineStr">
        <is>
          <t>VÄSTERNORRLANDS LÄN</t>
        </is>
      </c>
      <c r="E963" t="inlineStr">
        <is>
          <t>SUNDSVALL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15687-2022</t>
        </is>
      </c>
      <c r="B964" s="1" t="n">
        <v>44663</v>
      </c>
      <c r="C964" s="1" t="n">
        <v>45577</v>
      </c>
      <c r="D964" t="inlineStr">
        <is>
          <t>VÄSTERNORRLANDS LÄN</t>
        </is>
      </c>
      <c r="E964" t="inlineStr">
        <is>
          <t>SUNDSVALL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15712-2022</t>
        </is>
      </c>
      <c r="B965" s="1" t="n">
        <v>44663</v>
      </c>
      <c r="C965" s="1" t="n">
        <v>45577</v>
      </c>
      <c r="D965" t="inlineStr">
        <is>
          <t>VÄSTERNORRLANDS LÄN</t>
        </is>
      </c>
      <c r="E965" t="inlineStr">
        <is>
          <t>SUNDSVALL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16147-2022</t>
        </is>
      </c>
      <c r="B966" s="1" t="n">
        <v>44665</v>
      </c>
      <c r="C966" s="1" t="n">
        <v>45577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17039-2022</t>
        </is>
      </c>
      <c r="B967" s="1" t="n">
        <v>44677</v>
      </c>
      <c r="C967" s="1" t="n">
        <v>45577</v>
      </c>
      <c r="D967" t="inlineStr">
        <is>
          <t>VÄSTERNORRLANDS LÄN</t>
        </is>
      </c>
      <c r="E967" t="inlineStr">
        <is>
          <t>SUNDSVALL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17059-2022</t>
        </is>
      </c>
      <c r="B968" s="1" t="n">
        <v>44676</v>
      </c>
      <c r="C968" s="1" t="n">
        <v>45577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17060-2022</t>
        </is>
      </c>
      <c r="B969" s="1" t="n">
        <v>44677</v>
      </c>
      <c r="C969" s="1" t="n">
        <v>45577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17211-2022</t>
        </is>
      </c>
      <c r="B970" s="1" t="n">
        <v>44677</v>
      </c>
      <c r="C970" s="1" t="n">
        <v>45577</v>
      </c>
      <c r="D970" t="inlineStr">
        <is>
          <t>VÄSTERNORRLANDS LÄN</t>
        </is>
      </c>
      <c r="E970" t="inlineStr">
        <is>
          <t>SUNDSVALL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17579-2022</t>
        </is>
      </c>
      <c r="B971" s="1" t="n">
        <v>44679</v>
      </c>
      <c r="C971" s="1" t="n">
        <v>45577</v>
      </c>
      <c r="D971" t="inlineStr">
        <is>
          <t>VÄSTERNORRLANDS LÄN</t>
        </is>
      </c>
      <c r="E971" t="inlineStr">
        <is>
          <t>SUNDSVALL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17586-2022</t>
        </is>
      </c>
      <c r="B972" s="1" t="n">
        <v>44680</v>
      </c>
      <c r="C972" s="1" t="n">
        <v>45577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17585-2022</t>
        </is>
      </c>
      <c r="B973" s="1" t="n">
        <v>44679</v>
      </c>
      <c r="C973" s="1" t="n">
        <v>45577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17993-2022</t>
        </is>
      </c>
      <c r="B974" s="1" t="n">
        <v>44683</v>
      </c>
      <c r="C974" s="1" t="n">
        <v>45577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18207-2022</t>
        </is>
      </c>
      <c r="B975" s="1" t="n">
        <v>44684</v>
      </c>
      <c r="C975" s="1" t="n">
        <v>45577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18452-2022</t>
        </is>
      </c>
      <c r="B976" s="1" t="n">
        <v>44686</v>
      </c>
      <c r="C976" s="1" t="n">
        <v>45577</v>
      </c>
      <c r="D976" t="inlineStr">
        <is>
          <t>VÄSTERNORRLANDS LÄN</t>
        </is>
      </c>
      <c r="E976" t="inlineStr">
        <is>
          <t>SUNDSVALL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18455-2022</t>
        </is>
      </c>
      <c r="B977" s="1" t="n">
        <v>44686</v>
      </c>
      <c r="C977" s="1" t="n">
        <v>45577</v>
      </c>
      <c r="D977" t="inlineStr">
        <is>
          <t>VÄSTERNORRLANDS LÄN</t>
        </is>
      </c>
      <c r="E977" t="inlineStr">
        <is>
          <t>SUNDSVALL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45577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18986-2022</t>
        </is>
      </c>
      <c r="B979" s="1" t="n">
        <v>44691</v>
      </c>
      <c r="C979" s="1" t="n">
        <v>45577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18987-2022</t>
        </is>
      </c>
      <c r="B980" s="1" t="n">
        <v>44691</v>
      </c>
      <c r="C980" s="1" t="n">
        <v>45577</v>
      </c>
      <c r="D980" t="inlineStr">
        <is>
          <t>VÄSTERNORRLANDS LÄN</t>
        </is>
      </c>
      <c r="E980" t="inlineStr">
        <is>
          <t>SUNDSVALL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19178-2022</t>
        </is>
      </c>
      <c r="B981" s="1" t="n">
        <v>44691</v>
      </c>
      <c r="C981" s="1" t="n">
        <v>45577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19176-2022</t>
        </is>
      </c>
      <c r="B982" s="1" t="n">
        <v>44691</v>
      </c>
      <c r="C982" s="1" t="n">
        <v>45577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19388-2022</t>
        </is>
      </c>
      <c r="B983" s="1" t="n">
        <v>44693</v>
      </c>
      <c r="C983" s="1" t="n">
        <v>45577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19385-2022</t>
        </is>
      </c>
      <c r="B984" s="1" t="n">
        <v>44693</v>
      </c>
      <c r="C984" s="1" t="n">
        <v>45577</v>
      </c>
      <c r="D984" t="inlineStr">
        <is>
          <t>VÄSTERNORRLANDS LÄN</t>
        </is>
      </c>
      <c r="E984" t="inlineStr">
        <is>
          <t>SUNDSVALL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19468-2022</t>
        </is>
      </c>
      <c r="B985" s="1" t="n">
        <v>44693</v>
      </c>
      <c r="C985" s="1" t="n">
        <v>45577</v>
      </c>
      <c r="D985" t="inlineStr">
        <is>
          <t>VÄSTERNORRLANDS LÄN</t>
        </is>
      </c>
      <c r="E985" t="inlineStr">
        <is>
          <t>SUNDSVALL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20086-2022</t>
        </is>
      </c>
      <c r="B986" s="1" t="n">
        <v>44697</v>
      </c>
      <c r="C986" s="1" t="n">
        <v>45577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20509-2022</t>
        </is>
      </c>
      <c r="B987" s="1" t="n">
        <v>44700</v>
      </c>
      <c r="C987" s="1" t="n">
        <v>45577</v>
      </c>
      <c r="D987" t="inlineStr">
        <is>
          <t>VÄSTERNORRLANDS LÄN</t>
        </is>
      </c>
      <c r="E987" t="inlineStr">
        <is>
          <t>SUNDSVALL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20516-2022</t>
        </is>
      </c>
      <c r="B988" s="1" t="n">
        <v>44700</v>
      </c>
      <c r="C988" s="1" t="n">
        <v>45577</v>
      </c>
      <c r="D988" t="inlineStr">
        <is>
          <t>VÄSTERNORRLANDS LÄN</t>
        </is>
      </c>
      <c r="E988" t="inlineStr">
        <is>
          <t>SUNDSVALL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20522-2022</t>
        </is>
      </c>
      <c r="B989" s="1" t="n">
        <v>44699</v>
      </c>
      <c r="C989" s="1" t="n">
        <v>45577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20510-2022</t>
        </is>
      </c>
      <c r="B990" s="1" t="n">
        <v>44700</v>
      </c>
      <c r="C990" s="1" t="n">
        <v>45577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20517-2022</t>
        </is>
      </c>
      <c r="B991" s="1" t="n">
        <v>44700</v>
      </c>
      <c r="C991" s="1" t="n">
        <v>45577</v>
      </c>
      <c r="D991" t="inlineStr">
        <is>
          <t>VÄSTERNORRLANDS LÄN</t>
        </is>
      </c>
      <c r="E991" t="inlineStr">
        <is>
          <t>SUNDSVALL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20655-2022</t>
        </is>
      </c>
      <c r="B992" s="1" t="n">
        <v>44700</v>
      </c>
      <c r="C992" s="1" t="n">
        <v>45577</v>
      </c>
      <c r="D992" t="inlineStr">
        <is>
          <t>VÄSTERNORRLANDS LÄN</t>
        </is>
      </c>
      <c r="E992" t="inlineStr">
        <is>
          <t>SUNDSVALL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20715-2022</t>
        </is>
      </c>
      <c r="B993" s="1" t="n">
        <v>44701</v>
      </c>
      <c r="C993" s="1" t="n">
        <v>45577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20714-2022</t>
        </is>
      </c>
      <c r="B994" s="1" t="n">
        <v>44700</v>
      </c>
      <c r="C994" s="1" t="n">
        <v>45577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20732-2022</t>
        </is>
      </c>
      <c r="B995" s="1" t="n">
        <v>44701</v>
      </c>
      <c r="C995" s="1" t="n">
        <v>45577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20734-2022</t>
        </is>
      </c>
      <c r="B996" s="1" t="n">
        <v>44701</v>
      </c>
      <c r="C996" s="1" t="n">
        <v>45577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20731-2022</t>
        </is>
      </c>
      <c r="B997" s="1" t="n">
        <v>44700</v>
      </c>
      <c r="C997" s="1" t="n">
        <v>45577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20733-2022</t>
        </is>
      </c>
      <c r="B998" s="1" t="n">
        <v>44700</v>
      </c>
      <c r="C998" s="1" t="n">
        <v>45577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20975-2022</t>
        </is>
      </c>
      <c r="B999" s="1" t="n">
        <v>44702</v>
      </c>
      <c r="C999" s="1" t="n">
        <v>45577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20947-2022</t>
        </is>
      </c>
      <c r="B1000" s="1" t="n">
        <v>44702</v>
      </c>
      <c r="C1000" s="1" t="n">
        <v>45577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21182-2022</t>
        </is>
      </c>
      <c r="B1001" s="1" t="n">
        <v>44704</v>
      </c>
      <c r="C1001" s="1" t="n">
        <v>45577</v>
      </c>
      <c r="D1001" t="inlineStr">
        <is>
          <t>VÄSTERNORRLANDS LÄN</t>
        </is>
      </c>
      <c r="E1001" t="inlineStr">
        <is>
          <t>SUNDSVALL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21183-2022</t>
        </is>
      </c>
      <c r="B1002" s="1" t="n">
        <v>44704</v>
      </c>
      <c r="C1002" s="1" t="n">
        <v>45577</v>
      </c>
      <c r="D1002" t="inlineStr">
        <is>
          <t>VÄSTERNORRLANDS LÄN</t>
        </is>
      </c>
      <c r="E1002" t="inlineStr">
        <is>
          <t>SUNDSVALL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21396-2022</t>
        </is>
      </c>
      <c r="B1003" s="1" t="n">
        <v>44705</v>
      </c>
      <c r="C1003" s="1" t="n">
        <v>45577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21389-2022</t>
        </is>
      </c>
      <c r="B1004" s="1" t="n">
        <v>44705</v>
      </c>
      <c r="C1004" s="1" t="n">
        <v>45577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45577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45577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45577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45577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45577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45577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45577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45577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45577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45577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45577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45577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45577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45577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45577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45577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45577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45577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45577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45577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45577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45577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45577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45577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45577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45577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45577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45577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45577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45577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45577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45577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45577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45577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45577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45577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45577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45577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45577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45577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45577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45577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45577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45577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45577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45577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45577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45577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45577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45577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45577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45577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45577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45577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45577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45577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45577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45577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45577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45577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45577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45577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45577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45577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45577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45577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45577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45577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45577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45577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45577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45577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45577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45577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45577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45577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45577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45577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45577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45577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45577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45577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45577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45577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45577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45577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45577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45577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45577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45577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45577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45577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45577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45577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45577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45577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45577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45577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45577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45577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45577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45577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45577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45577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45577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45577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45577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45577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45577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45577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45577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45577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45577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45577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45577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45577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45577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45577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45577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45577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45577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45577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45577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45577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45577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45577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45577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45577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45577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45577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45577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45577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45577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45577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45577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45577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45577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45577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45577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45577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45577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45577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45577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45577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45577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45577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45577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45577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45577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45577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45577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45577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45577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45577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45577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45577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45577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45577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45577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45577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45577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45577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45577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45577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45577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45577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45577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45577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45577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45577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45577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45577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45577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45577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45577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45577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45577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45577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45577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45577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45577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45577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45577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45577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45577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45577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45577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45577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45577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45577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45577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45577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45577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45577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45577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45577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45577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45577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45577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45577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45577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45577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45577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45577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45577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45577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45577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45577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45577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45577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45577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45577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45577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45577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45577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45577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45577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45577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45577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45577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45577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45577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45577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45577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45577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45577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45577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45577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45577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45577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45577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45577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45577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45577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45577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45577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45577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45577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45577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45577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45577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45577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45577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45577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45577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45577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45577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45577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45577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45577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45577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45577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45577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45577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45577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45577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45577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45577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45577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45577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45577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45577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45577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45577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45577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45577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45577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45577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45577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45577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45577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45577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45577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45577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45577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45577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45577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45577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45577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45577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45577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45577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45577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45577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45577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45577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45577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45577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45577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45577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45577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45577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45577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45577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45577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45577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45577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45577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45577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45577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45577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45577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45577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45577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45577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45577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45577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45577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45577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45577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45577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45577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45577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45577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45577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45577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45577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45577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45577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45577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45577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45577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45577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45577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45577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45577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45577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45577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45577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45577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45577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45577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45577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45577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45577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45577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45577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45577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45577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45577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45577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45577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45577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45577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45577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45577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45577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45577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45577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45577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45577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45577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45577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45577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45577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45577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45577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45577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45577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45577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45577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45577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45577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45577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45577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45577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45577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45577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45577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45577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45577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45577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45577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45577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45577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45577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45577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45577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45577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45577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45577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45577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45577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45577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45577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45577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45577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45577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45577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45577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45577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45577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45577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45577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45577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45577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45577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45577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45577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45577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45577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45577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45577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45577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45577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45577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45577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45577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45577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45577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45577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45577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45577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45577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45577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45577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45577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45577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45577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45577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45577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45577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45577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45577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45577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45577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45577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45577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45577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45577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45577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45577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45577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45577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45577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45577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45577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45577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45577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45577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45577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45577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45577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45577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45577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45577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45577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45577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45577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45577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45577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45577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45577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45577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45577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45577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45577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45577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45577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45577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45577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45577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45577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45577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45577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45577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45577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45577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45577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45577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45577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45577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45577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45577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45577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45577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45577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45577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45577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45577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45577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45577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45577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45577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45577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45577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45577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45577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45577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45577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45577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45577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45577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45577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45577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45577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45577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45577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45577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45577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45577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45577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45577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45577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45577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45577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45577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45577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45577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45577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45577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45577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45577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45577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45577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45577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45577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45577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45577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45577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45577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45577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45577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45577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45577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45577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45577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45577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45577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45577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45577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45577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45577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45577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45577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45577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45577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45577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45577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45577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45577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45577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45577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45577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45577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45577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45577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45577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45577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45577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45577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45577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45577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45577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45577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45577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45577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45577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45577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45577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45577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45577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45577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45577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45577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45577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45577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45577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45577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45577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45577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45577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45577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45577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45577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45577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45577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45577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45577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45577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45577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45577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45577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45577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45577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45577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45577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45577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45577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45577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45577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45577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45577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45577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45577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45577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45577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45577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45577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45577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45577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45577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45577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45577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45577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45577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45577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45577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45577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45577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45577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45577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45577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45577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45577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45577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45577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45577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45577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45577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45577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45577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45577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45577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45577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45577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45577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45577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45577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45577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45577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45577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45577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45577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45577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45577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45577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45577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45577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45577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45577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45577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45577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45577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45577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45577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45577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45577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45577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45577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45577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45577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45577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45577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45577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45577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45577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45577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45577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45577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45577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45577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45577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45577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45577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45577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45577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45577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45577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45577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45577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45577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45577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45577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45577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45577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45577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45577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45577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45577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45577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45577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45577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45577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45577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45577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45577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45577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45577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45577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45577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45577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45577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45577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45577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45577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45577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45577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45577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45577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45577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45577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45577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45577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45577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45577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45577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45577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45577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45577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45577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45577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45577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45577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45577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45577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45577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45577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45577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45577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45577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45577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45577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45577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45577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45577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45577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45577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45577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45577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45577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45577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45577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45577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45577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45577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45577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45577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45577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45577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45577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45577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45577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45577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45577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45577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45577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45577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45577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45577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45577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45577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45577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45577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45577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45577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45577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45577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45577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45577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45577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45577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45577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45577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45577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45577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45577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45577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45577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45577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45577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45577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45577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45577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45577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45577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45577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45577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45577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45577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45577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45577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45577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45577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45577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45577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45577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45577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45577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45577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45577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45577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45577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45577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45577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45577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45577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45577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45577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45577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45577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45577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45577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45577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45577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45577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45577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45577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45577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45577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45577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45577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45577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45577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45577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45577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45577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45577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45577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45577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45577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45577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45577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45577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45577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45577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45577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45577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45577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45577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45577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45577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45577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45577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45577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45577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45577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45577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45577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45577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45577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45577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45577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45577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45577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45577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45577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45577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45577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45577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45577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45577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45577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45577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45577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45577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45577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45577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45577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45577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45577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45577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45577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45577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45577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45577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45577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45577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45577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45577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45577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45577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45577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45577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45577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45577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45577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45577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45577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45577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45577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45577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45577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45577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45577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45577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45577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45577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45577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45577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45577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45577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45577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45577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45577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45577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45577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45577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45577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45577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45577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45577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45577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45577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45577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45577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45577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45577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45577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45577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45577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45577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45577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45577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45577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45577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45577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45577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45577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45577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45577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45577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45577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45577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45577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45577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45577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45577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45577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45577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45577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45577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45577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45577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45577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45577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45577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45577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45577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45577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45577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45577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45577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45577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45577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45577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45577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45577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45577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45577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45577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45577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45577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45577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45577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45577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45577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45577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45577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45577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45577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45577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45577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45577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45577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45577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45577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45577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45577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45577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45577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45577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45577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45577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45577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45577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45577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45577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45577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45577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45577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45577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45577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45577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45577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45577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45577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45577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45577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45577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45577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45577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45577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45577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45577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45577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45577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45577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45577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45577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45577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45577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45577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45577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45577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45577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45577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45577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45577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45577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45577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45577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45577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45577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45577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45577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45577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45577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45577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45577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45577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45577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45577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45577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45577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45577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45577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45577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45577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45577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45577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45577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45577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45577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45577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45577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45577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45577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45577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45577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45577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45577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45577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45577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45577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45577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45577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45577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45577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45577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45577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45577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45577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45577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45577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45577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45577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45577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45577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45577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45577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45577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45577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45577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45577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45577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45577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45577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45577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45577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45577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45577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45577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45577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45577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45577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45577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45577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45577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45577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45577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45577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45577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45577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45577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45577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45577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45577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45577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45577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45577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45577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45577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45577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45577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45577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45577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45577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45577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45577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45577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45577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45577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45577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45577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45577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45577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45577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45577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45577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45577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45577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45577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45577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45577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45577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45577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45577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45577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45577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45577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45577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45577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45577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45577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45577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45577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45577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45577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45577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45577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45577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45577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45577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45577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45577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45577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45577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45577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45577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45577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45577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45577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45577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45577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45577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45577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45577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45577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45577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45577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45577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45577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45577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45577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45577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45577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45577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45577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45577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45577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45577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45577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45577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45577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45577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45577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45577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45577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45577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45577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45577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45577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45577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45577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45577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45577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45577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45577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45577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45577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45577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45577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45577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45577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45577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45577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45577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45577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45577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45577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45577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45577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45577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45577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45577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45577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45577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45577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45577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45577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45577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45577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45577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45577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45577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45577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45577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45577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45577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45577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45577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45577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45577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45577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45577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45577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45577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45577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45577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45577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45577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45577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45577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45577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45577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45577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45577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45577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45577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45577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45577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45577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45577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45577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45577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45577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45577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45577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45577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45577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45577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45577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45577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45577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45577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45577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45577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45577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45577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45577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45577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45577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45577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45577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45577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45577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45577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45577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45577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45577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45577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45577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45577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45577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45577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45577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45577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45577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45577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45577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45577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45577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45577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45577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45577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45577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45577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45577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45577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45577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45577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45577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45577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45577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45577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45577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45577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45577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45577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45577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45577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45577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45577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45577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45577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45577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45577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45577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45577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45577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45577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45577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45577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45577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45577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45577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45577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45577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45577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45577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45577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45577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45577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45577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45577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45577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45577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45577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45577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45577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45577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45577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45577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45577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45577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45577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45577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45577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45577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45577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45577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45577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45577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45577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45577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45577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45577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45577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45577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45577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45577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45577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45577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45577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45577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45577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45577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45577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45577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45577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45577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45577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45577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45577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45577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45577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45577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45577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45577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45577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45577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45577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45577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45577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45577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45577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45577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45577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45577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45577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45577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45577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45577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45577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45577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45577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45577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45577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45577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45577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45577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45577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45577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45577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45577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45577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45577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45577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45577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45577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45577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45577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45577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45577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45577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45577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45577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45577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45577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45577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45577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45577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45577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45577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45577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45577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45577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45577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45577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45577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45577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45577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45577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45577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45577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45577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45577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45577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45577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45577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45577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45577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45577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45577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45577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45577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45577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45577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45577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45577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45577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45577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45577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45577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45577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45577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45577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45577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45577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45577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45577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45577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45577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45577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45577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45577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45577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45577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45577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45577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45577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45577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45577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45577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45577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45577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45577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45577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45577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45577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45577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45577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45577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45577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45577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45577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45577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45577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45577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45577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45577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45577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45577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45577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45577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45577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45577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45577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45577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45577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45577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45577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45577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45577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45577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45577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45577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45577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45577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45577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45577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45577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45577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45577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45577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45577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45577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45577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45577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45577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45577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45577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45577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45577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45577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45577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45577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45577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45577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45577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45577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45577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45577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45577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45577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45577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45577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45577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45577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45577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45577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45577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45577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45577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45577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45577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45577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45577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45577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45577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45577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45577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45577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45577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45577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45577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45577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45577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45577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45577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45577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45577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45577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45577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45577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45577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45577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45577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45577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45577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45577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45577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45577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45577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45577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45577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45577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45577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45577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45577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45577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45577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45577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45577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45577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45577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45577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45577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45577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45577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45577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45577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45577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45577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45577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45577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45577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45577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45577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45577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45577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45577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45577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45577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45577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45577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45577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45577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45577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45577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45577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45577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45577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45577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45577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45577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45577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45577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45577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45577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45577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45577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45577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45577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45577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45577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45577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45577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45577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45577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45577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45577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45577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45577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45577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45577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45577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45577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45577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45577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45577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45577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45577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45577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45577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45577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45577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45577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45577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45577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45577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45577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45577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45577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45577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45577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45577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45577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45577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45577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45577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45577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45577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45577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45577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45577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45577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45577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45577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45577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45577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45577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45577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45577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45577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45577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45577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45577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45577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45577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45577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45577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45577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38942-2024</t>
        </is>
      </c>
      <c r="B2669" s="1" t="n">
        <v>45548</v>
      </c>
      <c r="C2669" s="1" t="n">
        <v>45577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SCA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38939-2024</t>
        </is>
      </c>
      <c r="B2670" s="1" t="n">
        <v>45548</v>
      </c>
      <c r="C2670" s="1" t="n">
        <v>45577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39013-2024</t>
        </is>
      </c>
      <c r="B2671" s="1" t="n">
        <v>45548</v>
      </c>
      <c r="C2671" s="1" t="n">
        <v>45577</v>
      </c>
      <c r="D2671" t="inlineStr">
        <is>
          <t>VÄSTERNORRLANDS LÄN</t>
        </is>
      </c>
      <c r="E2671" t="inlineStr">
        <is>
          <t>SUNDSVALL</t>
        </is>
      </c>
      <c r="G2671" t="n">
        <v>12.8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39037-2024</t>
        </is>
      </c>
      <c r="B2672" s="1" t="n">
        <v>45548</v>
      </c>
      <c r="C2672" s="1" t="n">
        <v>45577</v>
      </c>
      <c r="D2672" t="inlineStr">
        <is>
          <t>VÄSTERNORRLANDS LÄN</t>
        </is>
      </c>
      <c r="E2672" t="inlineStr">
        <is>
          <t>SUNDSVALL</t>
        </is>
      </c>
      <c r="F2672" t="inlineStr">
        <is>
          <t>SCA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39162-2024</t>
        </is>
      </c>
      <c r="B2673" s="1" t="n">
        <v>45548</v>
      </c>
      <c r="C2673" s="1" t="n">
        <v>45577</v>
      </c>
      <c r="D2673" t="inlineStr">
        <is>
          <t>VÄSTERNORRLANDS LÄN</t>
        </is>
      </c>
      <c r="E2673" t="inlineStr">
        <is>
          <t>SUNDSVALL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39004-2024</t>
        </is>
      </c>
      <c r="B2674" s="1" t="n">
        <v>45548</v>
      </c>
      <c r="C2674" s="1" t="n">
        <v>45577</v>
      </c>
      <c r="D2674" t="inlineStr">
        <is>
          <t>VÄSTERNORRLANDS LÄN</t>
        </is>
      </c>
      <c r="E2674" t="inlineStr">
        <is>
          <t>SUNDSVALL</t>
        </is>
      </c>
      <c r="G2674" t="n">
        <v>6.9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39347-2024</t>
        </is>
      </c>
      <c r="B2675" s="1" t="n">
        <v>45551</v>
      </c>
      <c r="C2675" s="1" t="n">
        <v>45577</v>
      </c>
      <c r="D2675" t="inlineStr">
        <is>
          <t>VÄSTERNORRLANDS LÄN</t>
        </is>
      </c>
      <c r="E2675" t="inlineStr">
        <is>
          <t>SUNDSVALL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39370-2024</t>
        </is>
      </c>
      <c r="B2676" s="1" t="n">
        <v>45551</v>
      </c>
      <c r="C2676" s="1" t="n">
        <v>45577</v>
      </c>
      <c r="D2676" t="inlineStr">
        <is>
          <t>VÄSTERNORRLANDS LÄN</t>
        </is>
      </c>
      <c r="E2676" t="inlineStr">
        <is>
          <t>SUNDSVALL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39559-2024</t>
        </is>
      </c>
      <c r="B2677" s="1" t="n">
        <v>45552</v>
      </c>
      <c r="C2677" s="1" t="n">
        <v>45577</v>
      </c>
      <c r="D2677" t="inlineStr">
        <is>
          <t>VÄSTERNORRLANDS LÄN</t>
        </is>
      </c>
      <c r="E2677" t="inlineStr">
        <is>
          <t>SUNDSVALL</t>
        </is>
      </c>
      <c r="F2677" t="inlineStr">
        <is>
          <t>Naturvårdsverket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39713-2024</t>
        </is>
      </c>
      <c r="B2678" s="1" t="n">
        <v>45552</v>
      </c>
      <c r="C2678" s="1" t="n">
        <v>45577</v>
      </c>
      <c r="D2678" t="inlineStr">
        <is>
          <t>VÄSTERNORRLANDS LÄN</t>
        </is>
      </c>
      <c r="E2678" t="inlineStr">
        <is>
          <t>SUNDSVALL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39710-2024</t>
        </is>
      </c>
      <c r="B2679" s="1" t="n">
        <v>45552</v>
      </c>
      <c r="C2679" s="1" t="n">
        <v>45577</v>
      </c>
      <c r="D2679" t="inlineStr">
        <is>
          <t>VÄSTERNORRLANDS LÄN</t>
        </is>
      </c>
      <c r="E2679" t="inlineStr">
        <is>
          <t>SUNDSVALL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39730-2024</t>
        </is>
      </c>
      <c r="B2680" s="1" t="n">
        <v>45552</v>
      </c>
      <c r="C2680" s="1" t="n">
        <v>45577</v>
      </c>
      <c r="D2680" t="inlineStr">
        <is>
          <t>VÄSTERNORRLANDS LÄN</t>
        </is>
      </c>
      <c r="E2680" t="inlineStr">
        <is>
          <t>SUNDSVALL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39754-2024</t>
        </is>
      </c>
      <c r="B2681" s="1" t="n">
        <v>45552</v>
      </c>
      <c r="C2681" s="1" t="n">
        <v>45577</v>
      </c>
      <c r="D2681" t="inlineStr">
        <is>
          <t>VÄSTERNORRLANDS LÄN</t>
        </is>
      </c>
      <c r="E2681" t="inlineStr">
        <is>
          <t>SUNDSVALL</t>
        </is>
      </c>
      <c r="F2681" t="inlineStr">
        <is>
          <t>SCA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39711-2024</t>
        </is>
      </c>
      <c r="B2682" s="1" t="n">
        <v>45552</v>
      </c>
      <c r="C2682" s="1" t="n">
        <v>45577</v>
      </c>
      <c r="D2682" t="inlineStr">
        <is>
          <t>VÄSTERNORRLANDS LÄN</t>
        </is>
      </c>
      <c r="E2682" t="inlineStr">
        <is>
          <t>SUNDSVALL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45577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39899-2024</t>
        </is>
      </c>
      <c r="B2684" s="1" t="n">
        <v>45553</v>
      </c>
      <c r="C2684" s="1" t="n">
        <v>45577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39922-2024</t>
        </is>
      </c>
      <c r="B2685" s="1" t="n">
        <v>45553</v>
      </c>
      <c r="C2685" s="1" t="n">
        <v>45577</v>
      </c>
      <c r="D2685" t="inlineStr">
        <is>
          <t>VÄSTERNORRLANDS LÄN</t>
        </is>
      </c>
      <c r="E2685" t="inlineStr">
        <is>
          <t>SUNDSVALL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40040-2024</t>
        </is>
      </c>
      <c r="B2686" s="1" t="n">
        <v>45553</v>
      </c>
      <c r="C2686" s="1" t="n">
        <v>45577</v>
      </c>
      <c r="D2686" t="inlineStr">
        <is>
          <t>VÄSTERNORRLANDS LÄN</t>
        </is>
      </c>
      <c r="E2686" t="inlineStr">
        <is>
          <t>SUNDSVALL</t>
        </is>
      </c>
      <c r="F2686" t="inlineStr">
        <is>
          <t>SCA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40044-2024</t>
        </is>
      </c>
      <c r="B2687" s="1" t="n">
        <v>45553</v>
      </c>
      <c r="C2687" s="1" t="n">
        <v>45577</v>
      </c>
      <c r="D2687" t="inlineStr">
        <is>
          <t>VÄSTERNORRLANDS LÄN</t>
        </is>
      </c>
      <c r="E2687" t="inlineStr">
        <is>
          <t>SUNDSVALL</t>
        </is>
      </c>
      <c r="G2687" t="n">
        <v>3.8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40050-2024</t>
        </is>
      </c>
      <c r="B2688" s="1" t="n">
        <v>45553</v>
      </c>
      <c r="C2688" s="1" t="n">
        <v>45577</v>
      </c>
      <c r="D2688" t="inlineStr">
        <is>
          <t>VÄSTERNORRLANDS LÄN</t>
        </is>
      </c>
      <c r="E2688" t="inlineStr">
        <is>
          <t>SUNDSVALL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45577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45577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40317-2024</t>
        </is>
      </c>
      <c r="B2691" s="1" t="n">
        <v>45554</v>
      </c>
      <c r="C2691" s="1" t="n">
        <v>45577</v>
      </c>
      <c r="D2691" t="inlineStr">
        <is>
          <t>VÄSTERNORRLANDS LÄN</t>
        </is>
      </c>
      <c r="E2691" t="inlineStr">
        <is>
          <t>SUNDSVALL</t>
        </is>
      </c>
      <c r="G2691" t="n">
        <v>12.5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40319-2024</t>
        </is>
      </c>
      <c r="B2692" s="1" t="n">
        <v>45554</v>
      </c>
      <c r="C2692" s="1" t="n">
        <v>45577</v>
      </c>
      <c r="D2692" t="inlineStr">
        <is>
          <t>VÄSTERNORRLANDS LÄN</t>
        </is>
      </c>
      <c r="E2692" t="inlineStr">
        <is>
          <t>SUNDSVALL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45577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45577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45577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41027-2024</t>
        </is>
      </c>
      <c r="B2696" s="1" t="n">
        <v>45559</v>
      </c>
      <c r="C2696" s="1" t="n">
        <v>45577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41091-2024</t>
        </is>
      </c>
      <c r="B2697" s="1" t="n">
        <v>45559</v>
      </c>
      <c r="C2697" s="1" t="n">
        <v>45577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41244-2024</t>
        </is>
      </c>
      <c r="B2698" s="1" t="n">
        <v>45559</v>
      </c>
      <c r="C2698" s="1" t="n">
        <v>45577</v>
      </c>
      <c r="D2698" t="inlineStr">
        <is>
          <t>VÄSTERNORRLANDS LÄN</t>
        </is>
      </c>
      <c r="E2698" t="inlineStr">
        <is>
          <t>SUNDSVALL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41196-2024</t>
        </is>
      </c>
      <c r="B2699" s="1" t="n">
        <v>45559</v>
      </c>
      <c r="C2699" s="1" t="n">
        <v>45577</v>
      </c>
      <c r="D2699" t="inlineStr">
        <is>
          <t>VÄSTERNORRLANDS LÄN</t>
        </is>
      </c>
      <c r="E2699" t="inlineStr">
        <is>
          <t>SUNDSVALL</t>
        </is>
      </c>
      <c r="G2699" t="n">
        <v>13.2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41200-2024</t>
        </is>
      </c>
      <c r="B2700" s="1" t="n">
        <v>45559</v>
      </c>
      <c r="C2700" s="1" t="n">
        <v>45577</v>
      </c>
      <c r="D2700" t="inlineStr">
        <is>
          <t>VÄSTERNORRLANDS LÄN</t>
        </is>
      </c>
      <c r="E2700" t="inlineStr">
        <is>
          <t>SUNDSVALL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41287-2024</t>
        </is>
      </c>
      <c r="B2701" s="1" t="n">
        <v>45559</v>
      </c>
      <c r="C2701" s="1" t="n">
        <v>45577</v>
      </c>
      <c r="D2701" t="inlineStr">
        <is>
          <t>VÄSTERNORRLANDS LÄN</t>
        </is>
      </c>
      <c r="E2701" t="inlineStr">
        <is>
          <t>SUNDSVALL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41354-2024</t>
        </is>
      </c>
      <c r="B2702" s="1" t="n">
        <v>45559</v>
      </c>
      <c r="C2702" s="1" t="n">
        <v>45577</v>
      </c>
      <c r="D2702" t="inlineStr">
        <is>
          <t>VÄSTERNORRLANDS LÄN</t>
        </is>
      </c>
      <c r="E2702" t="inlineStr">
        <is>
          <t>SUNDSVALL</t>
        </is>
      </c>
      <c r="F2702" t="inlineStr">
        <is>
          <t>SCA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41381-2024</t>
        </is>
      </c>
      <c r="B2703" s="1" t="n">
        <v>45559</v>
      </c>
      <c r="C2703" s="1" t="n">
        <v>45577</v>
      </c>
      <c r="D2703" t="inlineStr">
        <is>
          <t>VÄSTERNORRLANDS LÄN</t>
        </is>
      </c>
      <c r="E2703" t="inlineStr">
        <is>
          <t>SUNDSVALL</t>
        </is>
      </c>
      <c r="G2703" t="n">
        <v>5.6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41380-2024</t>
        </is>
      </c>
      <c r="B2704" s="1" t="n">
        <v>45559</v>
      </c>
      <c r="C2704" s="1" t="n">
        <v>45577</v>
      </c>
      <c r="D2704" t="inlineStr">
        <is>
          <t>VÄSTERNORRLANDS LÄN</t>
        </is>
      </c>
      <c r="E2704" t="inlineStr">
        <is>
          <t>SUNDSVALL</t>
        </is>
      </c>
      <c r="G2704" t="n">
        <v>6.5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41456-2024</t>
        </is>
      </c>
      <c r="B2705" s="1" t="n">
        <v>45559</v>
      </c>
      <c r="C2705" s="1" t="n">
        <v>45577</v>
      </c>
      <c r="D2705" t="inlineStr">
        <is>
          <t>VÄSTERNORRLANDS LÄN</t>
        </is>
      </c>
      <c r="E2705" t="inlineStr">
        <is>
          <t>SUNDSVALL</t>
        </is>
      </c>
      <c r="G2705" t="n">
        <v>10.6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41652-2024</t>
        </is>
      </c>
      <c r="B2706" s="1" t="n">
        <v>45560</v>
      </c>
      <c r="C2706" s="1" t="n">
        <v>45577</v>
      </c>
      <c r="D2706" t="inlineStr">
        <is>
          <t>VÄSTERNORRLANDS LÄN</t>
        </is>
      </c>
      <c r="E2706" t="inlineStr">
        <is>
          <t>SUNDSVALL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41681-2024</t>
        </is>
      </c>
      <c r="B2707" s="1" t="n">
        <v>45560</v>
      </c>
      <c r="C2707" s="1" t="n">
        <v>45577</v>
      </c>
      <c r="D2707" t="inlineStr">
        <is>
          <t>VÄSTERNORRLANDS LÄN</t>
        </is>
      </c>
      <c r="E2707" t="inlineStr">
        <is>
          <t>SUNDSVALL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45577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45577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45577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45577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45577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42497-2024</t>
        </is>
      </c>
      <c r="B2713" s="1" t="n">
        <v>45565</v>
      </c>
      <c r="C2713" s="1" t="n">
        <v>45577</v>
      </c>
      <c r="D2713" t="inlineStr">
        <is>
          <t>VÄSTERNORRLANDS LÄN</t>
        </is>
      </c>
      <c r="E2713" t="inlineStr">
        <is>
          <t>SUNDSVALL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42525-2024</t>
        </is>
      </c>
      <c r="B2714" s="1" t="n">
        <v>45565</v>
      </c>
      <c r="C2714" s="1" t="n">
        <v>45577</v>
      </c>
      <c r="D2714" t="inlineStr">
        <is>
          <t>VÄSTERNORRLANDS LÄN</t>
        </is>
      </c>
      <c r="E2714" t="inlineStr">
        <is>
          <t>SUNDSVALL</t>
        </is>
      </c>
      <c r="G2714" t="n">
        <v>19.6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45577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45577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43001-2024</t>
        </is>
      </c>
      <c r="B2717" s="1" t="n">
        <v>45567</v>
      </c>
      <c r="C2717" s="1" t="n">
        <v>45577</v>
      </c>
      <c r="D2717" t="inlineStr">
        <is>
          <t>VÄSTERNORRLANDS LÄN</t>
        </is>
      </c>
      <c r="E2717" t="inlineStr">
        <is>
          <t>SUNDSVALL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42977-2024</t>
        </is>
      </c>
      <c r="B2718" s="1" t="n">
        <v>45567</v>
      </c>
      <c r="C2718" s="1" t="n">
        <v>45577</v>
      </c>
      <c r="D2718" t="inlineStr">
        <is>
          <t>VÄSTERNORRLANDS LÄN</t>
        </is>
      </c>
      <c r="E2718" t="inlineStr">
        <is>
          <t>SUNDSVALL</t>
        </is>
      </c>
      <c r="F2718" t="inlineStr">
        <is>
          <t>SCA</t>
        </is>
      </c>
      <c r="G2718" t="n">
        <v>2.9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43128-2024</t>
        </is>
      </c>
      <c r="B2719" s="1" t="n">
        <v>45567</v>
      </c>
      <c r="C2719" s="1" t="n">
        <v>45577</v>
      </c>
      <c r="D2719" t="inlineStr">
        <is>
          <t>VÄSTERNORRLANDS LÄN</t>
        </is>
      </c>
      <c r="E2719" t="inlineStr">
        <is>
          <t>SUNDSVALL</t>
        </is>
      </c>
      <c r="F2719" t="inlineStr">
        <is>
          <t>SCA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43002-2024</t>
        </is>
      </c>
      <c r="B2720" s="1" t="n">
        <v>45567</v>
      </c>
      <c r="C2720" s="1" t="n">
        <v>45577</v>
      </c>
      <c r="D2720" t="inlineStr">
        <is>
          <t>VÄSTERNORRLANDS LÄN</t>
        </is>
      </c>
      <c r="E2720" t="inlineStr">
        <is>
          <t>SUNDSVALL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43168-2024</t>
        </is>
      </c>
      <c r="B2721" s="1" t="n">
        <v>45567</v>
      </c>
      <c r="C2721" s="1" t="n">
        <v>45577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43040-2024</t>
        </is>
      </c>
      <c r="B2722" s="1" t="n">
        <v>45567</v>
      </c>
      <c r="C2722" s="1" t="n">
        <v>45577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43004-2024</t>
        </is>
      </c>
      <c r="B2723" s="1" t="n">
        <v>45567</v>
      </c>
      <c r="C2723" s="1" t="n">
        <v>45577</v>
      </c>
      <c r="D2723" t="inlineStr">
        <is>
          <t>VÄSTERNORRLANDS LÄN</t>
        </is>
      </c>
      <c r="E2723" t="inlineStr">
        <is>
          <t>SUNDSVALL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43365-2024</t>
        </is>
      </c>
      <c r="B2724" s="1" t="n">
        <v>45568</v>
      </c>
      <c r="C2724" s="1" t="n">
        <v>45577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43571-2024</t>
        </is>
      </c>
      <c r="B2725" s="1" t="n">
        <v>45569</v>
      </c>
      <c r="C2725" s="1" t="n">
        <v>45577</v>
      </c>
      <c r="D2725" t="inlineStr">
        <is>
          <t>VÄSTERNORRLANDS LÄN</t>
        </is>
      </c>
      <c r="E2725" t="inlineStr">
        <is>
          <t>SUNDSVALL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43818-2024</t>
        </is>
      </c>
      <c r="B2726" s="1" t="n">
        <v>45571</v>
      </c>
      <c r="C2726" s="1" t="n">
        <v>45577</v>
      </c>
      <c r="D2726" t="inlineStr">
        <is>
          <t>VÄSTERNORRLANDS LÄN</t>
        </is>
      </c>
      <c r="E2726" t="inlineStr">
        <is>
          <t>SUNDSVALL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44078-2024</t>
        </is>
      </c>
      <c r="B2727" s="1" t="n">
        <v>45572</v>
      </c>
      <c r="C2727" s="1" t="n">
        <v>45577</v>
      </c>
      <c r="D2727" t="inlineStr">
        <is>
          <t>VÄSTERNORRLANDS LÄN</t>
        </is>
      </c>
      <c r="E2727" t="inlineStr">
        <is>
          <t>SUNDSVALL</t>
        </is>
      </c>
      <c r="F2727" t="inlineStr">
        <is>
          <t>SCA</t>
        </is>
      </c>
      <c r="G2727" t="n">
        <v>6.4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44098-2024</t>
        </is>
      </c>
      <c r="B2728" s="1" t="n">
        <v>45572</v>
      </c>
      <c r="C2728" s="1" t="n">
        <v>45577</v>
      </c>
      <c r="D2728" t="inlineStr">
        <is>
          <t>VÄSTERNORRLANDS LÄN</t>
        </is>
      </c>
      <c r="E2728" t="inlineStr">
        <is>
          <t>SUNDSVALL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44035-2024</t>
        </is>
      </c>
      <c r="B2729" s="1" t="n">
        <v>45572</v>
      </c>
      <c r="C2729" s="1" t="n">
        <v>45577</v>
      </c>
      <c r="D2729" t="inlineStr">
        <is>
          <t>VÄSTERNORRLANDS LÄN</t>
        </is>
      </c>
      <c r="E2729" t="inlineStr">
        <is>
          <t>SUNDSVALL</t>
        </is>
      </c>
      <c r="G2729" t="n">
        <v>3.7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44080-2024</t>
        </is>
      </c>
      <c r="B2730" s="1" t="n">
        <v>45572</v>
      </c>
      <c r="C2730" s="1" t="n">
        <v>45577</v>
      </c>
      <c r="D2730" t="inlineStr">
        <is>
          <t>VÄSTERNORRLANDS LÄN</t>
        </is>
      </c>
      <c r="E2730" t="inlineStr">
        <is>
          <t>SUNDSVALL</t>
        </is>
      </c>
      <c r="F2730" t="inlineStr">
        <is>
          <t>SCA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44187-2024</t>
        </is>
      </c>
      <c r="B2731" s="1" t="n">
        <v>45573</v>
      </c>
      <c r="C2731" s="1" t="n">
        <v>45577</v>
      </c>
      <c r="D2731" t="inlineStr">
        <is>
          <t>VÄSTERNORRLANDS LÄN</t>
        </is>
      </c>
      <c r="E2731" t="inlineStr">
        <is>
          <t>SUNDSVALL</t>
        </is>
      </c>
      <c r="F2731" t="inlineStr">
        <is>
          <t>Kommuner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44545-2024</t>
        </is>
      </c>
      <c r="B2732" s="1" t="n">
        <v>45574</v>
      </c>
      <c r="C2732" s="1" t="n">
        <v>45577</v>
      </c>
      <c r="D2732" t="inlineStr">
        <is>
          <t>VÄSTERNORRLANDS LÄN</t>
        </is>
      </c>
      <c r="E2732" t="inlineStr">
        <is>
          <t>SUNDSVALL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44578-2024</t>
        </is>
      </c>
      <c r="B2733" s="1" t="n">
        <v>45574</v>
      </c>
      <c r="C2733" s="1" t="n">
        <v>45577</v>
      </c>
      <c r="D2733" t="inlineStr">
        <is>
          <t>VÄSTERNORRLANDS LÄN</t>
        </is>
      </c>
      <c r="E2733" t="inlineStr">
        <is>
          <t>SUNDSVALL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44730-2024</t>
        </is>
      </c>
      <c r="B2734" s="1" t="n">
        <v>45574</v>
      </c>
      <c r="C2734" s="1" t="n">
        <v>45577</v>
      </c>
      <c r="D2734" t="inlineStr">
        <is>
          <t>VÄSTERNORRLANDS LÄN</t>
        </is>
      </c>
      <c r="E2734" t="inlineStr">
        <is>
          <t>SUNDSVALL</t>
        </is>
      </c>
      <c r="G2734" t="n">
        <v>9.199999999999999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44758-2024</t>
        </is>
      </c>
      <c r="B2735" s="1" t="n">
        <v>45574</v>
      </c>
      <c r="C2735" s="1" t="n">
        <v>45577</v>
      </c>
      <c r="D2735" t="inlineStr">
        <is>
          <t>VÄSTERNORRLANDS LÄN</t>
        </is>
      </c>
      <c r="E2735" t="inlineStr">
        <is>
          <t>SUNDSVALL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44663-2024</t>
        </is>
      </c>
      <c r="B2736" s="1" t="n">
        <v>45574</v>
      </c>
      <c r="C2736" s="1" t="n">
        <v>45577</v>
      </c>
      <c r="D2736" t="inlineStr">
        <is>
          <t>VÄSTERNORRLANDS LÄN</t>
        </is>
      </c>
      <c r="E2736" t="inlineStr">
        <is>
          <t>SUNDSVALL</t>
        </is>
      </c>
      <c r="F2736" t="inlineStr">
        <is>
          <t>SCA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44602-2024</t>
        </is>
      </c>
      <c r="B2737" s="1" t="n">
        <v>45574</v>
      </c>
      <c r="C2737" s="1" t="n">
        <v>45577</v>
      </c>
      <c r="D2737" t="inlineStr">
        <is>
          <t>VÄSTERNORRLANDS LÄN</t>
        </is>
      </c>
      <c r="E2737" t="inlineStr">
        <is>
          <t>SUNDSVALL</t>
        </is>
      </c>
      <c r="F2737" t="inlineStr">
        <is>
          <t>SCA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44610-2024</t>
        </is>
      </c>
      <c r="B2738" s="1" t="n">
        <v>45574</v>
      </c>
      <c r="C2738" s="1" t="n">
        <v>45577</v>
      </c>
      <c r="D2738" t="inlineStr">
        <is>
          <t>VÄSTERNORRLANDS LÄN</t>
        </is>
      </c>
      <c r="E2738" t="inlineStr">
        <is>
          <t>SUNDSVALL</t>
        </is>
      </c>
      <c r="F2738" t="inlineStr">
        <is>
          <t>SCA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44557-2024</t>
        </is>
      </c>
      <c r="B2739" s="1" t="n">
        <v>45574</v>
      </c>
      <c r="C2739" s="1" t="n">
        <v>45577</v>
      </c>
      <c r="D2739" t="inlineStr">
        <is>
          <t>VÄSTERNORRLANDS LÄN</t>
        </is>
      </c>
      <c r="E2739" t="inlineStr">
        <is>
          <t>SUNDSVALL</t>
        </is>
      </c>
      <c r="F2739" t="inlineStr">
        <is>
          <t>SCA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44569-2024</t>
        </is>
      </c>
      <c r="B2740" s="1" t="n">
        <v>45574</v>
      </c>
      <c r="C2740" s="1" t="n">
        <v>45577</v>
      </c>
      <c r="D2740" t="inlineStr">
        <is>
          <t>VÄSTERNORRLANDS LÄN</t>
        </is>
      </c>
      <c r="E2740" t="inlineStr">
        <is>
          <t>SUNDSVALL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44593-2024</t>
        </is>
      </c>
      <c r="B2741" s="1" t="n">
        <v>45574</v>
      </c>
      <c r="C2741" s="1" t="n">
        <v>45577</v>
      </c>
      <c r="D2741" t="inlineStr">
        <is>
          <t>VÄSTERNORRLANDS LÄN</t>
        </is>
      </c>
      <c r="E2741" t="inlineStr">
        <is>
          <t>SUNDSVALL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44875-2024</t>
        </is>
      </c>
      <c r="B2742" s="1" t="n">
        <v>45575</v>
      </c>
      <c r="C2742" s="1" t="n">
        <v>45577</v>
      </c>
      <c r="D2742" t="inlineStr">
        <is>
          <t>VÄSTERNORRLANDS LÄN</t>
        </is>
      </c>
      <c r="E2742" t="inlineStr">
        <is>
          <t>SUNDSVALL</t>
        </is>
      </c>
      <c r="F2742" t="inlineStr">
        <is>
          <t>SCA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44908-2024</t>
        </is>
      </c>
      <c r="B2743" s="1" t="n">
        <v>45575</v>
      </c>
      <c r="C2743" s="1" t="n">
        <v>45577</v>
      </c>
      <c r="D2743" t="inlineStr">
        <is>
          <t>VÄSTERNORRLANDS LÄN</t>
        </is>
      </c>
      <c r="E2743" t="inlineStr">
        <is>
          <t>SUNDSVALL</t>
        </is>
      </c>
      <c r="F2743" t="inlineStr">
        <is>
          <t>SCA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44922-2024</t>
        </is>
      </c>
      <c r="B2744" s="1" t="n">
        <v>45575</v>
      </c>
      <c r="C2744" s="1" t="n">
        <v>45577</v>
      </c>
      <c r="D2744" t="inlineStr">
        <is>
          <t>VÄSTERNORRLANDS LÄN</t>
        </is>
      </c>
      <c r="E2744" t="inlineStr">
        <is>
          <t>SUNDSVALL</t>
        </is>
      </c>
      <c r="F2744" t="inlineStr">
        <is>
          <t>SCA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45141-2024</t>
        </is>
      </c>
      <c r="B2745" s="1" t="n">
        <v>45575</v>
      </c>
      <c r="C2745" s="1" t="n">
        <v>45577</v>
      </c>
      <c r="D2745" t="inlineStr">
        <is>
          <t>VÄSTERNORRLANDS LÄN</t>
        </is>
      </c>
      <c r="E2745" t="inlineStr">
        <is>
          <t>SUNDSVALL</t>
        </is>
      </c>
      <c r="F2745" t="inlineStr">
        <is>
          <t>Kommuner</t>
        </is>
      </c>
      <c r="G2745" t="n">
        <v>6.2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45172-2024</t>
        </is>
      </c>
      <c r="B2746" s="1" t="n">
        <v>45575</v>
      </c>
      <c r="C2746" s="1" t="n">
        <v>45577</v>
      </c>
      <c r="D2746" t="inlineStr">
        <is>
          <t>VÄSTERNORRLANDS LÄN</t>
        </is>
      </c>
      <c r="E2746" t="inlineStr">
        <is>
          <t>SUNDSVALL</t>
        </is>
      </c>
      <c r="F2746" t="inlineStr">
        <is>
          <t>SCA</t>
        </is>
      </c>
      <c r="G2746" t="n">
        <v>4.9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45158-2024</t>
        </is>
      </c>
      <c r="B2747" s="1" t="n">
        <v>45575</v>
      </c>
      <c r="C2747" s="1" t="n">
        <v>45577</v>
      </c>
      <c r="D2747" t="inlineStr">
        <is>
          <t>VÄSTERNORRLANDS LÄN</t>
        </is>
      </c>
      <c r="E2747" t="inlineStr">
        <is>
          <t>SUNDSVALL</t>
        </is>
      </c>
      <c r="F2747" t="inlineStr">
        <is>
          <t>Kommuner</t>
        </is>
      </c>
      <c r="G2747" t="n">
        <v>4.7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45293-2024</t>
        </is>
      </c>
      <c r="B2748" s="1" t="n">
        <v>45576</v>
      </c>
      <c r="C2748" s="1" t="n">
        <v>45577</v>
      </c>
      <c r="D2748" t="inlineStr">
        <is>
          <t>VÄSTERNORRLANDS LÄN</t>
        </is>
      </c>
      <c r="E2748" t="inlineStr">
        <is>
          <t>SUNDSVALL</t>
        </is>
      </c>
      <c r="G2748" t="n">
        <v>5.5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45434-2024</t>
        </is>
      </c>
      <c r="B2749" s="1" t="n">
        <v>45576</v>
      </c>
      <c r="C2749" s="1" t="n">
        <v>45577</v>
      </c>
      <c r="D2749" t="inlineStr">
        <is>
          <t>VÄSTERNORRLANDS LÄN</t>
        </is>
      </c>
      <c r="E2749" t="inlineStr">
        <is>
          <t>SUNDSVALL</t>
        </is>
      </c>
      <c r="F2749" t="inlineStr">
        <is>
          <t>SCA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>
      <c r="A2750" t="inlineStr">
        <is>
          <t>A 45357-2024</t>
        </is>
      </c>
      <c r="B2750" s="1" t="n">
        <v>45576</v>
      </c>
      <c r="C2750" s="1" t="n">
        <v>45577</v>
      </c>
      <c r="D2750" t="inlineStr">
        <is>
          <t>VÄSTERNORRLANDS LÄN</t>
        </is>
      </c>
      <c r="E2750" t="inlineStr">
        <is>
          <t>SUNDSVALL</t>
        </is>
      </c>
      <c r="G2750" t="n">
        <v>18.2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2024-10-12T13:07:56Z</dcterms:created>
  <dcterms:modified xmlns:dcterms="http://purl.org/dc/terms/" xmlns:xsi="http://www.w3.org/2001/XMLSchema-instance" xsi:type="dcterms:W3CDTF">2024-10-12T13:07:59Z</dcterms:modified>
</cp:coreProperties>
</file>